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rge\Downloads\"/>
    </mc:Choice>
  </mc:AlternateContent>
  <xr:revisionPtr revIDLastSave="0" documentId="13_ncr:1_{38440AC9-83F2-4307-A3E4-0D8636243860}" xr6:coauthVersionLast="47" xr6:coauthVersionMax="47" xr10:uidLastSave="{00000000-0000-0000-0000-000000000000}"/>
  <bookViews>
    <workbookView xWindow="-120" yWindow="-120" windowWidth="20730" windowHeight="11040" tabRatio="500" firstSheet="11" activeTab="14" xr2:uid="{00000000-000D-0000-FFFF-FFFF00000000}"/>
  </bookViews>
  <sheets>
    <sheet name="01_Capa" sheetId="1" r:id="rId1"/>
    <sheet name="02_Premissas" sheetId="2" r:id="rId2"/>
    <sheet name="03_Base_Vendas" sheetId="3" r:id="rId3"/>
    <sheet name="04_Base_Despesas" sheetId="4" r:id="rId4"/>
    <sheet name="05_Base_Apoio" sheetId="5" r:id="rId5"/>
    <sheet name="06_DRE_Consolidada" sheetId="6" r:id="rId6"/>
    <sheet name="07_DRE_por_Canal" sheetId="7" r:id="rId7"/>
    <sheet name="08_DRE_por_Categoria" sheetId="8" r:id="rId8"/>
    <sheet name="09_Fluxo_de_Caixa" sheetId="9" r:id="rId9"/>
    <sheet name="10_Capital_de_Giro" sheetId="10" r:id="rId10"/>
    <sheet name="11_Estoque_e_Giro" sheetId="11" r:id="rId11"/>
    <sheet name="12_KPIs" sheetId="12" r:id="rId12"/>
    <sheet name="13_Forecast_6M" sheetId="13" r:id="rId13"/>
    <sheet name="14_Antes_vs_Depois" sheetId="14" r:id="rId14"/>
    <sheet name="15_Dashboard_Exec" sheetId="15" r:id="rId1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5" l="1"/>
  <c r="G33" i="15"/>
  <c r="G32" i="15"/>
  <c r="G31" i="15"/>
  <c r="G30" i="15"/>
  <c r="E25" i="15"/>
  <c r="F25" i="15" s="1"/>
  <c r="C25" i="15"/>
  <c r="E24" i="15"/>
  <c r="F24" i="15" s="1"/>
  <c r="C24" i="15"/>
  <c r="E23" i="15"/>
  <c r="F23" i="15" s="1"/>
  <c r="C23" i="15"/>
  <c r="E22" i="15"/>
  <c r="C22" i="15"/>
  <c r="F17" i="15"/>
  <c r="G17" i="15" s="1"/>
  <c r="E17" i="15"/>
  <c r="C17" i="15"/>
  <c r="F16" i="15"/>
  <c r="G16" i="15" s="1"/>
  <c r="E16" i="15"/>
  <c r="C16" i="15"/>
  <c r="F15" i="15"/>
  <c r="G15" i="15" s="1"/>
  <c r="E15" i="15"/>
  <c r="C15" i="15"/>
  <c r="F14" i="15"/>
  <c r="E14" i="15"/>
  <c r="E18" i="15" s="1"/>
  <c r="C14" i="15"/>
  <c r="C26" i="14"/>
  <c r="C25" i="14"/>
  <c r="D18" i="14"/>
  <c r="C18" i="14"/>
  <c r="D17" i="14"/>
  <c r="C17" i="14"/>
  <c r="D16" i="14"/>
  <c r="C16" i="14"/>
  <c r="D15" i="14"/>
  <c r="D19" i="14" s="1"/>
  <c r="C15" i="14"/>
  <c r="D10" i="14"/>
  <c r="C10" i="14"/>
  <c r="D9" i="14"/>
  <c r="C9" i="14"/>
  <c r="D8" i="14"/>
  <c r="C8" i="14"/>
  <c r="D7" i="14"/>
  <c r="C7" i="14"/>
  <c r="D6" i="14"/>
  <c r="C6" i="14"/>
  <c r="H9" i="13"/>
  <c r="G9" i="13"/>
  <c r="F9" i="13"/>
  <c r="E9" i="13"/>
  <c r="D9" i="13"/>
  <c r="C9" i="13"/>
  <c r="I9" i="13" s="1"/>
  <c r="H8" i="13"/>
  <c r="G8" i="13"/>
  <c r="F8" i="13"/>
  <c r="E8" i="13"/>
  <c r="D8" i="13"/>
  <c r="C8" i="13"/>
  <c r="I8" i="13" s="1"/>
  <c r="H7" i="13"/>
  <c r="G7" i="13"/>
  <c r="F7" i="13"/>
  <c r="E7" i="13"/>
  <c r="D7" i="13"/>
  <c r="C7" i="13"/>
  <c r="I7" i="13" s="1"/>
  <c r="H6" i="13"/>
  <c r="H10" i="13" s="1"/>
  <c r="H14" i="13" s="1"/>
  <c r="G6" i="13"/>
  <c r="G10" i="13" s="1"/>
  <c r="G14" i="13" s="1"/>
  <c r="F6" i="13"/>
  <c r="F10" i="13" s="1"/>
  <c r="F14" i="13" s="1"/>
  <c r="E6" i="13"/>
  <c r="E10" i="13" s="1"/>
  <c r="E14" i="13" s="1"/>
  <c r="D6" i="13"/>
  <c r="D10" i="13" s="1"/>
  <c r="D14" i="13" s="1"/>
  <c r="C6" i="13"/>
  <c r="C21" i="12"/>
  <c r="E21" i="12" s="1"/>
  <c r="C20" i="12"/>
  <c r="E20" i="12" s="1"/>
  <c r="C19" i="12"/>
  <c r="E19" i="12" s="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10" i="11"/>
  <c r="E10" i="11"/>
  <c r="D10" i="11"/>
  <c r="C10" i="11"/>
  <c r="F9" i="11"/>
  <c r="G9" i="11" s="1"/>
  <c r="F8" i="11"/>
  <c r="G8" i="11" s="1"/>
  <c r="F7" i="11"/>
  <c r="G7" i="11" s="1"/>
  <c r="F6" i="11"/>
  <c r="C11" i="10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Z25" i="9" s="1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Z23" i="9" s="1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Z22" i="9" s="1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Z15" i="9" s="1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Z14" i="9" s="1"/>
  <c r="Y13" i="9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Z105" i="8" s="1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Z103" i="8" s="1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Z99" i="8" s="1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Z98" i="8" s="1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Z97" i="8" s="1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Z96" i="8" s="1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Z95" i="8" s="1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Z94" i="8" s="1"/>
  <c r="Y93" i="8"/>
  <c r="Y100" i="8" s="1"/>
  <c r="X93" i="8"/>
  <c r="X100" i="8" s="1"/>
  <c r="W93" i="8"/>
  <c r="W100" i="8" s="1"/>
  <c r="V93" i="8"/>
  <c r="V100" i="8" s="1"/>
  <c r="U93" i="8"/>
  <c r="U100" i="8" s="1"/>
  <c r="T93" i="8"/>
  <c r="T100" i="8" s="1"/>
  <c r="S93" i="8"/>
  <c r="S100" i="8" s="1"/>
  <c r="R93" i="8"/>
  <c r="R100" i="8" s="1"/>
  <c r="Q93" i="8"/>
  <c r="Q100" i="8" s="1"/>
  <c r="P93" i="8"/>
  <c r="P100" i="8" s="1"/>
  <c r="O93" i="8"/>
  <c r="O100" i="8" s="1"/>
  <c r="N93" i="8"/>
  <c r="N100" i="8" s="1"/>
  <c r="M93" i="8"/>
  <c r="M100" i="8" s="1"/>
  <c r="L93" i="8"/>
  <c r="L100" i="8" s="1"/>
  <c r="K93" i="8"/>
  <c r="K100" i="8" s="1"/>
  <c r="J93" i="8"/>
  <c r="J100" i="8" s="1"/>
  <c r="I93" i="8"/>
  <c r="I100" i="8" s="1"/>
  <c r="H93" i="8"/>
  <c r="H100" i="8" s="1"/>
  <c r="G93" i="8"/>
  <c r="G100" i="8" s="1"/>
  <c r="F93" i="8"/>
  <c r="F100" i="8" s="1"/>
  <c r="E93" i="8"/>
  <c r="E100" i="8" s="1"/>
  <c r="D93" i="8"/>
  <c r="D100" i="8" s="1"/>
  <c r="C93" i="8"/>
  <c r="C100" i="8" s="1"/>
  <c r="B93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Z90" i="8" s="1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Z88" i="8" s="1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Z87" i="8" s="1"/>
  <c r="Y86" i="8"/>
  <c r="Y89" i="8" s="1"/>
  <c r="Y91" i="8" s="1"/>
  <c r="X86" i="8"/>
  <c r="X89" i="8" s="1"/>
  <c r="X91" i="8" s="1"/>
  <c r="W86" i="8"/>
  <c r="W89" i="8" s="1"/>
  <c r="W91" i="8" s="1"/>
  <c r="V86" i="8"/>
  <c r="V89" i="8" s="1"/>
  <c r="V91" i="8" s="1"/>
  <c r="U86" i="8"/>
  <c r="U89" i="8" s="1"/>
  <c r="U91" i="8" s="1"/>
  <c r="T86" i="8"/>
  <c r="T89" i="8" s="1"/>
  <c r="T91" i="8" s="1"/>
  <c r="S86" i="8"/>
  <c r="S89" i="8" s="1"/>
  <c r="S91" i="8" s="1"/>
  <c r="R86" i="8"/>
  <c r="R89" i="8" s="1"/>
  <c r="R91" i="8" s="1"/>
  <c r="Q86" i="8"/>
  <c r="Q89" i="8" s="1"/>
  <c r="Q91" i="8" s="1"/>
  <c r="P86" i="8"/>
  <c r="P89" i="8" s="1"/>
  <c r="P91" i="8" s="1"/>
  <c r="O86" i="8"/>
  <c r="O89" i="8" s="1"/>
  <c r="O91" i="8" s="1"/>
  <c r="N86" i="8"/>
  <c r="N89" i="8" s="1"/>
  <c r="N91" i="8" s="1"/>
  <c r="M86" i="8"/>
  <c r="M89" i="8" s="1"/>
  <c r="M91" i="8" s="1"/>
  <c r="L86" i="8"/>
  <c r="L89" i="8" s="1"/>
  <c r="L91" i="8" s="1"/>
  <c r="K86" i="8"/>
  <c r="K89" i="8" s="1"/>
  <c r="K91" i="8" s="1"/>
  <c r="J86" i="8"/>
  <c r="J89" i="8" s="1"/>
  <c r="J91" i="8" s="1"/>
  <c r="I86" i="8"/>
  <c r="I89" i="8" s="1"/>
  <c r="I91" i="8" s="1"/>
  <c r="H86" i="8"/>
  <c r="H89" i="8" s="1"/>
  <c r="H91" i="8" s="1"/>
  <c r="G86" i="8"/>
  <c r="G89" i="8" s="1"/>
  <c r="G91" i="8" s="1"/>
  <c r="F86" i="8"/>
  <c r="F89" i="8" s="1"/>
  <c r="F91" i="8" s="1"/>
  <c r="E86" i="8"/>
  <c r="E89" i="8" s="1"/>
  <c r="E91" i="8" s="1"/>
  <c r="D86" i="8"/>
  <c r="D89" i="8" s="1"/>
  <c r="D91" i="8" s="1"/>
  <c r="C86" i="8"/>
  <c r="C89" i="8" s="1"/>
  <c r="C91" i="8" s="1"/>
  <c r="B86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Z79" i="8" s="1"/>
  <c r="Y77" i="8"/>
  <c r="X77" i="8"/>
  <c r="W77" i="8"/>
  <c r="V77" i="8"/>
  <c r="U77" i="8"/>
  <c r="T77" i="8"/>
  <c r="S77" i="8"/>
  <c r="R77" i="8"/>
  <c r="Q77" i="8"/>
  <c r="P77" i="8"/>
  <c r="O77" i="8"/>
  <c r="Z77" i="8" s="1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Z73" i="8" s="1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Z72" i="8" s="1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Z71" i="8" s="1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Z70" i="8" s="1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Z69" i="8" s="1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Z68" i="8" s="1"/>
  <c r="Y67" i="8"/>
  <c r="Y74" i="8" s="1"/>
  <c r="X67" i="8"/>
  <c r="X74" i="8" s="1"/>
  <c r="W67" i="8"/>
  <c r="W74" i="8" s="1"/>
  <c r="V67" i="8"/>
  <c r="V74" i="8" s="1"/>
  <c r="U67" i="8"/>
  <c r="U74" i="8" s="1"/>
  <c r="T67" i="8"/>
  <c r="T74" i="8" s="1"/>
  <c r="S67" i="8"/>
  <c r="S74" i="8" s="1"/>
  <c r="R67" i="8"/>
  <c r="R74" i="8" s="1"/>
  <c r="Q67" i="8"/>
  <c r="Q74" i="8" s="1"/>
  <c r="P67" i="8"/>
  <c r="P74" i="8" s="1"/>
  <c r="O67" i="8"/>
  <c r="O74" i="8" s="1"/>
  <c r="N67" i="8"/>
  <c r="N74" i="8" s="1"/>
  <c r="M67" i="8"/>
  <c r="M74" i="8" s="1"/>
  <c r="L67" i="8"/>
  <c r="L74" i="8" s="1"/>
  <c r="K67" i="8"/>
  <c r="K74" i="8" s="1"/>
  <c r="J67" i="8"/>
  <c r="J74" i="8" s="1"/>
  <c r="I67" i="8"/>
  <c r="I74" i="8" s="1"/>
  <c r="H67" i="8"/>
  <c r="H74" i="8" s="1"/>
  <c r="G67" i="8"/>
  <c r="G74" i="8" s="1"/>
  <c r="F67" i="8"/>
  <c r="F74" i="8" s="1"/>
  <c r="E67" i="8"/>
  <c r="E74" i="8" s="1"/>
  <c r="D67" i="8"/>
  <c r="D74" i="8" s="1"/>
  <c r="C67" i="8"/>
  <c r="C74" i="8" s="1"/>
  <c r="B67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Z64" i="8" s="1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Z62" i="8" s="1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Z61" i="8" s="1"/>
  <c r="Y60" i="8"/>
  <c r="Y63" i="8" s="1"/>
  <c r="Y65" i="8" s="1"/>
  <c r="X60" i="8"/>
  <c r="X63" i="8" s="1"/>
  <c r="X65" i="8" s="1"/>
  <c r="W60" i="8"/>
  <c r="W63" i="8" s="1"/>
  <c r="W65" i="8" s="1"/>
  <c r="V60" i="8"/>
  <c r="V63" i="8" s="1"/>
  <c r="V65" i="8" s="1"/>
  <c r="U60" i="8"/>
  <c r="U63" i="8" s="1"/>
  <c r="U65" i="8" s="1"/>
  <c r="T60" i="8"/>
  <c r="T63" i="8" s="1"/>
  <c r="T65" i="8" s="1"/>
  <c r="S60" i="8"/>
  <c r="S63" i="8" s="1"/>
  <c r="S65" i="8" s="1"/>
  <c r="R60" i="8"/>
  <c r="R63" i="8" s="1"/>
  <c r="R65" i="8" s="1"/>
  <c r="Q60" i="8"/>
  <c r="Q63" i="8" s="1"/>
  <c r="Q65" i="8" s="1"/>
  <c r="P60" i="8"/>
  <c r="P63" i="8" s="1"/>
  <c r="P65" i="8" s="1"/>
  <c r="O60" i="8"/>
  <c r="O63" i="8" s="1"/>
  <c r="O65" i="8" s="1"/>
  <c r="N60" i="8"/>
  <c r="N63" i="8" s="1"/>
  <c r="N65" i="8" s="1"/>
  <c r="M60" i="8"/>
  <c r="M63" i="8" s="1"/>
  <c r="M65" i="8" s="1"/>
  <c r="L60" i="8"/>
  <c r="L63" i="8" s="1"/>
  <c r="L65" i="8" s="1"/>
  <c r="K60" i="8"/>
  <c r="K63" i="8" s="1"/>
  <c r="K65" i="8" s="1"/>
  <c r="J60" i="8"/>
  <c r="J63" i="8" s="1"/>
  <c r="J65" i="8" s="1"/>
  <c r="I60" i="8"/>
  <c r="I63" i="8" s="1"/>
  <c r="I65" i="8" s="1"/>
  <c r="H60" i="8"/>
  <c r="H63" i="8" s="1"/>
  <c r="H65" i="8" s="1"/>
  <c r="G60" i="8"/>
  <c r="G63" i="8" s="1"/>
  <c r="G65" i="8" s="1"/>
  <c r="F60" i="8"/>
  <c r="F63" i="8" s="1"/>
  <c r="F65" i="8" s="1"/>
  <c r="E60" i="8"/>
  <c r="E63" i="8" s="1"/>
  <c r="E65" i="8" s="1"/>
  <c r="D60" i="8"/>
  <c r="D63" i="8" s="1"/>
  <c r="D65" i="8" s="1"/>
  <c r="C60" i="8"/>
  <c r="C63" i="8" s="1"/>
  <c r="C65" i="8" s="1"/>
  <c r="B60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Z53" i="8" s="1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Z51" i="8" s="1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Z47" i="8" s="1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Z46" i="8" s="1"/>
  <c r="Y45" i="8"/>
  <c r="X45" i="8"/>
  <c r="W45" i="8"/>
  <c r="V45" i="8"/>
  <c r="U45" i="8"/>
  <c r="U48" i="8" s="1"/>
  <c r="T45" i="8"/>
  <c r="T48" i="8" s="1"/>
  <c r="S45" i="8"/>
  <c r="S48" i="8" s="1"/>
  <c r="R45" i="8"/>
  <c r="R48" i="8" s="1"/>
  <c r="Q45" i="8"/>
  <c r="Q48" i="8" s="1"/>
  <c r="P45" i="8"/>
  <c r="P48" i="8" s="1"/>
  <c r="O45" i="8"/>
  <c r="O48" i="8" s="1"/>
  <c r="N45" i="8"/>
  <c r="N48" i="8" s="1"/>
  <c r="M45" i="8"/>
  <c r="M48" i="8" s="1"/>
  <c r="L45" i="8"/>
  <c r="L48" i="8" s="1"/>
  <c r="K45" i="8"/>
  <c r="K48" i="8" s="1"/>
  <c r="J45" i="8"/>
  <c r="J48" i="8" s="1"/>
  <c r="I45" i="8"/>
  <c r="I48" i="8" s="1"/>
  <c r="H45" i="8"/>
  <c r="H48" i="8" s="1"/>
  <c r="G45" i="8"/>
  <c r="G48" i="8" s="1"/>
  <c r="F45" i="8"/>
  <c r="F48" i="8" s="1"/>
  <c r="E45" i="8"/>
  <c r="E48" i="8" s="1"/>
  <c r="D45" i="8"/>
  <c r="D48" i="8" s="1"/>
  <c r="C45" i="8"/>
  <c r="C48" i="8" s="1"/>
  <c r="B45" i="8"/>
  <c r="Y44" i="8"/>
  <c r="Y48" i="8" s="1"/>
  <c r="X44" i="8"/>
  <c r="X48" i="8" s="1"/>
  <c r="W44" i="8"/>
  <c r="W48" i="8" s="1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Z43" i="8" s="1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Z42" i="8" s="1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Z41" i="8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Z38" i="8" s="1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Z36" i="8" s="1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Z35" i="8" s="1"/>
  <c r="Y34" i="8"/>
  <c r="Y37" i="8" s="1"/>
  <c r="Y39" i="8" s="1"/>
  <c r="X34" i="8"/>
  <c r="X37" i="8" s="1"/>
  <c r="X39" i="8" s="1"/>
  <c r="W34" i="8"/>
  <c r="W37" i="8" s="1"/>
  <c r="W39" i="8" s="1"/>
  <c r="V34" i="8"/>
  <c r="V37" i="8" s="1"/>
  <c r="V39" i="8" s="1"/>
  <c r="U34" i="8"/>
  <c r="U37" i="8" s="1"/>
  <c r="U39" i="8" s="1"/>
  <c r="T34" i="8"/>
  <c r="T37" i="8" s="1"/>
  <c r="T39" i="8" s="1"/>
  <c r="S34" i="8"/>
  <c r="S37" i="8" s="1"/>
  <c r="S39" i="8" s="1"/>
  <c r="R34" i="8"/>
  <c r="R37" i="8" s="1"/>
  <c r="R39" i="8" s="1"/>
  <c r="Q34" i="8"/>
  <c r="Q37" i="8" s="1"/>
  <c r="Q39" i="8" s="1"/>
  <c r="P34" i="8"/>
  <c r="P37" i="8" s="1"/>
  <c r="P39" i="8" s="1"/>
  <c r="O34" i="8"/>
  <c r="O37" i="8" s="1"/>
  <c r="O39" i="8" s="1"/>
  <c r="N34" i="8"/>
  <c r="N37" i="8" s="1"/>
  <c r="N39" i="8" s="1"/>
  <c r="M34" i="8"/>
  <c r="M37" i="8" s="1"/>
  <c r="M39" i="8" s="1"/>
  <c r="L34" i="8"/>
  <c r="L37" i="8" s="1"/>
  <c r="L39" i="8" s="1"/>
  <c r="K34" i="8"/>
  <c r="K37" i="8" s="1"/>
  <c r="K39" i="8" s="1"/>
  <c r="J34" i="8"/>
  <c r="J37" i="8" s="1"/>
  <c r="J39" i="8" s="1"/>
  <c r="I34" i="8"/>
  <c r="I37" i="8" s="1"/>
  <c r="I39" i="8" s="1"/>
  <c r="H34" i="8"/>
  <c r="H37" i="8" s="1"/>
  <c r="H39" i="8" s="1"/>
  <c r="G34" i="8"/>
  <c r="G37" i="8" s="1"/>
  <c r="G39" i="8" s="1"/>
  <c r="F34" i="8"/>
  <c r="F37" i="8" s="1"/>
  <c r="F39" i="8" s="1"/>
  <c r="E34" i="8"/>
  <c r="E37" i="8" s="1"/>
  <c r="E39" i="8" s="1"/>
  <c r="D34" i="8"/>
  <c r="D37" i="8" s="1"/>
  <c r="D39" i="8" s="1"/>
  <c r="C34" i="8"/>
  <c r="C37" i="8" s="1"/>
  <c r="C39" i="8" s="1"/>
  <c r="B34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Z27" i="8" s="1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Z25" i="8" s="1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Z21" i="8" s="1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Z20" i="8" s="1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Z19" i="8" s="1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Z18" i="8" s="1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Z17" i="8" s="1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Z16" i="8" s="1"/>
  <c r="Y15" i="8"/>
  <c r="Y22" i="8" s="1"/>
  <c r="X15" i="8"/>
  <c r="X22" i="8" s="1"/>
  <c r="W15" i="8"/>
  <c r="W22" i="8" s="1"/>
  <c r="V15" i="8"/>
  <c r="V22" i="8" s="1"/>
  <c r="U15" i="8"/>
  <c r="U22" i="8" s="1"/>
  <c r="T15" i="8"/>
  <c r="T22" i="8" s="1"/>
  <c r="S15" i="8"/>
  <c r="S22" i="8" s="1"/>
  <c r="R15" i="8"/>
  <c r="R22" i="8" s="1"/>
  <c r="Q15" i="8"/>
  <c r="Q22" i="8" s="1"/>
  <c r="P15" i="8"/>
  <c r="P22" i="8" s="1"/>
  <c r="O15" i="8"/>
  <c r="O22" i="8" s="1"/>
  <c r="N15" i="8"/>
  <c r="N22" i="8" s="1"/>
  <c r="M15" i="8"/>
  <c r="M22" i="8" s="1"/>
  <c r="L15" i="8"/>
  <c r="L22" i="8" s="1"/>
  <c r="K15" i="8"/>
  <c r="K22" i="8" s="1"/>
  <c r="J15" i="8"/>
  <c r="J22" i="8" s="1"/>
  <c r="I15" i="8"/>
  <c r="I22" i="8" s="1"/>
  <c r="H15" i="8"/>
  <c r="H22" i="8" s="1"/>
  <c r="G15" i="8"/>
  <c r="G22" i="8" s="1"/>
  <c r="F15" i="8"/>
  <c r="F22" i="8" s="1"/>
  <c r="E15" i="8"/>
  <c r="E22" i="8" s="1"/>
  <c r="D15" i="8"/>
  <c r="D22" i="8" s="1"/>
  <c r="C15" i="8"/>
  <c r="C22" i="8" s="1"/>
  <c r="B15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Z12" i="8" s="1"/>
  <c r="B12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Z10" i="8" s="1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Z9" i="8" s="1"/>
  <c r="Y8" i="8"/>
  <c r="Y11" i="8" s="1"/>
  <c r="Y13" i="8" s="1"/>
  <c r="X8" i="8"/>
  <c r="X11" i="8" s="1"/>
  <c r="X13" i="8" s="1"/>
  <c r="W8" i="8"/>
  <c r="W11" i="8" s="1"/>
  <c r="W13" i="8" s="1"/>
  <c r="V8" i="8"/>
  <c r="V11" i="8" s="1"/>
  <c r="V13" i="8" s="1"/>
  <c r="U8" i="8"/>
  <c r="U11" i="8" s="1"/>
  <c r="U13" i="8" s="1"/>
  <c r="T8" i="8"/>
  <c r="T11" i="8" s="1"/>
  <c r="T13" i="8" s="1"/>
  <c r="S8" i="8"/>
  <c r="S11" i="8" s="1"/>
  <c r="S13" i="8" s="1"/>
  <c r="R8" i="8"/>
  <c r="R11" i="8" s="1"/>
  <c r="R13" i="8" s="1"/>
  <c r="Q8" i="8"/>
  <c r="Q11" i="8" s="1"/>
  <c r="Q13" i="8" s="1"/>
  <c r="P8" i="8"/>
  <c r="P11" i="8" s="1"/>
  <c r="P13" i="8" s="1"/>
  <c r="O8" i="8"/>
  <c r="O11" i="8" s="1"/>
  <c r="O13" i="8" s="1"/>
  <c r="N8" i="8"/>
  <c r="N11" i="8" s="1"/>
  <c r="N13" i="8" s="1"/>
  <c r="M8" i="8"/>
  <c r="M11" i="8" s="1"/>
  <c r="M13" i="8" s="1"/>
  <c r="L8" i="8"/>
  <c r="L11" i="8" s="1"/>
  <c r="L13" i="8" s="1"/>
  <c r="K8" i="8"/>
  <c r="K11" i="8" s="1"/>
  <c r="K13" i="8" s="1"/>
  <c r="J8" i="8"/>
  <c r="J11" i="8" s="1"/>
  <c r="J13" i="8" s="1"/>
  <c r="I8" i="8"/>
  <c r="I11" i="8" s="1"/>
  <c r="I13" i="8" s="1"/>
  <c r="H8" i="8"/>
  <c r="H11" i="8" s="1"/>
  <c r="H13" i="8" s="1"/>
  <c r="G8" i="8"/>
  <c r="G11" i="8" s="1"/>
  <c r="G13" i="8" s="1"/>
  <c r="F8" i="8"/>
  <c r="F11" i="8" s="1"/>
  <c r="F13" i="8" s="1"/>
  <c r="E8" i="8"/>
  <c r="E11" i="8" s="1"/>
  <c r="E13" i="8" s="1"/>
  <c r="D8" i="8"/>
  <c r="D11" i="8" s="1"/>
  <c r="D13" i="8" s="1"/>
  <c r="C8" i="8"/>
  <c r="C11" i="8" s="1"/>
  <c r="C13" i="8" s="1"/>
  <c r="B8" i="8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Z105" i="7" s="1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Z103" i="7" s="1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Z99" i="7" s="1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Z98" i="7" s="1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Z97" i="7" s="1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Z96" i="7" s="1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Z95" i="7" s="1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Z94" i="7" s="1"/>
  <c r="Y93" i="7"/>
  <c r="Y100" i="7" s="1"/>
  <c r="X93" i="7"/>
  <c r="X100" i="7" s="1"/>
  <c r="W93" i="7"/>
  <c r="W100" i="7" s="1"/>
  <c r="V93" i="7"/>
  <c r="V100" i="7" s="1"/>
  <c r="U93" i="7"/>
  <c r="U100" i="7" s="1"/>
  <c r="T93" i="7"/>
  <c r="T100" i="7" s="1"/>
  <c r="S93" i="7"/>
  <c r="S100" i="7" s="1"/>
  <c r="R93" i="7"/>
  <c r="R100" i="7" s="1"/>
  <c r="Q93" i="7"/>
  <c r="Q100" i="7" s="1"/>
  <c r="P93" i="7"/>
  <c r="P100" i="7" s="1"/>
  <c r="O93" i="7"/>
  <c r="O100" i="7" s="1"/>
  <c r="N93" i="7"/>
  <c r="N100" i="7" s="1"/>
  <c r="M93" i="7"/>
  <c r="M100" i="7" s="1"/>
  <c r="L93" i="7"/>
  <c r="L100" i="7" s="1"/>
  <c r="K93" i="7"/>
  <c r="K100" i="7" s="1"/>
  <c r="J93" i="7"/>
  <c r="J100" i="7" s="1"/>
  <c r="I93" i="7"/>
  <c r="I100" i="7" s="1"/>
  <c r="H93" i="7"/>
  <c r="H100" i="7" s="1"/>
  <c r="G93" i="7"/>
  <c r="G100" i="7" s="1"/>
  <c r="F93" i="7"/>
  <c r="F100" i="7" s="1"/>
  <c r="E93" i="7"/>
  <c r="E100" i="7" s="1"/>
  <c r="D93" i="7"/>
  <c r="D100" i="7" s="1"/>
  <c r="C93" i="7"/>
  <c r="C100" i="7" s="1"/>
  <c r="B93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Z90" i="7" s="1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Z88" i="7" s="1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Z87" i="7" s="1"/>
  <c r="Y86" i="7"/>
  <c r="Y89" i="7" s="1"/>
  <c r="Y91" i="7" s="1"/>
  <c r="X86" i="7"/>
  <c r="X89" i="7" s="1"/>
  <c r="X91" i="7" s="1"/>
  <c r="W86" i="7"/>
  <c r="W89" i="7" s="1"/>
  <c r="W91" i="7" s="1"/>
  <c r="V86" i="7"/>
  <c r="V89" i="7" s="1"/>
  <c r="V91" i="7" s="1"/>
  <c r="U86" i="7"/>
  <c r="U89" i="7" s="1"/>
  <c r="U91" i="7" s="1"/>
  <c r="T86" i="7"/>
  <c r="T89" i="7" s="1"/>
  <c r="T91" i="7" s="1"/>
  <c r="S86" i="7"/>
  <c r="S89" i="7" s="1"/>
  <c r="S91" i="7" s="1"/>
  <c r="R86" i="7"/>
  <c r="R89" i="7" s="1"/>
  <c r="R91" i="7" s="1"/>
  <c r="Q86" i="7"/>
  <c r="Q89" i="7" s="1"/>
  <c r="Q91" i="7" s="1"/>
  <c r="P86" i="7"/>
  <c r="P89" i="7" s="1"/>
  <c r="P91" i="7" s="1"/>
  <c r="O86" i="7"/>
  <c r="O89" i="7" s="1"/>
  <c r="O91" i="7" s="1"/>
  <c r="N86" i="7"/>
  <c r="N89" i="7" s="1"/>
  <c r="N91" i="7" s="1"/>
  <c r="M86" i="7"/>
  <c r="M89" i="7" s="1"/>
  <c r="M91" i="7" s="1"/>
  <c r="L86" i="7"/>
  <c r="L89" i="7" s="1"/>
  <c r="L91" i="7" s="1"/>
  <c r="K86" i="7"/>
  <c r="K89" i="7" s="1"/>
  <c r="K91" i="7" s="1"/>
  <c r="J86" i="7"/>
  <c r="J89" i="7" s="1"/>
  <c r="J91" i="7" s="1"/>
  <c r="I86" i="7"/>
  <c r="I89" i="7" s="1"/>
  <c r="I91" i="7" s="1"/>
  <c r="H86" i="7"/>
  <c r="H89" i="7" s="1"/>
  <c r="H91" i="7" s="1"/>
  <c r="G86" i="7"/>
  <c r="G89" i="7" s="1"/>
  <c r="G91" i="7" s="1"/>
  <c r="F86" i="7"/>
  <c r="F89" i="7" s="1"/>
  <c r="F91" i="7" s="1"/>
  <c r="E86" i="7"/>
  <c r="E89" i="7" s="1"/>
  <c r="E91" i="7" s="1"/>
  <c r="D86" i="7"/>
  <c r="D89" i="7" s="1"/>
  <c r="D91" i="7" s="1"/>
  <c r="C86" i="7"/>
  <c r="C89" i="7" s="1"/>
  <c r="C91" i="7" s="1"/>
  <c r="B86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Z79" i="7" s="1"/>
  <c r="H79" i="7"/>
  <c r="G79" i="7"/>
  <c r="F79" i="7"/>
  <c r="E79" i="7"/>
  <c r="D79" i="7"/>
  <c r="C79" i="7"/>
  <c r="B79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Z77" i="7" s="1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Z73" i="7" s="1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Z72" i="7" s="1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Z71" i="7" s="1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Z70" i="7" s="1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Z69" i="7" s="1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Z68" i="7" s="1"/>
  <c r="Y67" i="7"/>
  <c r="Y74" i="7" s="1"/>
  <c r="X67" i="7"/>
  <c r="X74" i="7" s="1"/>
  <c r="W67" i="7"/>
  <c r="W74" i="7" s="1"/>
  <c r="V67" i="7"/>
  <c r="V74" i="7" s="1"/>
  <c r="U67" i="7"/>
  <c r="U74" i="7" s="1"/>
  <c r="T67" i="7"/>
  <c r="T74" i="7" s="1"/>
  <c r="S67" i="7"/>
  <c r="S74" i="7" s="1"/>
  <c r="R67" i="7"/>
  <c r="R74" i="7" s="1"/>
  <c r="Q67" i="7"/>
  <c r="Q74" i="7" s="1"/>
  <c r="P67" i="7"/>
  <c r="P74" i="7" s="1"/>
  <c r="O67" i="7"/>
  <c r="O74" i="7" s="1"/>
  <c r="N67" i="7"/>
  <c r="N74" i="7" s="1"/>
  <c r="M67" i="7"/>
  <c r="M74" i="7" s="1"/>
  <c r="L67" i="7"/>
  <c r="L74" i="7" s="1"/>
  <c r="K67" i="7"/>
  <c r="K74" i="7" s="1"/>
  <c r="J67" i="7"/>
  <c r="J74" i="7" s="1"/>
  <c r="I67" i="7"/>
  <c r="I74" i="7" s="1"/>
  <c r="H67" i="7"/>
  <c r="H74" i="7" s="1"/>
  <c r="G67" i="7"/>
  <c r="G74" i="7" s="1"/>
  <c r="F67" i="7"/>
  <c r="F74" i="7" s="1"/>
  <c r="E67" i="7"/>
  <c r="E74" i="7" s="1"/>
  <c r="D67" i="7"/>
  <c r="D74" i="7" s="1"/>
  <c r="C67" i="7"/>
  <c r="C74" i="7" s="1"/>
  <c r="B67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Z64" i="7" s="1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Z62" i="7" s="1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Z61" i="7" s="1"/>
  <c r="Y60" i="7"/>
  <c r="Y63" i="7" s="1"/>
  <c r="Y65" i="7" s="1"/>
  <c r="X60" i="7"/>
  <c r="X63" i="7" s="1"/>
  <c r="X65" i="7" s="1"/>
  <c r="W60" i="7"/>
  <c r="W63" i="7" s="1"/>
  <c r="W65" i="7" s="1"/>
  <c r="V60" i="7"/>
  <c r="V63" i="7" s="1"/>
  <c r="V65" i="7" s="1"/>
  <c r="U60" i="7"/>
  <c r="U63" i="7" s="1"/>
  <c r="U65" i="7" s="1"/>
  <c r="T60" i="7"/>
  <c r="T63" i="7" s="1"/>
  <c r="T65" i="7" s="1"/>
  <c r="S60" i="7"/>
  <c r="S63" i="7" s="1"/>
  <c r="S65" i="7" s="1"/>
  <c r="R60" i="7"/>
  <c r="R63" i="7" s="1"/>
  <c r="R65" i="7" s="1"/>
  <c r="Q60" i="7"/>
  <c r="Q63" i="7" s="1"/>
  <c r="Q65" i="7" s="1"/>
  <c r="P60" i="7"/>
  <c r="P63" i="7" s="1"/>
  <c r="P65" i="7" s="1"/>
  <c r="O60" i="7"/>
  <c r="O63" i="7" s="1"/>
  <c r="O65" i="7" s="1"/>
  <c r="N60" i="7"/>
  <c r="N63" i="7" s="1"/>
  <c r="N65" i="7" s="1"/>
  <c r="M60" i="7"/>
  <c r="M63" i="7" s="1"/>
  <c r="M65" i="7" s="1"/>
  <c r="L60" i="7"/>
  <c r="L63" i="7" s="1"/>
  <c r="L65" i="7" s="1"/>
  <c r="K60" i="7"/>
  <c r="K63" i="7" s="1"/>
  <c r="K65" i="7" s="1"/>
  <c r="J60" i="7"/>
  <c r="J63" i="7" s="1"/>
  <c r="J65" i="7" s="1"/>
  <c r="I60" i="7"/>
  <c r="I63" i="7" s="1"/>
  <c r="I65" i="7" s="1"/>
  <c r="H60" i="7"/>
  <c r="H63" i="7" s="1"/>
  <c r="H65" i="7" s="1"/>
  <c r="G60" i="7"/>
  <c r="G63" i="7" s="1"/>
  <c r="G65" i="7" s="1"/>
  <c r="F60" i="7"/>
  <c r="F63" i="7" s="1"/>
  <c r="F65" i="7" s="1"/>
  <c r="E60" i="7"/>
  <c r="E63" i="7" s="1"/>
  <c r="E65" i="7" s="1"/>
  <c r="D60" i="7"/>
  <c r="D63" i="7" s="1"/>
  <c r="D65" i="7" s="1"/>
  <c r="C60" i="7"/>
  <c r="C63" i="7" s="1"/>
  <c r="C65" i="7" s="1"/>
  <c r="B60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Z53" i="7" s="1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Z51" i="7" s="1"/>
  <c r="Y47" i="7"/>
  <c r="X47" i="7"/>
  <c r="W47" i="7"/>
  <c r="V47" i="7"/>
  <c r="U47" i="7"/>
  <c r="T47" i="7"/>
  <c r="S47" i="7"/>
  <c r="R47" i="7"/>
  <c r="Q47" i="7"/>
  <c r="P47" i="7"/>
  <c r="O47" i="7"/>
  <c r="O48" i="7" s="1"/>
  <c r="N47" i="7"/>
  <c r="N48" i="7" s="1"/>
  <c r="M47" i="7"/>
  <c r="M48" i="7" s="1"/>
  <c r="L47" i="7"/>
  <c r="L48" i="7" s="1"/>
  <c r="K47" i="7"/>
  <c r="K48" i="7" s="1"/>
  <c r="J47" i="7"/>
  <c r="J48" i="7" s="1"/>
  <c r="I47" i="7"/>
  <c r="I48" i="7" s="1"/>
  <c r="H47" i="7"/>
  <c r="H48" i="7" s="1"/>
  <c r="G47" i="7"/>
  <c r="G48" i="7" s="1"/>
  <c r="F47" i="7"/>
  <c r="F48" i="7" s="1"/>
  <c r="E47" i="7"/>
  <c r="E48" i="7" s="1"/>
  <c r="D47" i="7"/>
  <c r="D48" i="7" s="1"/>
  <c r="C47" i="7"/>
  <c r="C48" i="7" s="1"/>
  <c r="B47" i="7"/>
  <c r="Y46" i="7"/>
  <c r="Y48" i="7" s="1"/>
  <c r="X46" i="7"/>
  <c r="X48" i="7" s="1"/>
  <c r="W46" i="7"/>
  <c r="W48" i="7" s="1"/>
  <c r="V46" i="7"/>
  <c r="V48" i="7" s="1"/>
  <c r="U46" i="7"/>
  <c r="U48" i="7" s="1"/>
  <c r="T46" i="7"/>
  <c r="T48" i="7" s="1"/>
  <c r="S46" i="7"/>
  <c r="S48" i="7" s="1"/>
  <c r="R46" i="7"/>
  <c r="R48" i="7" s="1"/>
  <c r="Q46" i="7"/>
  <c r="Q48" i="7" s="1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Z45" i="7" s="1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Z44" i="7" s="1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Z43" i="7" s="1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Z42" i="7" s="1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Z41" i="7" s="1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Z38" i="7" s="1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Z36" i="7" s="1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Z35" i="7" s="1"/>
  <c r="Y34" i="7"/>
  <c r="Y37" i="7" s="1"/>
  <c r="Y39" i="7" s="1"/>
  <c r="X34" i="7"/>
  <c r="X37" i="7" s="1"/>
  <c r="X39" i="7" s="1"/>
  <c r="W34" i="7"/>
  <c r="W37" i="7" s="1"/>
  <c r="W39" i="7" s="1"/>
  <c r="V34" i="7"/>
  <c r="V37" i="7" s="1"/>
  <c r="V39" i="7" s="1"/>
  <c r="U34" i="7"/>
  <c r="U37" i="7" s="1"/>
  <c r="U39" i="7" s="1"/>
  <c r="T34" i="7"/>
  <c r="T37" i="7" s="1"/>
  <c r="T39" i="7" s="1"/>
  <c r="S34" i="7"/>
  <c r="S37" i="7" s="1"/>
  <c r="S39" i="7" s="1"/>
  <c r="R34" i="7"/>
  <c r="R37" i="7" s="1"/>
  <c r="R39" i="7" s="1"/>
  <c r="Q34" i="7"/>
  <c r="Q37" i="7" s="1"/>
  <c r="Q39" i="7" s="1"/>
  <c r="P34" i="7"/>
  <c r="P37" i="7" s="1"/>
  <c r="P39" i="7" s="1"/>
  <c r="O34" i="7"/>
  <c r="O37" i="7" s="1"/>
  <c r="O39" i="7" s="1"/>
  <c r="N34" i="7"/>
  <c r="N37" i="7" s="1"/>
  <c r="N39" i="7" s="1"/>
  <c r="M34" i="7"/>
  <c r="M37" i="7" s="1"/>
  <c r="M39" i="7" s="1"/>
  <c r="L34" i="7"/>
  <c r="L37" i="7" s="1"/>
  <c r="L39" i="7" s="1"/>
  <c r="K34" i="7"/>
  <c r="K37" i="7" s="1"/>
  <c r="K39" i="7" s="1"/>
  <c r="J34" i="7"/>
  <c r="J37" i="7" s="1"/>
  <c r="J39" i="7" s="1"/>
  <c r="I34" i="7"/>
  <c r="I37" i="7" s="1"/>
  <c r="I39" i="7" s="1"/>
  <c r="H34" i="7"/>
  <c r="H37" i="7" s="1"/>
  <c r="H39" i="7" s="1"/>
  <c r="G34" i="7"/>
  <c r="G37" i="7" s="1"/>
  <c r="G39" i="7" s="1"/>
  <c r="F34" i="7"/>
  <c r="F37" i="7" s="1"/>
  <c r="F39" i="7" s="1"/>
  <c r="E34" i="7"/>
  <c r="E37" i="7" s="1"/>
  <c r="E39" i="7" s="1"/>
  <c r="D34" i="7"/>
  <c r="D37" i="7" s="1"/>
  <c r="D39" i="7" s="1"/>
  <c r="C34" i="7"/>
  <c r="C37" i="7" s="1"/>
  <c r="C39" i="7" s="1"/>
  <c r="B34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Z27" i="7" s="1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Z25" i="7" s="1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Z21" i="7" s="1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Z20" i="7" s="1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Z19" i="7" s="1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Z18" i="7" s="1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Z17" i="7" s="1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Z16" i="7" s="1"/>
  <c r="Y15" i="7"/>
  <c r="Y22" i="7" s="1"/>
  <c r="X15" i="7"/>
  <c r="X22" i="7" s="1"/>
  <c r="W15" i="7"/>
  <c r="W22" i="7" s="1"/>
  <c r="V15" i="7"/>
  <c r="V22" i="7" s="1"/>
  <c r="U15" i="7"/>
  <c r="U22" i="7" s="1"/>
  <c r="T15" i="7"/>
  <c r="T22" i="7" s="1"/>
  <c r="S15" i="7"/>
  <c r="S22" i="7" s="1"/>
  <c r="R15" i="7"/>
  <c r="R22" i="7" s="1"/>
  <c r="Q15" i="7"/>
  <c r="Q22" i="7" s="1"/>
  <c r="P15" i="7"/>
  <c r="P22" i="7" s="1"/>
  <c r="O15" i="7"/>
  <c r="O22" i="7" s="1"/>
  <c r="N15" i="7"/>
  <c r="N22" i="7" s="1"/>
  <c r="M15" i="7"/>
  <c r="M22" i="7" s="1"/>
  <c r="L15" i="7"/>
  <c r="L22" i="7" s="1"/>
  <c r="K15" i="7"/>
  <c r="K22" i="7" s="1"/>
  <c r="J15" i="7"/>
  <c r="J22" i="7" s="1"/>
  <c r="I15" i="7"/>
  <c r="I22" i="7" s="1"/>
  <c r="H15" i="7"/>
  <c r="H22" i="7" s="1"/>
  <c r="G15" i="7"/>
  <c r="G22" i="7" s="1"/>
  <c r="F15" i="7"/>
  <c r="F22" i="7" s="1"/>
  <c r="E15" i="7"/>
  <c r="E22" i="7" s="1"/>
  <c r="D15" i="7"/>
  <c r="D22" i="7" s="1"/>
  <c r="C15" i="7"/>
  <c r="C22" i="7" s="1"/>
  <c r="B15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Z12" i="7" s="1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Z10" i="7" s="1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Z9" i="7" s="1"/>
  <c r="Y8" i="7"/>
  <c r="Y11" i="7" s="1"/>
  <c r="Y13" i="7" s="1"/>
  <c r="X8" i="7"/>
  <c r="X11" i="7" s="1"/>
  <c r="X13" i="7" s="1"/>
  <c r="W8" i="7"/>
  <c r="W11" i="7" s="1"/>
  <c r="W13" i="7" s="1"/>
  <c r="V8" i="7"/>
  <c r="V11" i="7" s="1"/>
  <c r="V13" i="7" s="1"/>
  <c r="U8" i="7"/>
  <c r="U11" i="7" s="1"/>
  <c r="U13" i="7" s="1"/>
  <c r="T8" i="7"/>
  <c r="T11" i="7" s="1"/>
  <c r="T13" i="7" s="1"/>
  <c r="S8" i="7"/>
  <c r="S11" i="7" s="1"/>
  <c r="S13" i="7" s="1"/>
  <c r="R8" i="7"/>
  <c r="R11" i="7" s="1"/>
  <c r="R13" i="7" s="1"/>
  <c r="Q8" i="7"/>
  <c r="Q11" i="7" s="1"/>
  <c r="Q13" i="7" s="1"/>
  <c r="P8" i="7"/>
  <c r="P11" i="7" s="1"/>
  <c r="P13" i="7" s="1"/>
  <c r="O8" i="7"/>
  <c r="O11" i="7" s="1"/>
  <c r="O13" i="7" s="1"/>
  <c r="N8" i="7"/>
  <c r="N11" i="7" s="1"/>
  <c r="N13" i="7" s="1"/>
  <c r="M8" i="7"/>
  <c r="M11" i="7" s="1"/>
  <c r="M13" i="7" s="1"/>
  <c r="L8" i="7"/>
  <c r="L11" i="7" s="1"/>
  <c r="L13" i="7" s="1"/>
  <c r="K8" i="7"/>
  <c r="K11" i="7" s="1"/>
  <c r="K13" i="7" s="1"/>
  <c r="J8" i="7"/>
  <c r="J11" i="7" s="1"/>
  <c r="J13" i="7" s="1"/>
  <c r="I8" i="7"/>
  <c r="I11" i="7" s="1"/>
  <c r="I13" i="7" s="1"/>
  <c r="H8" i="7"/>
  <c r="H11" i="7" s="1"/>
  <c r="H13" i="7" s="1"/>
  <c r="G8" i="7"/>
  <c r="G11" i="7" s="1"/>
  <c r="G13" i="7" s="1"/>
  <c r="F8" i="7"/>
  <c r="F11" i="7" s="1"/>
  <c r="F13" i="7" s="1"/>
  <c r="E8" i="7"/>
  <c r="E11" i="7" s="1"/>
  <c r="E13" i="7" s="1"/>
  <c r="D8" i="7"/>
  <c r="D11" i="7" s="1"/>
  <c r="D13" i="7" s="1"/>
  <c r="C8" i="7"/>
  <c r="C11" i="7" s="1"/>
  <c r="C13" i="7" s="1"/>
  <c r="B8" i="7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Z25" i="6" s="1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Z23" i="6" s="1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Z19" i="6" s="1"/>
  <c r="Y18" i="6"/>
  <c r="X18" i="6"/>
  <c r="X13" i="9" s="1"/>
  <c r="W18" i="6"/>
  <c r="W13" i="9" s="1"/>
  <c r="V18" i="6"/>
  <c r="V13" i="9" s="1"/>
  <c r="U18" i="6"/>
  <c r="U13" i="9" s="1"/>
  <c r="T18" i="6"/>
  <c r="T13" i="9" s="1"/>
  <c r="S18" i="6"/>
  <c r="S13" i="9" s="1"/>
  <c r="R18" i="6"/>
  <c r="R13" i="9" s="1"/>
  <c r="Q18" i="6"/>
  <c r="Q13" i="9" s="1"/>
  <c r="P18" i="6"/>
  <c r="P13" i="9" s="1"/>
  <c r="O18" i="6"/>
  <c r="O13" i="9" s="1"/>
  <c r="N18" i="6"/>
  <c r="M18" i="6"/>
  <c r="M13" i="9" s="1"/>
  <c r="L18" i="6"/>
  <c r="L13" i="9" s="1"/>
  <c r="K18" i="6"/>
  <c r="K13" i="9" s="1"/>
  <c r="J18" i="6"/>
  <c r="J13" i="9" s="1"/>
  <c r="I18" i="6"/>
  <c r="I13" i="9" s="1"/>
  <c r="H18" i="6"/>
  <c r="H13" i="9" s="1"/>
  <c r="G18" i="6"/>
  <c r="G13" i="9" s="1"/>
  <c r="F18" i="6"/>
  <c r="F13" i="9" s="1"/>
  <c r="E18" i="6"/>
  <c r="E13" i="9" s="1"/>
  <c r="D18" i="6"/>
  <c r="D13" i="9" s="1"/>
  <c r="C18" i="6"/>
  <c r="C13" i="9" s="1"/>
  <c r="B18" i="6"/>
  <c r="Y17" i="6"/>
  <c r="Y12" i="9" s="1"/>
  <c r="X17" i="6"/>
  <c r="X12" i="9" s="1"/>
  <c r="W17" i="6"/>
  <c r="W12" i="9" s="1"/>
  <c r="V17" i="6"/>
  <c r="V12" i="9" s="1"/>
  <c r="U17" i="6"/>
  <c r="U12" i="9" s="1"/>
  <c r="T17" i="6"/>
  <c r="T12" i="9" s="1"/>
  <c r="S17" i="6"/>
  <c r="S12" i="9" s="1"/>
  <c r="R17" i="6"/>
  <c r="R12" i="9" s="1"/>
  <c r="Q17" i="6"/>
  <c r="Q12" i="9" s="1"/>
  <c r="P17" i="6"/>
  <c r="P12" i="9" s="1"/>
  <c r="O17" i="6"/>
  <c r="O12" i="9" s="1"/>
  <c r="N17" i="6"/>
  <c r="M17" i="6"/>
  <c r="M12" i="9" s="1"/>
  <c r="L17" i="6"/>
  <c r="L12" i="9" s="1"/>
  <c r="K17" i="6"/>
  <c r="K12" i="9" s="1"/>
  <c r="J17" i="6"/>
  <c r="J12" i="9" s="1"/>
  <c r="I17" i="6"/>
  <c r="I12" i="9" s="1"/>
  <c r="H17" i="6"/>
  <c r="H12" i="9" s="1"/>
  <c r="G17" i="6"/>
  <c r="G12" i="9" s="1"/>
  <c r="F17" i="6"/>
  <c r="F12" i="9" s="1"/>
  <c r="E17" i="6"/>
  <c r="E12" i="9" s="1"/>
  <c r="D17" i="6"/>
  <c r="D12" i="9" s="1"/>
  <c r="C17" i="6"/>
  <c r="C12" i="9" s="1"/>
  <c r="B17" i="6"/>
  <c r="Y16" i="6"/>
  <c r="Y11" i="9" s="1"/>
  <c r="X16" i="6"/>
  <c r="X11" i="9" s="1"/>
  <c r="W16" i="6"/>
  <c r="W11" i="9" s="1"/>
  <c r="V16" i="6"/>
  <c r="V11" i="9" s="1"/>
  <c r="U16" i="6"/>
  <c r="U11" i="9" s="1"/>
  <c r="T16" i="6"/>
  <c r="T11" i="9" s="1"/>
  <c r="S16" i="6"/>
  <c r="S11" i="9" s="1"/>
  <c r="R16" i="6"/>
  <c r="R11" i="9" s="1"/>
  <c r="Q16" i="6"/>
  <c r="Q11" i="9" s="1"/>
  <c r="P16" i="6"/>
  <c r="P11" i="9" s="1"/>
  <c r="O16" i="6"/>
  <c r="O11" i="9" s="1"/>
  <c r="N16" i="6"/>
  <c r="M16" i="6"/>
  <c r="M11" i="9" s="1"/>
  <c r="L16" i="6"/>
  <c r="L11" i="9" s="1"/>
  <c r="K16" i="6"/>
  <c r="K11" i="9" s="1"/>
  <c r="J16" i="6"/>
  <c r="J11" i="9" s="1"/>
  <c r="I16" i="6"/>
  <c r="I11" i="9" s="1"/>
  <c r="H16" i="6"/>
  <c r="H11" i="9" s="1"/>
  <c r="G16" i="6"/>
  <c r="G11" i="9" s="1"/>
  <c r="F16" i="6"/>
  <c r="F11" i="9" s="1"/>
  <c r="E16" i="6"/>
  <c r="E11" i="9" s="1"/>
  <c r="D16" i="6"/>
  <c r="D11" i="9" s="1"/>
  <c r="C16" i="6"/>
  <c r="C11" i="9" s="1"/>
  <c r="B16" i="6"/>
  <c r="Y15" i="6"/>
  <c r="Y10" i="9" s="1"/>
  <c r="X15" i="6"/>
  <c r="X10" i="9" s="1"/>
  <c r="W15" i="6"/>
  <c r="W10" i="9" s="1"/>
  <c r="V15" i="6"/>
  <c r="V10" i="9" s="1"/>
  <c r="U15" i="6"/>
  <c r="U10" i="9" s="1"/>
  <c r="T15" i="6"/>
  <c r="T10" i="9" s="1"/>
  <c r="S15" i="6"/>
  <c r="S10" i="9" s="1"/>
  <c r="R15" i="6"/>
  <c r="R10" i="9" s="1"/>
  <c r="Q15" i="6"/>
  <c r="Q10" i="9" s="1"/>
  <c r="P15" i="6"/>
  <c r="P10" i="9" s="1"/>
  <c r="O15" i="6"/>
  <c r="O10" i="9" s="1"/>
  <c r="N15" i="6"/>
  <c r="M15" i="6"/>
  <c r="M10" i="9" s="1"/>
  <c r="L15" i="6"/>
  <c r="L10" i="9" s="1"/>
  <c r="K15" i="6"/>
  <c r="K10" i="9" s="1"/>
  <c r="J15" i="6"/>
  <c r="J10" i="9" s="1"/>
  <c r="I15" i="6"/>
  <c r="I10" i="9" s="1"/>
  <c r="H15" i="6"/>
  <c r="H10" i="9" s="1"/>
  <c r="G15" i="6"/>
  <c r="G10" i="9" s="1"/>
  <c r="F15" i="6"/>
  <c r="F10" i="9" s="1"/>
  <c r="E15" i="6"/>
  <c r="E10" i="9" s="1"/>
  <c r="D15" i="6"/>
  <c r="D10" i="9" s="1"/>
  <c r="C15" i="6"/>
  <c r="C10" i="9" s="1"/>
  <c r="B15" i="6"/>
  <c r="Y14" i="6"/>
  <c r="Y9" i="9" s="1"/>
  <c r="X14" i="6"/>
  <c r="X9" i="9" s="1"/>
  <c r="W14" i="6"/>
  <c r="W9" i="9" s="1"/>
  <c r="V14" i="6"/>
  <c r="V9" i="9" s="1"/>
  <c r="U14" i="6"/>
  <c r="U9" i="9" s="1"/>
  <c r="T14" i="6"/>
  <c r="T9" i="9" s="1"/>
  <c r="S14" i="6"/>
  <c r="S9" i="9" s="1"/>
  <c r="R14" i="6"/>
  <c r="R9" i="9" s="1"/>
  <c r="Q14" i="6"/>
  <c r="Q9" i="9" s="1"/>
  <c r="P14" i="6"/>
  <c r="P9" i="9" s="1"/>
  <c r="O14" i="6"/>
  <c r="O9" i="9" s="1"/>
  <c r="N14" i="6"/>
  <c r="M14" i="6"/>
  <c r="M9" i="9" s="1"/>
  <c r="L14" i="6"/>
  <c r="L9" i="9" s="1"/>
  <c r="K14" i="6"/>
  <c r="K9" i="9" s="1"/>
  <c r="J14" i="6"/>
  <c r="J9" i="9" s="1"/>
  <c r="I14" i="6"/>
  <c r="I9" i="9" s="1"/>
  <c r="H14" i="6"/>
  <c r="H9" i="9" s="1"/>
  <c r="G14" i="6"/>
  <c r="G9" i="9" s="1"/>
  <c r="F14" i="6"/>
  <c r="F9" i="9" s="1"/>
  <c r="E14" i="6"/>
  <c r="E9" i="9" s="1"/>
  <c r="D14" i="6"/>
  <c r="D9" i="9" s="1"/>
  <c r="C14" i="6"/>
  <c r="C9" i="9" s="1"/>
  <c r="B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Y10" i="6"/>
  <c r="Y7" i="9" s="1"/>
  <c r="X10" i="6"/>
  <c r="X7" i="9" s="1"/>
  <c r="W10" i="6"/>
  <c r="W7" i="9" s="1"/>
  <c r="V10" i="6"/>
  <c r="V7" i="9" s="1"/>
  <c r="U10" i="6"/>
  <c r="U7" i="9" s="1"/>
  <c r="T10" i="6"/>
  <c r="T7" i="9" s="1"/>
  <c r="S10" i="6"/>
  <c r="S7" i="9" s="1"/>
  <c r="R10" i="6"/>
  <c r="R7" i="9" s="1"/>
  <c r="Q10" i="6"/>
  <c r="Q7" i="9" s="1"/>
  <c r="P10" i="6"/>
  <c r="P7" i="9" s="1"/>
  <c r="O10" i="6"/>
  <c r="O7" i="9" s="1"/>
  <c r="N10" i="6"/>
  <c r="M10" i="6"/>
  <c r="M7" i="9" s="1"/>
  <c r="L10" i="6"/>
  <c r="L7" i="9" s="1"/>
  <c r="K10" i="6"/>
  <c r="K7" i="9" s="1"/>
  <c r="J10" i="6"/>
  <c r="J7" i="9" s="1"/>
  <c r="I10" i="6"/>
  <c r="I7" i="9" s="1"/>
  <c r="H10" i="6"/>
  <c r="H7" i="9" s="1"/>
  <c r="G10" i="6"/>
  <c r="G7" i="9" s="1"/>
  <c r="F10" i="6"/>
  <c r="F7" i="9" s="1"/>
  <c r="E10" i="6"/>
  <c r="E7" i="9" s="1"/>
  <c r="D10" i="6"/>
  <c r="D7" i="9" s="1"/>
  <c r="C10" i="6"/>
  <c r="C7" i="9" s="1"/>
  <c r="B10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Z8" i="6" s="1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Z7" i="6" s="1"/>
  <c r="Y6" i="6"/>
  <c r="Y9" i="6" s="1"/>
  <c r="X6" i="6"/>
  <c r="X9" i="6" s="1"/>
  <c r="W6" i="6"/>
  <c r="W9" i="6" s="1"/>
  <c r="V6" i="6"/>
  <c r="V9" i="6" s="1"/>
  <c r="U6" i="6"/>
  <c r="U9" i="6" s="1"/>
  <c r="T6" i="6"/>
  <c r="T9" i="6" s="1"/>
  <c r="S6" i="6"/>
  <c r="S9" i="6" s="1"/>
  <c r="R6" i="6"/>
  <c r="R9" i="6" s="1"/>
  <c r="Q6" i="6"/>
  <c r="Q9" i="6" s="1"/>
  <c r="P6" i="6"/>
  <c r="P9" i="6" s="1"/>
  <c r="O6" i="6"/>
  <c r="O9" i="6" s="1"/>
  <c r="N6" i="6"/>
  <c r="M6" i="6"/>
  <c r="M9" i="6" s="1"/>
  <c r="L6" i="6"/>
  <c r="L9" i="6" s="1"/>
  <c r="K6" i="6"/>
  <c r="K9" i="6" s="1"/>
  <c r="J6" i="6"/>
  <c r="J9" i="6" s="1"/>
  <c r="I6" i="6"/>
  <c r="I9" i="6" s="1"/>
  <c r="H6" i="6"/>
  <c r="H9" i="6" s="1"/>
  <c r="G6" i="6"/>
  <c r="G9" i="6" s="1"/>
  <c r="F6" i="6"/>
  <c r="F9" i="6" s="1"/>
  <c r="E6" i="6"/>
  <c r="E9" i="6" s="1"/>
  <c r="D6" i="6"/>
  <c r="D9" i="6" s="1"/>
  <c r="C6" i="6"/>
  <c r="C9" i="6" s="1"/>
  <c r="B6" i="6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E26" i="15" l="1"/>
  <c r="F22" i="15"/>
  <c r="C26" i="15"/>
  <c r="D22" i="15"/>
  <c r="F18" i="15"/>
  <c r="G18" i="15" s="1"/>
  <c r="G14" i="15"/>
  <c r="C18" i="15"/>
  <c r="D14" i="15"/>
  <c r="F18" i="14"/>
  <c r="E18" i="14"/>
  <c r="F17" i="14"/>
  <c r="E17" i="14"/>
  <c r="F16" i="14"/>
  <c r="E16" i="14"/>
  <c r="C19" i="14"/>
  <c r="F19" i="14" s="1"/>
  <c r="F15" i="14"/>
  <c r="E15" i="14"/>
  <c r="E19" i="14" s="1"/>
  <c r="F10" i="14"/>
  <c r="E10" i="14"/>
  <c r="E9" i="14"/>
  <c r="F9" i="14"/>
  <c r="E8" i="14"/>
  <c r="F8" i="14"/>
  <c r="F7" i="14"/>
  <c r="E7" i="14"/>
  <c r="F6" i="14"/>
  <c r="E6" i="14"/>
  <c r="C10" i="13"/>
  <c r="C14" i="13" s="1"/>
  <c r="I6" i="13"/>
  <c r="I10" i="13" s="1"/>
  <c r="I14" i="13" s="1"/>
  <c r="F10" i="11"/>
  <c r="G6" i="11"/>
  <c r="H10" i="11"/>
  <c r="C19" i="11" s="1"/>
  <c r="N9" i="15"/>
  <c r="C22" i="12"/>
  <c r="E22" i="12" s="1"/>
  <c r="Z93" i="8"/>
  <c r="B100" i="8"/>
  <c r="Z100" i="8" s="1"/>
  <c r="Y92" i="8"/>
  <c r="Y101" i="8"/>
  <c r="X92" i="8"/>
  <c r="X101" i="8"/>
  <c r="W92" i="8"/>
  <c r="W101" i="8"/>
  <c r="V92" i="8"/>
  <c r="V101" i="8"/>
  <c r="U92" i="8"/>
  <c r="U101" i="8"/>
  <c r="T92" i="8"/>
  <c r="T101" i="8"/>
  <c r="S92" i="8"/>
  <c r="S101" i="8"/>
  <c r="R92" i="8"/>
  <c r="R101" i="8"/>
  <c r="Q92" i="8"/>
  <c r="Q101" i="8"/>
  <c r="P92" i="8"/>
  <c r="P101" i="8"/>
  <c r="O92" i="8"/>
  <c r="O101" i="8"/>
  <c r="N92" i="8"/>
  <c r="N101" i="8"/>
  <c r="M92" i="8"/>
  <c r="M101" i="8"/>
  <c r="L92" i="8"/>
  <c r="L101" i="8"/>
  <c r="K92" i="8"/>
  <c r="K101" i="8"/>
  <c r="J92" i="8"/>
  <c r="J101" i="8"/>
  <c r="I92" i="8"/>
  <c r="I101" i="8"/>
  <c r="H92" i="8"/>
  <c r="H101" i="8"/>
  <c r="G92" i="8"/>
  <c r="G101" i="8"/>
  <c r="F92" i="8"/>
  <c r="F101" i="8"/>
  <c r="E92" i="8"/>
  <c r="E101" i="8"/>
  <c r="D92" i="8"/>
  <c r="D101" i="8"/>
  <c r="C92" i="8"/>
  <c r="C101" i="8"/>
  <c r="Z86" i="8"/>
  <c r="B89" i="8"/>
  <c r="Z67" i="8"/>
  <c r="B74" i="8"/>
  <c r="Z74" i="8" s="1"/>
  <c r="Y66" i="8"/>
  <c r="Y75" i="8"/>
  <c r="X66" i="8"/>
  <c r="X75" i="8"/>
  <c r="W66" i="8"/>
  <c r="W75" i="8"/>
  <c r="V66" i="8"/>
  <c r="V75" i="8"/>
  <c r="U66" i="8"/>
  <c r="U75" i="8"/>
  <c r="T66" i="8"/>
  <c r="T75" i="8"/>
  <c r="S66" i="8"/>
  <c r="S75" i="8"/>
  <c r="R66" i="8"/>
  <c r="R75" i="8"/>
  <c r="Q66" i="8"/>
  <c r="Q75" i="8"/>
  <c r="P66" i="8"/>
  <c r="P75" i="8"/>
  <c r="O66" i="8"/>
  <c r="O75" i="8"/>
  <c r="N66" i="8"/>
  <c r="N75" i="8"/>
  <c r="M66" i="8"/>
  <c r="M75" i="8"/>
  <c r="L66" i="8"/>
  <c r="L75" i="8"/>
  <c r="K66" i="8"/>
  <c r="K75" i="8"/>
  <c r="J66" i="8"/>
  <c r="J75" i="8"/>
  <c r="I66" i="8"/>
  <c r="I75" i="8"/>
  <c r="H66" i="8"/>
  <c r="H75" i="8"/>
  <c r="G66" i="8"/>
  <c r="G75" i="8"/>
  <c r="F66" i="8"/>
  <c r="F75" i="8"/>
  <c r="E66" i="8"/>
  <c r="E75" i="8"/>
  <c r="D66" i="8"/>
  <c r="D75" i="8"/>
  <c r="C66" i="8"/>
  <c r="C75" i="8"/>
  <c r="Z60" i="8"/>
  <c r="B63" i="8"/>
  <c r="B48" i="8"/>
  <c r="Z48" i="8" s="1"/>
  <c r="Z45" i="8"/>
  <c r="V48" i="8"/>
  <c r="Z44" i="8"/>
  <c r="Y40" i="8"/>
  <c r="Y49" i="8"/>
  <c r="X40" i="8"/>
  <c r="X49" i="8"/>
  <c r="W40" i="8"/>
  <c r="W49" i="8"/>
  <c r="V40" i="8"/>
  <c r="V49" i="8"/>
  <c r="U40" i="8"/>
  <c r="U49" i="8"/>
  <c r="T40" i="8"/>
  <c r="T49" i="8"/>
  <c r="S40" i="8"/>
  <c r="S49" i="8"/>
  <c r="R40" i="8"/>
  <c r="R49" i="8"/>
  <c r="Q40" i="8"/>
  <c r="Q49" i="8"/>
  <c r="P40" i="8"/>
  <c r="P49" i="8"/>
  <c r="O40" i="8"/>
  <c r="O49" i="8"/>
  <c r="N40" i="8"/>
  <c r="N49" i="8"/>
  <c r="M40" i="8"/>
  <c r="M49" i="8"/>
  <c r="L40" i="8"/>
  <c r="L49" i="8"/>
  <c r="K40" i="8"/>
  <c r="K49" i="8"/>
  <c r="J40" i="8"/>
  <c r="J49" i="8"/>
  <c r="I40" i="8"/>
  <c r="I49" i="8"/>
  <c r="H40" i="8"/>
  <c r="H49" i="8"/>
  <c r="G40" i="8"/>
  <c r="G49" i="8"/>
  <c r="F40" i="8"/>
  <c r="F49" i="8"/>
  <c r="E40" i="8"/>
  <c r="E49" i="8"/>
  <c r="D40" i="8"/>
  <c r="D49" i="8"/>
  <c r="C40" i="8"/>
  <c r="C49" i="8"/>
  <c r="B37" i="8"/>
  <c r="Z34" i="8"/>
  <c r="Z15" i="8"/>
  <c r="B22" i="8"/>
  <c r="Z22" i="8" s="1"/>
  <c r="Y14" i="8"/>
  <c r="Y23" i="8"/>
  <c r="X14" i="8"/>
  <c r="X23" i="8"/>
  <c r="W14" i="8"/>
  <c r="W23" i="8"/>
  <c r="V14" i="8"/>
  <c r="V23" i="8"/>
  <c r="U14" i="8"/>
  <c r="U23" i="8"/>
  <c r="T14" i="8"/>
  <c r="T23" i="8"/>
  <c r="S14" i="8"/>
  <c r="S23" i="8"/>
  <c r="R14" i="8"/>
  <c r="R23" i="8"/>
  <c r="Q14" i="8"/>
  <c r="Q23" i="8"/>
  <c r="P14" i="8"/>
  <c r="P23" i="8"/>
  <c r="O14" i="8"/>
  <c r="O23" i="8"/>
  <c r="N14" i="8"/>
  <c r="N23" i="8"/>
  <c r="M14" i="8"/>
  <c r="M23" i="8"/>
  <c r="L14" i="8"/>
  <c r="L23" i="8"/>
  <c r="K14" i="8"/>
  <c r="K23" i="8"/>
  <c r="J14" i="8"/>
  <c r="J23" i="8"/>
  <c r="I14" i="8"/>
  <c r="I23" i="8"/>
  <c r="H14" i="8"/>
  <c r="H23" i="8"/>
  <c r="G14" i="8"/>
  <c r="G23" i="8"/>
  <c r="F14" i="8"/>
  <c r="F23" i="8"/>
  <c r="E14" i="8"/>
  <c r="E23" i="8"/>
  <c r="D14" i="8"/>
  <c r="D23" i="8"/>
  <c r="C14" i="8"/>
  <c r="C23" i="8"/>
  <c r="B11" i="8"/>
  <c r="Z8" i="8"/>
  <c r="B100" i="7"/>
  <c r="Z100" i="7" s="1"/>
  <c r="Z93" i="7"/>
  <c r="Y101" i="7"/>
  <c r="Y92" i="7"/>
  <c r="X101" i="7"/>
  <c r="X92" i="7"/>
  <c r="W101" i="7"/>
  <c r="W92" i="7"/>
  <c r="V101" i="7"/>
  <c r="V92" i="7"/>
  <c r="U101" i="7"/>
  <c r="U92" i="7"/>
  <c r="T92" i="7"/>
  <c r="T101" i="7"/>
  <c r="S101" i="7"/>
  <c r="S92" i="7"/>
  <c r="R101" i="7"/>
  <c r="R92" i="7"/>
  <c r="Q101" i="7"/>
  <c r="Q92" i="7"/>
  <c r="P101" i="7"/>
  <c r="P92" i="7"/>
  <c r="O92" i="7"/>
  <c r="O101" i="7"/>
  <c r="N101" i="7"/>
  <c r="N92" i="7"/>
  <c r="M92" i="7"/>
  <c r="M101" i="7"/>
  <c r="L101" i="7"/>
  <c r="L92" i="7"/>
  <c r="K92" i="7"/>
  <c r="K101" i="7"/>
  <c r="J101" i="7"/>
  <c r="J92" i="7"/>
  <c r="I92" i="7"/>
  <c r="I101" i="7"/>
  <c r="H92" i="7"/>
  <c r="H101" i="7"/>
  <c r="G101" i="7"/>
  <c r="G92" i="7"/>
  <c r="F92" i="7"/>
  <c r="F101" i="7"/>
  <c r="E92" i="7"/>
  <c r="E101" i="7"/>
  <c r="D92" i="7"/>
  <c r="D101" i="7"/>
  <c r="C92" i="7"/>
  <c r="C101" i="7"/>
  <c r="Z86" i="7"/>
  <c r="B89" i="7"/>
  <c r="B74" i="7"/>
  <c r="Z74" i="7" s="1"/>
  <c r="Z67" i="7"/>
  <c r="Y66" i="7"/>
  <c r="Y75" i="7"/>
  <c r="X66" i="7"/>
  <c r="X75" i="7"/>
  <c r="W66" i="7"/>
  <c r="W75" i="7"/>
  <c r="V66" i="7"/>
  <c r="V75" i="7"/>
  <c r="U66" i="7"/>
  <c r="U75" i="7"/>
  <c r="T66" i="7"/>
  <c r="T75" i="7"/>
  <c r="S66" i="7"/>
  <c r="S75" i="7"/>
  <c r="R66" i="7"/>
  <c r="R75" i="7"/>
  <c r="Q66" i="7"/>
  <c r="Q75" i="7"/>
  <c r="P66" i="7"/>
  <c r="P75" i="7"/>
  <c r="O66" i="7"/>
  <c r="O75" i="7"/>
  <c r="N66" i="7"/>
  <c r="N75" i="7"/>
  <c r="M66" i="7"/>
  <c r="M75" i="7"/>
  <c r="L66" i="7"/>
  <c r="L75" i="7"/>
  <c r="K66" i="7"/>
  <c r="K75" i="7"/>
  <c r="J66" i="7"/>
  <c r="J75" i="7"/>
  <c r="I66" i="7"/>
  <c r="I75" i="7"/>
  <c r="H66" i="7"/>
  <c r="H75" i="7"/>
  <c r="G66" i="7"/>
  <c r="G75" i="7"/>
  <c r="F66" i="7"/>
  <c r="F75" i="7"/>
  <c r="E66" i="7"/>
  <c r="E75" i="7"/>
  <c r="D66" i="7"/>
  <c r="D75" i="7"/>
  <c r="C66" i="7"/>
  <c r="C75" i="7"/>
  <c r="B63" i="7"/>
  <c r="Z60" i="7"/>
  <c r="B48" i="7"/>
  <c r="Z47" i="7"/>
  <c r="P48" i="7"/>
  <c r="Z46" i="7"/>
  <c r="Y40" i="7"/>
  <c r="Y49" i="7"/>
  <c r="X40" i="7"/>
  <c r="X49" i="7"/>
  <c r="W40" i="7"/>
  <c r="W49" i="7"/>
  <c r="V40" i="7"/>
  <c r="V49" i="7"/>
  <c r="U40" i="7"/>
  <c r="U49" i="7"/>
  <c r="T40" i="7"/>
  <c r="T49" i="7"/>
  <c r="S40" i="7"/>
  <c r="S49" i="7"/>
  <c r="R40" i="7"/>
  <c r="R49" i="7"/>
  <c r="Q40" i="7"/>
  <c r="Q49" i="7"/>
  <c r="P40" i="7"/>
  <c r="P49" i="7"/>
  <c r="O40" i="7"/>
  <c r="O49" i="7"/>
  <c r="N40" i="7"/>
  <c r="N49" i="7"/>
  <c r="M40" i="7"/>
  <c r="M49" i="7"/>
  <c r="L40" i="7"/>
  <c r="L49" i="7"/>
  <c r="K40" i="7"/>
  <c r="K49" i="7"/>
  <c r="J40" i="7"/>
  <c r="J49" i="7"/>
  <c r="I40" i="7"/>
  <c r="I49" i="7"/>
  <c r="H40" i="7"/>
  <c r="H49" i="7"/>
  <c r="G40" i="7"/>
  <c r="G49" i="7"/>
  <c r="F40" i="7"/>
  <c r="F49" i="7"/>
  <c r="E40" i="7"/>
  <c r="E49" i="7"/>
  <c r="D40" i="7"/>
  <c r="D49" i="7"/>
  <c r="C40" i="7"/>
  <c r="C49" i="7"/>
  <c r="B37" i="7"/>
  <c r="Z34" i="7"/>
  <c r="B22" i="7"/>
  <c r="Z22" i="7" s="1"/>
  <c r="Z15" i="7"/>
  <c r="Y14" i="7"/>
  <c r="Y23" i="7"/>
  <c r="X14" i="7"/>
  <c r="X23" i="7"/>
  <c r="W14" i="7"/>
  <c r="W23" i="7"/>
  <c r="V14" i="7"/>
  <c r="V23" i="7"/>
  <c r="U14" i="7"/>
  <c r="U23" i="7"/>
  <c r="T14" i="7"/>
  <c r="T23" i="7"/>
  <c r="S14" i="7"/>
  <c r="S23" i="7"/>
  <c r="R14" i="7"/>
  <c r="R23" i="7"/>
  <c r="Q14" i="7"/>
  <c r="Q23" i="7"/>
  <c r="P14" i="7"/>
  <c r="P23" i="7"/>
  <c r="O14" i="7"/>
  <c r="O23" i="7"/>
  <c r="N14" i="7"/>
  <c r="N23" i="7"/>
  <c r="M14" i="7"/>
  <c r="M23" i="7"/>
  <c r="L14" i="7"/>
  <c r="L23" i="7"/>
  <c r="K14" i="7"/>
  <c r="K23" i="7"/>
  <c r="J14" i="7"/>
  <c r="J23" i="7"/>
  <c r="I14" i="7"/>
  <c r="I23" i="7"/>
  <c r="H14" i="7"/>
  <c r="H23" i="7"/>
  <c r="G14" i="7"/>
  <c r="G23" i="7"/>
  <c r="F14" i="7"/>
  <c r="F23" i="7"/>
  <c r="E14" i="7"/>
  <c r="E23" i="7"/>
  <c r="D14" i="7"/>
  <c r="D23" i="7"/>
  <c r="C14" i="7"/>
  <c r="C23" i="7"/>
  <c r="Z8" i="7"/>
  <c r="B11" i="7"/>
  <c r="H23" i="13"/>
  <c r="C23" i="13"/>
  <c r="D23" i="13"/>
  <c r="E23" i="13"/>
  <c r="F23" i="13"/>
  <c r="G23" i="13"/>
  <c r="D22" i="13"/>
  <c r="C22" i="13"/>
  <c r="F22" i="13"/>
  <c r="E22" i="13"/>
  <c r="N13" i="9"/>
  <c r="H22" i="13"/>
  <c r="G22" i="13"/>
  <c r="B13" i="9"/>
  <c r="Z13" i="9" s="1"/>
  <c r="Z18" i="6"/>
  <c r="H21" i="13"/>
  <c r="G21" i="13"/>
  <c r="F21" i="13"/>
  <c r="E21" i="13"/>
  <c r="D21" i="13"/>
  <c r="C21" i="13"/>
  <c r="I21" i="13" s="1"/>
  <c r="N12" i="9"/>
  <c r="Z17" i="6"/>
  <c r="B12" i="9"/>
  <c r="Z12" i="9" s="1"/>
  <c r="H20" i="13"/>
  <c r="F20" i="13"/>
  <c r="E20" i="13"/>
  <c r="D20" i="13"/>
  <c r="N11" i="9"/>
  <c r="C20" i="13"/>
  <c r="G20" i="13"/>
  <c r="B11" i="9"/>
  <c r="Z11" i="9" s="1"/>
  <c r="Z16" i="6"/>
  <c r="C19" i="13"/>
  <c r="D19" i="13"/>
  <c r="E19" i="13"/>
  <c r="F19" i="13"/>
  <c r="G19" i="13"/>
  <c r="H19" i="13"/>
  <c r="N10" i="9"/>
  <c r="B10" i="9"/>
  <c r="Z10" i="9" s="1"/>
  <c r="Z15" i="6"/>
  <c r="D18" i="13"/>
  <c r="C18" i="13"/>
  <c r="H18" i="13"/>
  <c r="G18" i="13"/>
  <c r="F18" i="13"/>
  <c r="N9" i="9"/>
  <c r="E18" i="13"/>
  <c r="B9" i="9"/>
  <c r="Z9" i="9" s="1"/>
  <c r="Z14" i="6"/>
  <c r="Y8" i="9"/>
  <c r="Y20" i="6"/>
  <c r="X8" i="9"/>
  <c r="X20" i="6"/>
  <c r="W8" i="9"/>
  <c r="W20" i="6"/>
  <c r="V8" i="9"/>
  <c r="V20" i="6"/>
  <c r="U8" i="9"/>
  <c r="U20" i="6"/>
  <c r="T20" i="6"/>
  <c r="T8" i="9"/>
  <c r="S20" i="6"/>
  <c r="S8" i="9"/>
  <c r="R20" i="6"/>
  <c r="R8" i="9"/>
  <c r="Q20" i="6"/>
  <c r="Q8" i="9"/>
  <c r="P20" i="6"/>
  <c r="P8" i="9"/>
  <c r="O20" i="6"/>
  <c r="O8" i="9"/>
  <c r="N8" i="9"/>
  <c r="F17" i="13"/>
  <c r="F24" i="13" s="1"/>
  <c r="E17" i="13"/>
  <c r="E24" i="13" s="1"/>
  <c r="N20" i="6"/>
  <c r="C17" i="13"/>
  <c r="D17" i="13"/>
  <c r="D24" i="13" s="1"/>
  <c r="H17" i="13"/>
  <c r="H24" i="13" s="1"/>
  <c r="G17" i="13"/>
  <c r="G24" i="13" s="1"/>
  <c r="M8" i="9"/>
  <c r="M20" i="6"/>
  <c r="L20" i="6"/>
  <c r="L8" i="9"/>
  <c r="K20" i="6"/>
  <c r="K8" i="9"/>
  <c r="J20" i="6"/>
  <c r="J8" i="9"/>
  <c r="I20" i="6"/>
  <c r="I8" i="9"/>
  <c r="H20" i="6"/>
  <c r="H8" i="9"/>
  <c r="G20" i="6"/>
  <c r="G8" i="9"/>
  <c r="F8" i="9"/>
  <c r="F20" i="6"/>
  <c r="E8" i="9"/>
  <c r="E20" i="6"/>
  <c r="D8" i="9"/>
  <c r="D20" i="6"/>
  <c r="C8" i="9"/>
  <c r="C20" i="6"/>
  <c r="B8" i="9"/>
  <c r="Z13" i="6"/>
  <c r="B20" i="6"/>
  <c r="E8" i="12"/>
  <c r="N7" i="9"/>
  <c r="D8" i="12"/>
  <c r="B7" i="9"/>
  <c r="Z7" i="9" s="1"/>
  <c r="Z10" i="6"/>
  <c r="Y11" i="6"/>
  <c r="Y6" i="9"/>
  <c r="X11" i="6"/>
  <c r="X6" i="9"/>
  <c r="W11" i="6"/>
  <c r="W6" i="9"/>
  <c r="V11" i="6"/>
  <c r="V6" i="9"/>
  <c r="U11" i="6"/>
  <c r="U6" i="9"/>
  <c r="T11" i="6"/>
  <c r="T6" i="9"/>
  <c r="C30" i="13"/>
  <c r="S11" i="6"/>
  <c r="S6" i="9"/>
  <c r="R11" i="6"/>
  <c r="R6" i="9"/>
  <c r="Q11" i="6"/>
  <c r="Q6" i="9"/>
  <c r="P11" i="6"/>
  <c r="P6" i="9"/>
  <c r="O11" i="6"/>
  <c r="O6" i="9"/>
  <c r="E6" i="12"/>
  <c r="N9" i="6"/>
  <c r="M11" i="6"/>
  <c r="M6" i="9"/>
  <c r="L11" i="6"/>
  <c r="L6" i="9"/>
  <c r="K11" i="6"/>
  <c r="K6" i="9"/>
  <c r="J11" i="6"/>
  <c r="J6" i="9"/>
  <c r="I11" i="6"/>
  <c r="I6" i="9"/>
  <c r="H11" i="6"/>
  <c r="H6" i="9"/>
  <c r="H16" i="9" s="1"/>
  <c r="G11" i="6"/>
  <c r="G6" i="9"/>
  <c r="G16" i="9" s="1"/>
  <c r="F11" i="6"/>
  <c r="F6" i="9"/>
  <c r="F16" i="9" s="1"/>
  <c r="E11" i="6"/>
  <c r="E6" i="9"/>
  <c r="E16" i="9" s="1"/>
  <c r="D11" i="6"/>
  <c r="D6" i="9"/>
  <c r="D16" i="9" s="1"/>
  <c r="C11" i="6"/>
  <c r="C6" i="9"/>
  <c r="C16" i="9" s="1"/>
  <c r="D6" i="12"/>
  <c r="B9" i="6"/>
  <c r="Z6" i="6"/>
  <c r="C6" i="12" s="1"/>
  <c r="D23" i="15" l="1"/>
  <c r="D24" i="15"/>
  <c r="D25" i="15"/>
  <c r="D15" i="15"/>
  <c r="D16" i="15"/>
  <c r="D17" i="15"/>
  <c r="C23" i="14"/>
  <c r="C28" i="14" s="1"/>
  <c r="C24" i="14"/>
  <c r="C29" i="14" s="1"/>
  <c r="D30" i="13"/>
  <c r="G10" i="11"/>
  <c r="C14" i="11"/>
  <c r="C18" i="11"/>
  <c r="Y102" i="8"/>
  <c r="Y104" i="8"/>
  <c r="Y106" i="8" s="1"/>
  <c r="Y107" i="8" s="1"/>
  <c r="X102" i="8"/>
  <c r="X104" i="8"/>
  <c r="X106" i="8" s="1"/>
  <c r="X107" i="8" s="1"/>
  <c r="W102" i="8"/>
  <c r="W104" i="8"/>
  <c r="W106" i="8" s="1"/>
  <c r="W107" i="8" s="1"/>
  <c r="V102" i="8"/>
  <c r="V104" i="8"/>
  <c r="V106" i="8" s="1"/>
  <c r="V107" i="8" s="1"/>
  <c r="U102" i="8"/>
  <c r="U104" i="8"/>
  <c r="U106" i="8" s="1"/>
  <c r="U107" i="8" s="1"/>
  <c r="T102" i="8"/>
  <c r="T104" i="8"/>
  <c r="T106" i="8" s="1"/>
  <c r="T107" i="8" s="1"/>
  <c r="S102" i="8"/>
  <c r="S104" i="8"/>
  <c r="S106" i="8" s="1"/>
  <c r="S107" i="8" s="1"/>
  <c r="R102" i="8"/>
  <c r="R104" i="8"/>
  <c r="R106" i="8" s="1"/>
  <c r="R107" i="8" s="1"/>
  <c r="Q102" i="8"/>
  <c r="Q104" i="8"/>
  <c r="Q106" i="8" s="1"/>
  <c r="Q107" i="8" s="1"/>
  <c r="P102" i="8"/>
  <c r="P104" i="8"/>
  <c r="P106" i="8" s="1"/>
  <c r="P107" i="8" s="1"/>
  <c r="O102" i="8"/>
  <c r="O104" i="8"/>
  <c r="O106" i="8" s="1"/>
  <c r="O107" i="8" s="1"/>
  <c r="N102" i="8"/>
  <c r="N104" i="8"/>
  <c r="N106" i="8" s="1"/>
  <c r="N107" i="8" s="1"/>
  <c r="M102" i="8"/>
  <c r="M104" i="8"/>
  <c r="M106" i="8" s="1"/>
  <c r="M107" i="8" s="1"/>
  <c r="L102" i="8"/>
  <c r="L104" i="8"/>
  <c r="L106" i="8" s="1"/>
  <c r="L107" i="8" s="1"/>
  <c r="K102" i="8"/>
  <c r="K104" i="8"/>
  <c r="K106" i="8" s="1"/>
  <c r="K107" i="8" s="1"/>
  <c r="J102" i="8"/>
  <c r="J104" i="8"/>
  <c r="J106" i="8" s="1"/>
  <c r="J107" i="8" s="1"/>
  <c r="I102" i="8"/>
  <c r="I104" i="8"/>
  <c r="I106" i="8" s="1"/>
  <c r="I107" i="8" s="1"/>
  <c r="H102" i="8"/>
  <c r="H104" i="8"/>
  <c r="H106" i="8" s="1"/>
  <c r="H107" i="8" s="1"/>
  <c r="G102" i="8"/>
  <c r="G104" i="8"/>
  <c r="G106" i="8" s="1"/>
  <c r="G107" i="8" s="1"/>
  <c r="F102" i="8"/>
  <c r="F104" i="8"/>
  <c r="F106" i="8" s="1"/>
  <c r="F107" i="8" s="1"/>
  <c r="E102" i="8"/>
  <c r="E104" i="8"/>
  <c r="E106" i="8" s="1"/>
  <c r="E107" i="8" s="1"/>
  <c r="D102" i="8"/>
  <c r="D104" i="8"/>
  <c r="D106" i="8" s="1"/>
  <c r="D107" i="8" s="1"/>
  <c r="C102" i="8"/>
  <c r="C104" i="8"/>
  <c r="C106" i="8" s="1"/>
  <c r="C107" i="8" s="1"/>
  <c r="Z89" i="8"/>
  <c r="B91" i="8"/>
  <c r="Y76" i="8"/>
  <c r="Y78" i="8"/>
  <c r="Y80" i="8" s="1"/>
  <c r="Y81" i="8" s="1"/>
  <c r="X76" i="8"/>
  <c r="X78" i="8"/>
  <c r="X80" i="8" s="1"/>
  <c r="X81" i="8" s="1"/>
  <c r="W76" i="8"/>
  <c r="W78" i="8"/>
  <c r="W80" i="8" s="1"/>
  <c r="W81" i="8" s="1"/>
  <c r="V76" i="8"/>
  <c r="V78" i="8"/>
  <c r="V80" i="8" s="1"/>
  <c r="V81" i="8" s="1"/>
  <c r="U76" i="8"/>
  <c r="U78" i="8"/>
  <c r="U80" i="8" s="1"/>
  <c r="U81" i="8" s="1"/>
  <c r="T76" i="8"/>
  <c r="T78" i="8"/>
  <c r="T80" i="8" s="1"/>
  <c r="T81" i="8" s="1"/>
  <c r="S76" i="8"/>
  <c r="S78" i="8"/>
  <c r="S80" i="8" s="1"/>
  <c r="S81" i="8" s="1"/>
  <c r="R76" i="8"/>
  <c r="R78" i="8"/>
  <c r="R80" i="8" s="1"/>
  <c r="R81" i="8" s="1"/>
  <c r="Q76" i="8"/>
  <c r="Q78" i="8"/>
  <c r="Q80" i="8" s="1"/>
  <c r="Q81" i="8" s="1"/>
  <c r="P76" i="8"/>
  <c r="P78" i="8"/>
  <c r="P80" i="8" s="1"/>
  <c r="P81" i="8" s="1"/>
  <c r="O76" i="8"/>
  <c r="O78" i="8"/>
  <c r="O80" i="8" s="1"/>
  <c r="O81" i="8" s="1"/>
  <c r="N76" i="8"/>
  <c r="N78" i="8"/>
  <c r="N80" i="8" s="1"/>
  <c r="N81" i="8" s="1"/>
  <c r="M76" i="8"/>
  <c r="M78" i="8"/>
  <c r="M80" i="8" s="1"/>
  <c r="M81" i="8" s="1"/>
  <c r="L76" i="8"/>
  <c r="L78" i="8"/>
  <c r="L80" i="8" s="1"/>
  <c r="L81" i="8" s="1"/>
  <c r="K76" i="8"/>
  <c r="K78" i="8"/>
  <c r="K80" i="8" s="1"/>
  <c r="K81" i="8" s="1"/>
  <c r="J76" i="8"/>
  <c r="J78" i="8"/>
  <c r="J80" i="8" s="1"/>
  <c r="J81" i="8" s="1"/>
  <c r="I76" i="8"/>
  <c r="I78" i="8"/>
  <c r="I80" i="8" s="1"/>
  <c r="I81" i="8" s="1"/>
  <c r="H76" i="8"/>
  <c r="H78" i="8"/>
  <c r="H80" i="8" s="1"/>
  <c r="H81" i="8" s="1"/>
  <c r="G76" i="8"/>
  <c r="G78" i="8"/>
  <c r="G80" i="8" s="1"/>
  <c r="G81" i="8" s="1"/>
  <c r="F76" i="8"/>
  <c r="F78" i="8"/>
  <c r="F80" i="8" s="1"/>
  <c r="F81" i="8" s="1"/>
  <c r="E76" i="8"/>
  <c r="E78" i="8"/>
  <c r="E80" i="8" s="1"/>
  <c r="E81" i="8" s="1"/>
  <c r="D76" i="8"/>
  <c r="D78" i="8"/>
  <c r="D80" i="8" s="1"/>
  <c r="D81" i="8" s="1"/>
  <c r="C76" i="8"/>
  <c r="C78" i="8"/>
  <c r="C80" i="8" s="1"/>
  <c r="C81" i="8" s="1"/>
  <c r="Z63" i="8"/>
  <c r="B65" i="8"/>
  <c r="Y50" i="8"/>
  <c r="Y52" i="8"/>
  <c r="Y54" i="8" s="1"/>
  <c r="Y55" i="8" s="1"/>
  <c r="X50" i="8"/>
  <c r="X52" i="8"/>
  <c r="X54" i="8" s="1"/>
  <c r="X55" i="8" s="1"/>
  <c r="W50" i="8"/>
  <c r="W52" i="8"/>
  <c r="W54" i="8" s="1"/>
  <c r="W55" i="8" s="1"/>
  <c r="V50" i="8"/>
  <c r="V52" i="8"/>
  <c r="V54" i="8" s="1"/>
  <c r="V55" i="8" s="1"/>
  <c r="U50" i="8"/>
  <c r="U52" i="8"/>
  <c r="U54" i="8" s="1"/>
  <c r="U55" i="8" s="1"/>
  <c r="T50" i="8"/>
  <c r="T52" i="8"/>
  <c r="T54" i="8" s="1"/>
  <c r="T55" i="8" s="1"/>
  <c r="S50" i="8"/>
  <c r="S52" i="8"/>
  <c r="S54" i="8" s="1"/>
  <c r="S55" i="8" s="1"/>
  <c r="R50" i="8"/>
  <c r="R52" i="8"/>
  <c r="R54" i="8" s="1"/>
  <c r="R55" i="8" s="1"/>
  <c r="Q50" i="8"/>
  <c r="Q52" i="8"/>
  <c r="Q54" i="8" s="1"/>
  <c r="Q55" i="8" s="1"/>
  <c r="P50" i="8"/>
  <c r="P52" i="8"/>
  <c r="P54" i="8" s="1"/>
  <c r="P55" i="8" s="1"/>
  <c r="O50" i="8"/>
  <c r="O52" i="8"/>
  <c r="O54" i="8" s="1"/>
  <c r="O55" i="8" s="1"/>
  <c r="N50" i="8"/>
  <c r="N52" i="8"/>
  <c r="N54" i="8" s="1"/>
  <c r="N55" i="8" s="1"/>
  <c r="M50" i="8"/>
  <c r="M52" i="8"/>
  <c r="M54" i="8" s="1"/>
  <c r="M55" i="8" s="1"/>
  <c r="L50" i="8"/>
  <c r="L52" i="8"/>
  <c r="L54" i="8" s="1"/>
  <c r="L55" i="8" s="1"/>
  <c r="K50" i="8"/>
  <c r="K52" i="8"/>
  <c r="K54" i="8" s="1"/>
  <c r="K55" i="8" s="1"/>
  <c r="J50" i="8"/>
  <c r="J52" i="8"/>
  <c r="J54" i="8" s="1"/>
  <c r="J55" i="8" s="1"/>
  <c r="I50" i="8"/>
  <c r="I52" i="8"/>
  <c r="I54" i="8" s="1"/>
  <c r="I55" i="8" s="1"/>
  <c r="H50" i="8"/>
  <c r="H52" i="8"/>
  <c r="H54" i="8" s="1"/>
  <c r="H55" i="8" s="1"/>
  <c r="G50" i="8"/>
  <c r="G52" i="8"/>
  <c r="G54" i="8" s="1"/>
  <c r="G55" i="8" s="1"/>
  <c r="F50" i="8"/>
  <c r="F52" i="8"/>
  <c r="F54" i="8" s="1"/>
  <c r="F55" i="8" s="1"/>
  <c r="E50" i="8"/>
  <c r="E52" i="8"/>
  <c r="E54" i="8" s="1"/>
  <c r="E55" i="8" s="1"/>
  <c r="D50" i="8"/>
  <c r="D52" i="8"/>
  <c r="D54" i="8" s="1"/>
  <c r="D55" i="8" s="1"/>
  <c r="C50" i="8"/>
  <c r="C52" i="8"/>
  <c r="C54" i="8" s="1"/>
  <c r="C55" i="8" s="1"/>
  <c r="Z37" i="8"/>
  <c r="B39" i="8"/>
  <c r="Y24" i="8"/>
  <c r="Y26" i="8"/>
  <c r="Y28" i="8" s="1"/>
  <c r="Y29" i="8" s="1"/>
  <c r="X24" i="8"/>
  <c r="X26" i="8"/>
  <c r="X28" i="8" s="1"/>
  <c r="X29" i="8" s="1"/>
  <c r="W24" i="8"/>
  <c r="W26" i="8"/>
  <c r="W28" i="8" s="1"/>
  <c r="W29" i="8" s="1"/>
  <c r="V24" i="8"/>
  <c r="V26" i="8"/>
  <c r="V28" i="8" s="1"/>
  <c r="V29" i="8" s="1"/>
  <c r="U24" i="8"/>
  <c r="U26" i="8"/>
  <c r="U28" i="8" s="1"/>
  <c r="U29" i="8" s="1"/>
  <c r="T24" i="8"/>
  <c r="T26" i="8"/>
  <c r="T28" i="8" s="1"/>
  <c r="T29" i="8" s="1"/>
  <c r="S24" i="8"/>
  <c r="S26" i="8"/>
  <c r="S28" i="8" s="1"/>
  <c r="S29" i="8" s="1"/>
  <c r="R24" i="8"/>
  <c r="R26" i="8"/>
  <c r="R28" i="8" s="1"/>
  <c r="R29" i="8" s="1"/>
  <c r="Q24" i="8"/>
  <c r="Q26" i="8"/>
  <c r="Q28" i="8" s="1"/>
  <c r="Q29" i="8" s="1"/>
  <c r="P24" i="8"/>
  <c r="P26" i="8"/>
  <c r="P28" i="8" s="1"/>
  <c r="P29" i="8" s="1"/>
  <c r="O24" i="8"/>
  <c r="O26" i="8"/>
  <c r="O28" i="8" s="1"/>
  <c r="O29" i="8" s="1"/>
  <c r="N24" i="8"/>
  <c r="N26" i="8"/>
  <c r="N28" i="8" s="1"/>
  <c r="N29" i="8" s="1"/>
  <c r="M24" i="8"/>
  <c r="M26" i="8"/>
  <c r="M28" i="8" s="1"/>
  <c r="M29" i="8" s="1"/>
  <c r="L24" i="8"/>
  <c r="L26" i="8"/>
  <c r="L28" i="8" s="1"/>
  <c r="L29" i="8" s="1"/>
  <c r="K24" i="8"/>
  <c r="K26" i="8"/>
  <c r="K28" i="8" s="1"/>
  <c r="K29" i="8" s="1"/>
  <c r="J24" i="8"/>
  <c r="J26" i="8"/>
  <c r="J28" i="8" s="1"/>
  <c r="J29" i="8" s="1"/>
  <c r="I24" i="8"/>
  <c r="I26" i="8"/>
  <c r="I28" i="8" s="1"/>
  <c r="I29" i="8" s="1"/>
  <c r="H24" i="8"/>
  <c r="H26" i="8"/>
  <c r="H28" i="8" s="1"/>
  <c r="H29" i="8" s="1"/>
  <c r="G24" i="8"/>
  <c r="G26" i="8"/>
  <c r="G28" i="8" s="1"/>
  <c r="G29" i="8" s="1"/>
  <c r="F24" i="8"/>
  <c r="F26" i="8"/>
  <c r="F28" i="8" s="1"/>
  <c r="F29" i="8" s="1"/>
  <c r="E24" i="8"/>
  <c r="E26" i="8"/>
  <c r="E28" i="8" s="1"/>
  <c r="E29" i="8" s="1"/>
  <c r="D24" i="8"/>
  <c r="D26" i="8"/>
  <c r="D28" i="8" s="1"/>
  <c r="D29" i="8" s="1"/>
  <c r="C24" i="8"/>
  <c r="C26" i="8"/>
  <c r="C28" i="8" s="1"/>
  <c r="C29" i="8" s="1"/>
  <c r="Z11" i="8"/>
  <c r="B13" i="8"/>
  <c r="Y102" i="7"/>
  <c r="Y104" i="7"/>
  <c r="Y106" i="7" s="1"/>
  <c r="Y107" i="7" s="1"/>
  <c r="X102" i="7"/>
  <c r="X104" i="7"/>
  <c r="X106" i="7" s="1"/>
  <c r="X107" i="7" s="1"/>
  <c r="W102" i="7"/>
  <c r="W104" i="7"/>
  <c r="W106" i="7" s="1"/>
  <c r="W107" i="7" s="1"/>
  <c r="V102" i="7"/>
  <c r="V104" i="7"/>
  <c r="V106" i="7" s="1"/>
  <c r="V107" i="7" s="1"/>
  <c r="U102" i="7"/>
  <c r="U104" i="7"/>
  <c r="U106" i="7" s="1"/>
  <c r="U107" i="7" s="1"/>
  <c r="T102" i="7"/>
  <c r="T104" i="7"/>
  <c r="T106" i="7" s="1"/>
  <c r="T107" i="7" s="1"/>
  <c r="S102" i="7"/>
  <c r="S104" i="7"/>
  <c r="S106" i="7" s="1"/>
  <c r="S107" i="7" s="1"/>
  <c r="R102" i="7"/>
  <c r="R104" i="7"/>
  <c r="R106" i="7" s="1"/>
  <c r="R107" i="7" s="1"/>
  <c r="Q102" i="7"/>
  <c r="Q104" i="7"/>
  <c r="Q106" i="7" s="1"/>
  <c r="Q107" i="7" s="1"/>
  <c r="P102" i="7"/>
  <c r="P104" i="7"/>
  <c r="P106" i="7" s="1"/>
  <c r="P107" i="7" s="1"/>
  <c r="O102" i="7"/>
  <c r="O104" i="7"/>
  <c r="O106" i="7" s="1"/>
  <c r="O107" i="7" s="1"/>
  <c r="N102" i="7"/>
  <c r="N104" i="7"/>
  <c r="N106" i="7" s="1"/>
  <c r="N107" i="7" s="1"/>
  <c r="M102" i="7"/>
  <c r="M104" i="7"/>
  <c r="M106" i="7" s="1"/>
  <c r="M107" i="7" s="1"/>
  <c r="L102" i="7"/>
  <c r="L104" i="7"/>
  <c r="L106" i="7" s="1"/>
  <c r="L107" i="7" s="1"/>
  <c r="K102" i="7"/>
  <c r="K104" i="7"/>
  <c r="K106" i="7" s="1"/>
  <c r="K107" i="7" s="1"/>
  <c r="J102" i="7"/>
  <c r="J104" i="7"/>
  <c r="J106" i="7" s="1"/>
  <c r="J107" i="7" s="1"/>
  <c r="I102" i="7"/>
  <c r="I104" i="7"/>
  <c r="I106" i="7" s="1"/>
  <c r="I107" i="7" s="1"/>
  <c r="H102" i="7"/>
  <c r="H104" i="7"/>
  <c r="H106" i="7" s="1"/>
  <c r="H107" i="7" s="1"/>
  <c r="G102" i="7"/>
  <c r="G104" i="7"/>
  <c r="G106" i="7" s="1"/>
  <c r="G107" i="7" s="1"/>
  <c r="F102" i="7"/>
  <c r="F104" i="7"/>
  <c r="F106" i="7" s="1"/>
  <c r="F107" i="7" s="1"/>
  <c r="E102" i="7"/>
  <c r="E104" i="7"/>
  <c r="E106" i="7" s="1"/>
  <c r="E107" i="7" s="1"/>
  <c r="D102" i="7"/>
  <c r="D104" i="7"/>
  <c r="D106" i="7" s="1"/>
  <c r="D107" i="7" s="1"/>
  <c r="C102" i="7"/>
  <c r="C104" i="7"/>
  <c r="C106" i="7" s="1"/>
  <c r="C107" i="7" s="1"/>
  <c r="Z89" i="7"/>
  <c r="B91" i="7"/>
  <c r="Y76" i="7"/>
  <c r="Y78" i="7"/>
  <c r="Y80" i="7" s="1"/>
  <c r="Y81" i="7" s="1"/>
  <c r="X76" i="7"/>
  <c r="X78" i="7"/>
  <c r="X80" i="7" s="1"/>
  <c r="X81" i="7" s="1"/>
  <c r="W76" i="7"/>
  <c r="W78" i="7"/>
  <c r="W80" i="7" s="1"/>
  <c r="W81" i="7" s="1"/>
  <c r="V76" i="7"/>
  <c r="V78" i="7"/>
  <c r="V80" i="7" s="1"/>
  <c r="V81" i="7" s="1"/>
  <c r="U76" i="7"/>
  <c r="U78" i="7"/>
  <c r="U80" i="7" s="1"/>
  <c r="U81" i="7" s="1"/>
  <c r="T76" i="7"/>
  <c r="T78" i="7"/>
  <c r="T80" i="7" s="1"/>
  <c r="T81" i="7" s="1"/>
  <c r="S76" i="7"/>
  <c r="S78" i="7"/>
  <c r="S80" i="7" s="1"/>
  <c r="S81" i="7" s="1"/>
  <c r="R76" i="7"/>
  <c r="R78" i="7"/>
  <c r="R80" i="7" s="1"/>
  <c r="R81" i="7" s="1"/>
  <c r="Q76" i="7"/>
  <c r="Q78" i="7"/>
  <c r="Q80" i="7" s="1"/>
  <c r="Q81" i="7" s="1"/>
  <c r="P76" i="7"/>
  <c r="P78" i="7"/>
  <c r="P80" i="7" s="1"/>
  <c r="P81" i="7" s="1"/>
  <c r="O76" i="7"/>
  <c r="O78" i="7"/>
  <c r="O80" i="7" s="1"/>
  <c r="O81" i="7" s="1"/>
  <c r="N76" i="7"/>
  <c r="N78" i="7"/>
  <c r="N80" i="7" s="1"/>
  <c r="N81" i="7" s="1"/>
  <c r="M76" i="7"/>
  <c r="M78" i="7"/>
  <c r="M80" i="7" s="1"/>
  <c r="M81" i="7" s="1"/>
  <c r="L76" i="7"/>
  <c r="L78" i="7"/>
  <c r="L80" i="7" s="1"/>
  <c r="L81" i="7" s="1"/>
  <c r="K76" i="7"/>
  <c r="K78" i="7"/>
  <c r="K80" i="7" s="1"/>
  <c r="K81" i="7" s="1"/>
  <c r="J76" i="7"/>
  <c r="J78" i="7"/>
  <c r="J80" i="7" s="1"/>
  <c r="J81" i="7" s="1"/>
  <c r="I76" i="7"/>
  <c r="I78" i="7"/>
  <c r="I80" i="7" s="1"/>
  <c r="I81" i="7" s="1"/>
  <c r="H76" i="7"/>
  <c r="H78" i="7"/>
  <c r="H80" i="7" s="1"/>
  <c r="H81" i="7" s="1"/>
  <c r="G76" i="7"/>
  <c r="G78" i="7"/>
  <c r="G80" i="7" s="1"/>
  <c r="G81" i="7" s="1"/>
  <c r="F76" i="7"/>
  <c r="F78" i="7"/>
  <c r="F80" i="7" s="1"/>
  <c r="F81" i="7" s="1"/>
  <c r="E76" i="7"/>
  <c r="E78" i="7"/>
  <c r="E80" i="7" s="1"/>
  <c r="E81" i="7" s="1"/>
  <c r="D76" i="7"/>
  <c r="D78" i="7"/>
  <c r="D80" i="7" s="1"/>
  <c r="D81" i="7" s="1"/>
  <c r="C76" i="7"/>
  <c r="C78" i="7"/>
  <c r="C80" i="7" s="1"/>
  <c r="C81" i="7" s="1"/>
  <c r="Z63" i="7"/>
  <c r="B65" i="7"/>
  <c r="Y50" i="7"/>
  <c r="Y52" i="7"/>
  <c r="Y54" i="7" s="1"/>
  <c r="Y55" i="7" s="1"/>
  <c r="X50" i="7"/>
  <c r="X52" i="7"/>
  <c r="X54" i="7" s="1"/>
  <c r="X55" i="7" s="1"/>
  <c r="W50" i="7"/>
  <c r="W52" i="7"/>
  <c r="W54" i="7" s="1"/>
  <c r="W55" i="7" s="1"/>
  <c r="V50" i="7"/>
  <c r="V52" i="7"/>
  <c r="V54" i="7" s="1"/>
  <c r="V55" i="7" s="1"/>
  <c r="U50" i="7"/>
  <c r="U52" i="7"/>
  <c r="U54" i="7" s="1"/>
  <c r="U55" i="7" s="1"/>
  <c r="T50" i="7"/>
  <c r="T52" i="7"/>
  <c r="T54" i="7" s="1"/>
  <c r="T55" i="7" s="1"/>
  <c r="S50" i="7"/>
  <c r="S52" i="7"/>
  <c r="S54" i="7" s="1"/>
  <c r="S55" i="7" s="1"/>
  <c r="R50" i="7"/>
  <c r="R52" i="7"/>
  <c r="R54" i="7" s="1"/>
  <c r="R55" i="7" s="1"/>
  <c r="Q50" i="7"/>
  <c r="Q52" i="7"/>
  <c r="Q54" i="7" s="1"/>
  <c r="Q55" i="7" s="1"/>
  <c r="P50" i="7"/>
  <c r="P52" i="7"/>
  <c r="P54" i="7" s="1"/>
  <c r="P55" i="7" s="1"/>
  <c r="O50" i="7"/>
  <c r="O52" i="7"/>
  <c r="O54" i="7" s="1"/>
  <c r="O55" i="7" s="1"/>
  <c r="N50" i="7"/>
  <c r="N52" i="7"/>
  <c r="N54" i="7" s="1"/>
  <c r="N55" i="7" s="1"/>
  <c r="M50" i="7"/>
  <c r="M52" i="7"/>
  <c r="M54" i="7" s="1"/>
  <c r="M55" i="7" s="1"/>
  <c r="L50" i="7"/>
  <c r="L52" i="7"/>
  <c r="L54" i="7" s="1"/>
  <c r="L55" i="7" s="1"/>
  <c r="K50" i="7"/>
  <c r="K52" i="7"/>
  <c r="K54" i="7" s="1"/>
  <c r="K55" i="7" s="1"/>
  <c r="J50" i="7"/>
  <c r="J52" i="7"/>
  <c r="J54" i="7" s="1"/>
  <c r="J55" i="7" s="1"/>
  <c r="I50" i="7"/>
  <c r="I52" i="7"/>
  <c r="I54" i="7" s="1"/>
  <c r="I55" i="7" s="1"/>
  <c r="H50" i="7"/>
  <c r="H52" i="7"/>
  <c r="H54" i="7" s="1"/>
  <c r="H55" i="7" s="1"/>
  <c r="G50" i="7"/>
  <c r="G52" i="7"/>
  <c r="G54" i="7" s="1"/>
  <c r="G55" i="7" s="1"/>
  <c r="F50" i="7"/>
  <c r="F52" i="7"/>
  <c r="F54" i="7" s="1"/>
  <c r="F55" i="7" s="1"/>
  <c r="E50" i="7"/>
  <c r="E52" i="7"/>
  <c r="E54" i="7" s="1"/>
  <c r="E55" i="7" s="1"/>
  <c r="D50" i="7"/>
  <c r="D52" i="7"/>
  <c r="D54" i="7" s="1"/>
  <c r="D55" i="7" s="1"/>
  <c r="C50" i="7"/>
  <c r="C52" i="7"/>
  <c r="C54" i="7" s="1"/>
  <c r="C55" i="7" s="1"/>
  <c r="Z37" i="7"/>
  <c r="B39" i="7"/>
  <c r="Y24" i="7"/>
  <c r="Y26" i="7"/>
  <c r="Y28" i="7" s="1"/>
  <c r="Y29" i="7" s="1"/>
  <c r="X24" i="7"/>
  <c r="X26" i="7"/>
  <c r="X28" i="7" s="1"/>
  <c r="X29" i="7" s="1"/>
  <c r="W24" i="7"/>
  <c r="W26" i="7"/>
  <c r="W28" i="7" s="1"/>
  <c r="W29" i="7" s="1"/>
  <c r="V24" i="7"/>
  <c r="V26" i="7"/>
  <c r="V28" i="7" s="1"/>
  <c r="V29" i="7" s="1"/>
  <c r="U24" i="7"/>
  <c r="U26" i="7"/>
  <c r="U28" i="7" s="1"/>
  <c r="U29" i="7" s="1"/>
  <c r="T24" i="7"/>
  <c r="T26" i="7"/>
  <c r="T28" i="7" s="1"/>
  <c r="T29" i="7" s="1"/>
  <c r="S24" i="7"/>
  <c r="S26" i="7"/>
  <c r="S28" i="7" s="1"/>
  <c r="S29" i="7" s="1"/>
  <c r="R24" i="7"/>
  <c r="R26" i="7"/>
  <c r="R28" i="7" s="1"/>
  <c r="R29" i="7" s="1"/>
  <c r="Q24" i="7"/>
  <c r="Q26" i="7"/>
  <c r="Q28" i="7" s="1"/>
  <c r="Q29" i="7" s="1"/>
  <c r="P24" i="7"/>
  <c r="P26" i="7"/>
  <c r="P28" i="7" s="1"/>
  <c r="P29" i="7" s="1"/>
  <c r="O24" i="7"/>
  <c r="O26" i="7"/>
  <c r="O28" i="7" s="1"/>
  <c r="O29" i="7" s="1"/>
  <c r="N24" i="7"/>
  <c r="N26" i="7"/>
  <c r="N28" i="7" s="1"/>
  <c r="N29" i="7" s="1"/>
  <c r="M24" i="7"/>
  <c r="M26" i="7"/>
  <c r="M28" i="7" s="1"/>
  <c r="M29" i="7" s="1"/>
  <c r="L24" i="7"/>
  <c r="L26" i="7"/>
  <c r="L28" i="7" s="1"/>
  <c r="L29" i="7" s="1"/>
  <c r="K24" i="7"/>
  <c r="K26" i="7"/>
  <c r="K28" i="7" s="1"/>
  <c r="K29" i="7" s="1"/>
  <c r="J24" i="7"/>
  <c r="J26" i="7"/>
  <c r="J28" i="7" s="1"/>
  <c r="J29" i="7" s="1"/>
  <c r="I24" i="7"/>
  <c r="I26" i="7"/>
  <c r="I28" i="7" s="1"/>
  <c r="I29" i="7" s="1"/>
  <c r="H24" i="7"/>
  <c r="H26" i="7"/>
  <c r="H28" i="7" s="1"/>
  <c r="H29" i="7" s="1"/>
  <c r="G24" i="7"/>
  <c r="G26" i="7"/>
  <c r="G28" i="7" s="1"/>
  <c r="G29" i="7" s="1"/>
  <c r="F24" i="7"/>
  <c r="F26" i="7"/>
  <c r="F28" i="7" s="1"/>
  <c r="F29" i="7" s="1"/>
  <c r="E24" i="7"/>
  <c r="E26" i="7"/>
  <c r="E28" i="7" s="1"/>
  <c r="E29" i="7" s="1"/>
  <c r="D24" i="7"/>
  <c r="D26" i="7"/>
  <c r="D28" i="7" s="1"/>
  <c r="D29" i="7" s="1"/>
  <c r="C24" i="7"/>
  <c r="C26" i="7"/>
  <c r="C28" i="7" s="1"/>
  <c r="C29" i="7" s="1"/>
  <c r="Z11" i="7"/>
  <c r="B13" i="7"/>
  <c r="I17" i="13"/>
  <c r="C24" i="13"/>
  <c r="C19" i="10"/>
  <c r="C15" i="11"/>
  <c r="C16" i="11"/>
  <c r="C17" i="11"/>
  <c r="C8" i="12"/>
  <c r="C31" i="12"/>
  <c r="Y12" i="6"/>
  <c r="Y21" i="6"/>
  <c r="X12" i="6"/>
  <c r="X21" i="6"/>
  <c r="W12" i="6"/>
  <c r="W21" i="6"/>
  <c r="V12" i="6"/>
  <c r="V21" i="6"/>
  <c r="U12" i="6"/>
  <c r="U21" i="6"/>
  <c r="T12" i="6"/>
  <c r="T21" i="6"/>
  <c r="S12" i="6"/>
  <c r="S21" i="6"/>
  <c r="R12" i="6"/>
  <c r="R21" i="6"/>
  <c r="Q12" i="6"/>
  <c r="Q21" i="6"/>
  <c r="P12" i="6"/>
  <c r="P21" i="6"/>
  <c r="O12" i="6"/>
  <c r="O21" i="6"/>
  <c r="N11" i="6"/>
  <c r="N6" i="9"/>
  <c r="N16" i="9" s="1"/>
  <c r="E7" i="12"/>
  <c r="M12" i="6"/>
  <c r="M21" i="6"/>
  <c r="L12" i="6"/>
  <c r="L21" i="6"/>
  <c r="K12" i="6"/>
  <c r="K21" i="6"/>
  <c r="J12" i="6"/>
  <c r="J21" i="6"/>
  <c r="I12" i="6"/>
  <c r="I21" i="6"/>
  <c r="H12" i="6"/>
  <c r="H21" i="6"/>
  <c r="G12" i="6"/>
  <c r="G21" i="6"/>
  <c r="F12" i="6"/>
  <c r="F21" i="6"/>
  <c r="E12" i="6"/>
  <c r="E21" i="6"/>
  <c r="D12" i="6"/>
  <c r="D21" i="6"/>
  <c r="C12" i="6"/>
  <c r="C21" i="6"/>
  <c r="Z9" i="6"/>
  <c r="B11" i="6"/>
  <c r="B6" i="9"/>
  <c r="D7" i="12"/>
  <c r="F26" i="15"/>
  <c r="Z48" i="7"/>
  <c r="I23" i="13"/>
  <c r="I22" i="13"/>
  <c r="I20" i="13"/>
  <c r="I19" i="13"/>
  <c r="I18" i="13"/>
  <c r="Z8" i="9"/>
  <c r="Z20" i="6"/>
  <c r="C20" i="10" s="1"/>
  <c r="Y16" i="9"/>
  <c r="X16" i="9"/>
  <c r="W16" i="9"/>
  <c r="V16" i="9"/>
  <c r="U16" i="9"/>
  <c r="T16" i="9"/>
  <c r="S16" i="9"/>
  <c r="R16" i="9"/>
  <c r="Q16" i="9"/>
  <c r="P16" i="9"/>
  <c r="O16" i="9"/>
  <c r="M16" i="9"/>
  <c r="L16" i="9"/>
  <c r="K16" i="9"/>
  <c r="J16" i="9"/>
  <c r="I16" i="9"/>
  <c r="E30" i="13" l="1"/>
  <c r="F30" i="13"/>
  <c r="Z91" i="8"/>
  <c r="Z92" i="8" s="1"/>
  <c r="B92" i="8"/>
  <c r="B101" i="8"/>
  <c r="Z65" i="8"/>
  <c r="Z66" i="8" s="1"/>
  <c r="B66" i="8"/>
  <c r="B75" i="8"/>
  <c r="Z39" i="8"/>
  <c r="Z40" i="8" s="1"/>
  <c r="B40" i="8"/>
  <c r="B49" i="8"/>
  <c r="Z13" i="8"/>
  <c r="Z14" i="8" s="1"/>
  <c r="B14" i="8"/>
  <c r="B23" i="8"/>
  <c r="Z91" i="7"/>
  <c r="Z92" i="7" s="1"/>
  <c r="B92" i="7"/>
  <c r="B101" i="7"/>
  <c r="Z65" i="7"/>
  <c r="Z66" i="7" s="1"/>
  <c r="B66" i="7"/>
  <c r="B75" i="7"/>
  <c r="Z39" i="7"/>
  <c r="Z40" i="7" s="1"/>
  <c r="B40" i="7"/>
  <c r="B49" i="7"/>
  <c r="Z13" i="7"/>
  <c r="Z14" i="7" s="1"/>
  <c r="B14" i="7"/>
  <c r="B23" i="7"/>
  <c r="Y22" i="6"/>
  <c r="Y24" i="6"/>
  <c r="Y26" i="6" s="1"/>
  <c r="X22" i="6"/>
  <c r="X24" i="6"/>
  <c r="X26" i="6" s="1"/>
  <c r="W22" i="6"/>
  <c r="W24" i="6"/>
  <c r="W26" i="6" s="1"/>
  <c r="V22" i="6"/>
  <c r="V24" i="6"/>
  <c r="V26" i="6" s="1"/>
  <c r="U22" i="6"/>
  <c r="U24" i="6"/>
  <c r="U26" i="6" s="1"/>
  <c r="T22" i="6"/>
  <c r="T24" i="6"/>
  <c r="T26" i="6" s="1"/>
  <c r="C31" i="13"/>
  <c r="S22" i="6"/>
  <c r="S24" i="6"/>
  <c r="S26" i="6" s="1"/>
  <c r="R22" i="6"/>
  <c r="R24" i="6"/>
  <c r="R26" i="6" s="1"/>
  <c r="Q22" i="6"/>
  <c r="Q24" i="6"/>
  <c r="Q26" i="6" s="1"/>
  <c r="P22" i="6"/>
  <c r="P24" i="6"/>
  <c r="P26" i="6" s="1"/>
  <c r="O22" i="6"/>
  <c r="O24" i="6"/>
  <c r="O26" i="6" s="1"/>
  <c r="N12" i="6"/>
  <c r="N21" i="6"/>
  <c r="E9" i="12"/>
  <c r="E12" i="12" s="1"/>
  <c r="M22" i="6"/>
  <c r="M24" i="6"/>
  <c r="M26" i="6" s="1"/>
  <c r="L22" i="6"/>
  <c r="L24" i="6"/>
  <c r="L26" i="6" s="1"/>
  <c r="K22" i="6"/>
  <c r="K24" i="6"/>
  <c r="K26" i="6" s="1"/>
  <c r="J22" i="6"/>
  <c r="J24" i="6"/>
  <c r="J26" i="6" s="1"/>
  <c r="I22" i="6"/>
  <c r="I24" i="6"/>
  <c r="I26" i="6" s="1"/>
  <c r="H22" i="6"/>
  <c r="H24" i="6"/>
  <c r="H26" i="6" s="1"/>
  <c r="G22" i="6"/>
  <c r="G24" i="6"/>
  <c r="G26" i="6" s="1"/>
  <c r="F22" i="6"/>
  <c r="F24" i="6"/>
  <c r="F26" i="6" s="1"/>
  <c r="E22" i="6"/>
  <c r="E24" i="6"/>
  <c r="E26" i="6" s="1"/>
  <c r="D22" i="6"/>
  <c r="D24" i="6"/>
  <c r="D26" i="6" s="1"/>
  <c r="C22" i="6"/>
  <c r="C24" i="6"/>
  <c r="C26" i="6" s="1"/>
  <c r="D15" i="13"/>
  <c r="D16" i="13" s="1"/>
  <c r="D25" i="13" s="1"/>
  <c r="D26" i="13" s="1"/>
  <c r="E15" i="13"/>
  <c r="E16" i="13" s="1"/>
  <c r="E25" i="13" s="1"/>
  <c r="E26" i="13" s="1"/>
  <c r="F15" i="13"/>
  <c r="F16" i="13" s="1"/>
  <c r="F25" i="13" s="1"/>
  <c r="F26" i="13" s="1"/>
  <c r="G15" i="13"/>
  <c r="G16" i="13" s="1"/>
  <c r="G25" i="13" s="1"/>
  <c r="G26" i="13" s="1"/>
  <c r="H15" i="13"/>
  <c r="H16" i="13" s="1"/>
  <c r="H25" i="13" s="1"/>
  <c r="H26" i="13" s="1"/>
  <c r="C15" i="10"/>
  <c r="C16" i="10"/>
  <c r="C17" i="10" s="1"/>
  <c r="C7" i="12"/>
  <c r="C32" i="12"/>
  <c r="B6" i="15"/>
  <c r="Z11" i="6"/>
  <c r="B12" i="6"/>
  <c r="B21" i="6"/>
  <c r="D9" i="12"/>
  <c r="D12" i="12" s="1"/>
  <c r="Z6" i="9"/>
  <c r="B16" i="9"/>
  <c r="D26" i="15"/>
  <c r="D18" i="15"/>
  <c r="I24" i="13"/>
  <c r="C21" i="10"/>
  <c r="C15" i="13"/>
  <c r="C16" i="13" s="1"/>
  <c r="C25" i="13" s="1"/>
  <c r="C26" i="13" s="1"/>
  <c r="I15" i="13"/>
  <c r="I16" i="13" s="1"/>
  <c r="I25" i="13" s="1"/>
  <c r="C20" i="11"/>
  <c r="Z101" i="8" l="1"/>
  <c r="Z102" i="8" s="1"/>
  <c r="B102" i="8"/>
  <c r="B104" i="8"/>
  <c r="Z75" i="8"/>
  <c r="Z76" i="8" s="1"/>
  <c r="B76" i="8"/>
  <c r="B78" i="8"/>
  <c r="Z49" i="8"/>
  <c r="Z50" i="8" s="1"/>
  <c r="B50" i="8"/>
  <c r="B52" i="8"/>
  <c r="Z23" i="8"/>
  <c r="Z24" i="8" s="1"/>
  <c r="B24" i="8"/>
  <c r="B26" i="8"/>
  <c r="Z101" i="7"/>
  <c r="Z102" i="7" s="1"/>
  <c r="B102" i="7"/>
  <c r="B104" i="7"/>
  <c r="Z75" i="7"/>
  <c r="Z76" i="7" s="1"/>
  <c r="B76" i="7"/>
  <c r="B78" i="7"/>
  <c r="Z49" i="7"/>
  <c r="Z50" i="7" s="1"/>
  <c r="B50" i="7"/>
  <c r="B52" i="7"/>
  <c r="Z23" i="7"/>
  <c r="Z24" i="7" s="1"/>
  <c r="B24" i="7"/>
  <c r="B26" i="7"/>
  <c r="Y27" i="6"/>
  <c r="Y21" i="9"/>
  <c r="Y24" i="9" s="1"/>
  <c r="Y26" i="9" s="1"/>
  <c r="X27" i="6"/>
  <c r="X21" i="9"/>
  <c r="X24" i="9" s="1"/>
  <c r="X26" i="9" s="1"/>
  <c r="W27" i="6"/>
  <c r="W21" i="9"/>
  <c r="W24" i="9" s="1"/>
  <c r="W26" i="9" s="1"/>
  <c r="V27" i="6"/>
  <c r="V21" i="9"/>
  <c r="V24" i="9" s="1"/>
  <c r="V26" i="9" s="1"/>
  <c r="U27" i="6"/>
  <c r="U21" i="9"/>
  <c r="U24" i="9" s="1"/>
  <c r="U26" i="9" s="1"/>
  <c r="T27" i="6"/>
  <c r="T21" i="9"/>
  <c r="T24" i="9" s="1"/>
  <c r="T26" i="9" s="1"/>
  <c r="S27" i="6"/>
  <c r="S21" i="9"/>
  <c r="S24" i="9" s="1"/>
  <c r="S26" i="9" s="1"/>
  <c r="R27" i="6"/>
  <c r="R21" i="9"/>
  <c r="R24" i="9" s="1"/>
  <c r="R26" i="9" s="1"/>
  <c r="Q27" i="6"/>
  <c r="Q21" i="9"/>
  <c r="Q24" i="9" s="1"/>
  <c r="Q26" i="9" s="1"/>
  <c r="P27" i="6"/>
  <c r="P21" i="9"/>
  <c r="P24" i="9" s="1"/>
  <c r="P26" i="9" s="1"/>
  <c r="O27" i="6"/>
  <c r="O21" i="9"/>
  <c r="O24" i="9" s="1"/>
  <c r="O26" i="9" s="1"/>
  <c r="N22" i="6"/>
  <c r="N24" i="6"/>
  <c r="N26" i="6" s="1"/>
  <c r="E10" i="12"/>
  <c r="E13" i="12" s="1"/>
  <c r="M27" i="6"/>
  <c r="M21" i="9"/>
  <c r="M24" i="9" s="1"/>
  <c r="M26" i="9" s="1"/>
  <c r="L27" i="6"/>
  <c r="L21" i="9"/>
  <c r="L24" i="9" s="1"/>
  <c r="L26" i="9" s="1"/>
  <c r="K27" i="6"/>
  <c r="K21" i="9"/>
  <c r="K24" i="9" s="1"/>
  <c r="K26" i="9" s="1"/>
  <c r="J27" i="6"/>
  <c r="J21" i="9"/>
  <c r="J24" i="9" s="1"/>
  <c r="J26" i="9" s="1"/>
  <c r="I27" i="6"/>
  <c r="I21" i="9"/>
  <c r="I24" i="9" s="1"/>
  <c r="I26" i="9" s="1"/>
  <c r="H27" i="6"/>
  <c r="H21" i="9"/>
  <c r="H24" i="9" s="1"/>
  <c r="H26" i="9" s="1"/>
  <c r="G27" i="6"/>
  <c r="G21" i="9"/>
  <c r="G24" i="9" s="1"/>
  <c r="G26" i="9" s="1"/>
  <c r="F27" i="6"/>
  <c r="F21" i="9"/>
  <c r="F24" i="9" s="1"/>
  <c r="F26" i="9" s="1"/>
  <c r="E27" i="6"/>
  <c r="E21" i="9"/>
  <c r="E24" i="9" s="1"/>
  <c r="E26" i="9" s="1"/>
  <c r="D27" i="6"/>
  <c r="D21" i="9"/>
  <c r="D24" i="9" s="1"/>
  <c r="D26" i="9" s="1"/>
  <c r="C27" i="6"/>
  <c r="C21" i="9"/>
  <c r="C24" i="9" s="1"/>
  <c r="C26" i="9" s="1"/>
  <c r="Z12" i="6"/>
  <c r="C9" i="12"/>
  <c r="C12" i="12" s="1"/>
  <c r="F6" i="15"/>
  <c r="B9" i="15"/>
  <c r="Z21" i="6"/>
  <c r="B22" i="6"/>
  <c r="B24" i="6"/>
  <c r="D10" i="12"/>
  <c r="D13" i="12" s="1"/>
  <c r="Z16" i="9"/>
  <c r="B29" i="9"/>
  <c r="C29" i="9" s="1"/>
  <c r="D29" i="9" s="1"/>
  <c r="E29" i="9" s="1"/>
  <c r="F29" i="9" s="1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S29" i="9" s="1"/>
  <c r="T29" i="9" s="1"/>
  <c r="U29" i="9" s="1"/>
  <c r="V29" i="9" s="1"/>
  <c r="W29" i="9" s="1"/>
  <c r="X29" i="9" s="1"/>
  <c r="Y29" i="9" s="1"/>
  <c r="Z29" i="9" s="1"/>
  <c r="D31" i="13"/>
  <c r="I26" i="13"/>
  <c r="C22" i="10"/>
  <c r="Z104" i="8" l="1"/>
  <c r="B106" i="8"/>
  <c r="Z78" i="8"/>
  <c r="B80" i="8"/>
  <c r="Z52" i="8"/>
  <c r="B54" i="8"/>
  <c r="Z26" i="8"/>
  <c r="B28" i="8"/>
  <c r="Z104" i="7"/>
  <c r="B106" i="7"/>
  <c r="Z78" i="7"/>
  <c r="B80" i="7"/>
  <c r="Z52" i="7"/>
  <c r="B54" i="7"/>
  <c r="Z26" i="7"/>
  <c r="B28" i="7"/>
  <c r="N27" i="6"/>
  <c r="N21" i="9"/>
  <c r="N24" i="9" s="1"/>
  <c r="N26" i="9" s="1"/>
  <c r="E11" i="12"/>
  <c r="E14" i="12" s="1"/>
  <c r="Z22" i="6"/>
  <c r="C10" i="12"/>
  <c r="C13" i="12" s="1"/>
  <c r="C33" i="12"/>
  <c r="J6" i="15"/>
  <c r="F9" i="15"/>
  <c r="Z24" i="6"/>
  <c r="B26" i="6"/>
  <c r="E31" i="13"/>
  <c r="F31" i="13"/>
  <c r="C23" i="12"/>
  <c r="C23" i="10"/>
  <c r="C24" i="12" s="1"/>
  <c r="E24" i="12" s="1"/>
  <c r="Z106" i="8" l="1"/>
  <c r="Z107" i="8" s="1"/>
  <c r="B107" i="8"/>
  <c r="Z80" i="8"/>
  <c r="Z81" i="8" s="1"/>
  <c r="B81" i="8"/>
  <c r="Z54" i="8"/>
  <c r="Z55" i="8" s="1"/>
  <c r="B55" i="8"/>
  <c r="Z28" i="8"/>
  <c r="Z29" i="8" s="1"/>
  <c r="B29" i="8"/>
  <c r="Z106" i="7"/>
  <c r="Z107" i="7" s="1"/>
  <c r="B107" i="7"/>
  <c r="Z80" i="7"/>
  <c r="Z81" i="7" s="1"/>
  <c r="B81" i="7"/>
  <c r="Z54" i="7"/>
  <c r="Z55" i="7" s="1"/>
  <c r="B55" i="7"/>
  <c r="Z28" i="7"/>
  <c r="Z29" i="7" s="1"/>
  <c r="B29" i="7"/>
  <c r="Z26" i="6"/>
  <c r="B27" i="6"/>
  <c r="B21" i="9"/>
  <c r="D11" i="12"/>
  <c r="D14" i="12" s="1"/>
  <c r="Z27" i="6" l="1"/>
  <c r="C11" i="12"/>
  <c r="C14" i="12" s="1"/>
  <c r="N6" i="15"/>
  <c r="J9" i="15"/>
  <c r="Z21" i="9"/>
  <c r="B24" i="9"/>
  <c r="Z24" i="9" l="1"/>
  <c r="B26" i="9"/>
  <c r="Z26" i="9" s="1"/>
</calcChain>
</file>

<file path=xl/sharedStrings.xml><?xml version="1.0" encoding="utf-8"?>
<sst xmlns="http://schemas.openxmlformats.org/spreadsheetml/2006/main" count="4052" uniqueCount="611">
  <si>
    <t>FINANCE OPS &amp; ANALYTICS</t>
  </si>
  <si>
    <t>Modelo Financeiro Gerencial — Empresa Beauty Omnichannel</t>
  </si>
  <si>
    <t>Período:</t>
  </si>
  <si>
    <t>Jan/2023 a Dez/2024 (24 meses)</t>
  </si>
  <si>
    <t>Canais:</t>
  </si>
  <si>
    <t>E-commerce · Marketplace · Franquia · Loja Própria</t>
  </si>
  <si>
    <t>Categorias:</t>
  </si>
  <si>
    <t>Skincare · Maquiagem · Perfumes · Haircare</t>
  </si>
  <si>
    <t>SKUs:</t>
  </si>
  <si>
    <t>58 produtos ativos</t>
  </si>
  <si>
    <t>Receita líquida 24m:</t>
  </si>
  <si>
    <t>R$ 3,99 MM (média mensal R$ 166,5 k)</t>
  </si>
  <si>
    <t>Status do modelo:</t>
  </si>
  <si>
    <t>Operação em virada — break-even cruzado em Nov-Dez/2024</t>
  </si>
  <si>
    <t>ÍNDICE DE ABAS</t>
  </si>
  <si>
    <t>02_Premissas</t>
  </si>
  <si>
    <t>Parâmetros editáveis do modelo (tributos, forecast, BPO)</t>
  </si>
  <si>
    <t>03_Base_Vendas</t>
  </si>
  <si>
    <t>Base agregada de vendas: 24m × 4 canais × 4 categorias</t>
  </si>
  <si>
    <t>04_Base_Despesas</t>
  </si>
  <si>
    <t>Base agregada de despesas operacionais por categoria</t>
  </si>
  <si>
    <t>05_Base_Apoio</t>
  </si>
  <si>
    <t>Pagamentos, estoque, clientes e calendário</t>
  </si>
  <si>
    <t>06_DRE_Consolidada</t>
  </si>
  <si>
    <t>DRE gerencial mensal — receita até EBITDA e resultado</t>
  </si>
  <si>
    <t>07_DRE_por_Canal</t>
  </si>
  <si>
    <t>DRE replicada para cada canal de venda</t>
  </si>
  <si>
    <t>08_DRE_por_Categoria</t>
  </si>
  <si>
    <t>DRE replicada para cada categoria de produto</t>
  </si>
  <si>
    <t>09_Fluxo_de_Caixa</t>
  </si>
  <si>
    <t>Fluxo de caixa operacional pelos métodos direto e indireto</t>
  </si>
  <si>
    <t>10_Capital_de_Giro</t>
  </si>
  <si>
    <t>PMR · PMP · PME · NCG · ciclo financeiro</t>
  </si>
  <si>
    <t>11_Estoque_e_Giro</t>
  </si>
  <si>
    <t>Aging, cobertura e giro de estoque por categoria</t>
  </si>
  <si>
    <t>12_KPIs</t>
  </si>
  <si>
    <t>Painel de indicadores financeiros e operacionais</t>
  </si>
  <si>
    <t>13_Forecast_6M</t>
  </si>
  <si>
    <t>Projeção simplificada do 1º semestre de 2025</t>
  </si>
  <si>
    <t>14_Antes_vs_Depois</t>
  </si>
  <si>
    <t>Comparativo do fechamento D+12 → D+5 (ROI do projeto)</t>
  </si>
  <si>
    <t>15_Dashboard_Exec</t>
  </si>
  <si>
    <t>Visão executiva consolidada com gráficos</t>
  </si>
  <si>
    <t>LEGENDA DE CORES</t>
  </si>
  <si>
    <t>Texto azul</t>
  </si>
  <si>
    <t>Input editável (premissa, parâmetro)</t>
  </si>
  <si>
    <t>Texto preto</t>
  </si>
  <si>
    <t>Fórmula / cálculo</t>
  </si>
  <si>
    <t>Texto verde</t>
  </si>
  <si>
    <t>Link entre abas</t>
  </si>
  <si>
    <t>Fundo amarelo</t>
  </si>
  <si>
    <t>Premissa-chave (revisar com frequência)</t>
  </si>
  <si>
    <t>Fundo verde</t>
  </si>
  <si>
    <t>Resultado favorável</t>
  </si>
  <si>
    <t>Fundo vermelho</t>
  </si>
  <si>
    <t>Resultado desfavorável / alerta</t>
  </si>
  <si>
    <t>Modelo gerencial. Tributos federais/estaduais não inclusos: receita líquida = receita bruta − devoluções − comissões de canal.</t>
  </si>
  <si>
    <t>02 — PREMISSAS DO MODELO</t>
  </si>
  <si>
    <t>Parâmetros editáveis em azul. Alterações recalculam todas as abas.</t>
  </si>
  <si>
    <t>Forecast — Crescimento mensal projetado (média móvel × premissa)</t>
  </si>
  <si>
    <t>Canal</t>
  </si>
  <si>
    <t>Crescimento (%a.m.)</t>
  </si>
  <si>
    <t>Janela média (meses)</t>
  </si>
  <si>
    <t>Observação</t>
  </si>
  <si>
    <t>E-commerce</t>
  </si>
  <si>
    <t>canal com maior elasticidade — alvo de tração</t>
  </si>
  <si>
    <t>Marketplace</t>
  </si>
  <si>
    <t>crescimento moderado, dependente de comissão</t>
  </si>
  <si>
    <t>Franquia</t>
  </si>
  <si>
    <t>expansão controlada, novas unidades em ramp-up</t>
  </si>
  <si>
    <t>Loja Própria</t>
  </si>
  <si>
    <t>footprint físico estável, foco em produtividade</t>
  </si>
  <si>
    <t>Inflação aplicada às despesas no forecast</t>
  </si>
  <si>
    <t>Inflação mensal</t>
  </si>
  <si>
    <t>≈ 6,2% a.a. — proxy IPCA</t>
  </si>
  <si>
    <t>Sazonalidade — fatores aplicados ao forecast por mês</t>
  </si>
  <si>
    <t>Mês</t>
  </si>
  <si>
    <t>Fator (1.0 = neutro)</t>
  </si>
  <si>
    <t>Jan</t>
  </si>
  <si>
    <t>pós-festas</t>
  </si>
  <si>
    <t>Fev</t>
  </si>
  <si>
    <t>mês curto, baixa</t>
  </si>
  <si>
    <t>Mar</t>
  </si>
  <si>
    <t>neutro</t>
  </si>
  <si>
    <t>Abr</t>
  </si>
  <si>
    <t>neutro/baixa</t>
  </si>
  <si>
    <t>Mai</t>
  </si>
  <si>
    <t>Dia das Mães — alta</t>
  </si>
  <si>
    <t>Jun</t>
  </si>
  <si>
    <t>Namorados</t>
  </si>
  <si>
    <t>Antes vs Depois — premissas do projeto de transformação</t>
  </si>
  <si>
    <t>Métrica</t>
  </si>
  <si>
    <t>Antes</t>
  </si>
  <si>
    <t>Depois</t>
  </si>
  <si>
    <t>Prazo de fechamento (dias úteis)</t>
  </si>
  <si>
    <t>Redução de 7 dias por fechamento</t>
  </si>
  <si>
    <t>Horas/mês — analista financeiro</t>
  </si>
  <si>
    <t>Liberação de capacidade analítica</t>
  </si>
  <si>
    <t>Custo médio R$/hora analista</t>
  </si>
  <si>
    <t>Custo total (folha + encargos)</t>
  </si>
  <si>
    <t>Lançamentos retrabalho/mês</t>
  </si>
  <si>
    <t>Erros pós-fechamento que retornam</t>
  </si>
  <si>
    <t>Tempo médio retrabalho (h)</t>
  </si>
  <si>
    <t>Hora analista por lançamento</t>
  </si>
  <si>
    <t>Divergências gateway × ERP/mês</t>
  </si>
  <si>
    <t>Captura automática vs revisão manual</t>
  </si>
  <si>
    <t>Comentários executivos manuais (h)</t>
  </si>
  <si>
    <t>Geração por IA acelera narrativa</t>
  </si>
  <si>
    <t>Definições contábeis</t>
  </si>
  <si>
    <t>Definição de Receita Líquida</t>
  </si>
  <si>
    <t>Receita bruta − devoluções − comissões de canal</t>
  </si>
  <si>
    <t>Tratamento de tributos</t>
  </si>
  <si>
    <t>Não inclusos no modelo gerencial (receita líquida ≈ líquida de canal)</t>
  </si>
  <si>
    <t>Custo dos Produtos Vendidos</t>
  </si>
  <si>
    <t>Custo médio ponderado por lote × quantidade (proxy contábil)</t>
  </si>
  <si>
    <t>EBITDA</t>
  </si>
  <si>
    <t>Margem contribuição − despesas operacionais (excl. depreciação e financeiro)</t>
  </si>
  <si>
    <t>EBIT</t>
  </si>
  <si>
    <t>EBITDA − depreciação</t>
  </si>
  <si>
    <t>Resultado Operacional</t>
  </si>
  <si>
    <t>EBIT − despesas financeiras</t>
  </si>
  <si>
    <t>03 — BASE: VENDAS AGREGADAS</t>
  </si>
  <si>
    <t>Agregação mensal por canal × categoria. Fonte das fórmulas das DREs.</t>
  </si>
  <si>
    <t>ano_mes</t>
  </si>
  <si>
    <t>canal</t>
  </si>
  <si>
    <t>categoria</t>
  </si>
  <si>
    <t>qtd_transacoes</t>
  </si>
  <si>
    <t>unidades</t>
  </si>
  <si>
    <t>receita_bruta</t>
  </si>
  <si>
    <t>devolucoes</t>
  </si>
  <si>
    <t>comissoes</t>
  </si>
  <si>
    <t>receita_liquida</t>
  </si>
  <si>
    <t>cmv</t>
  </si>
  <si>
    <t>margem_contrib</t>
  </si>
  <si>
    <t>qtd_devolvidas</t>
  </si>
  <si>
    <t>2023-01</t>
  </si>
  <si>
    <t>ecommerce</t>
  </si>
  <si>
    <t>haircare</t>
  </si>
  <si>
    <t>maquiagem</t>
  </si>
  <si>
    <t>perfumes</t>
  </si>
  <si>
    <t>skincare</t>
  </si>
  <si>
    <t>franquia</t>
  </si>
  <si>
    <t>loja_propria</t>
  </si>
  <si>
    <t>marketplace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</si>
  <si>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</si>
  <si>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</si>
  <si>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</si>
  <si>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</si>
  <si>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</si>
  <si>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</si>
  <si>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</si>
  <si>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</si>
  <si>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</si>
  <si>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</si>
  <si>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</si>
  <si>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</si>
  <si>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</si>
  <si>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</si>
  <si>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</si>
  <si>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</si>
  <si>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</si>
  <si>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</si>
  <si>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</si>
  <si>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</si>
  <si>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</si>
  <si>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</si>
  <si>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</si>
  <si>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04 — BASE: DESPESAS AGREGADAS</t>
  </si>
  <si>
    <t>Despesas operacionais por categoria, com competência mensal.</t>
  </si>
  <si>
    <t>qtd</t>
  </si>
  <si>
    <t>valor</t>
  </si>
  <si>
    <t>administrativo</t>
  </si>
  <si>
    <t>aluguel</t>
  </si>
  <si>
    <t>depreciacao</t>
  </si>
  <si>
    <t>financeiro</t>
  </si>
  <si>
    <t>logistica</t>
  </si>
  <si>
    <t>marketing</t>
  </si>
  <si>
    <t>outros</t>
  </si>
  <si>
    <t>pessoal</t>
  </si>
  <si>
    <t>tecnologia</t>
  </si>
  <si>
    <t>Visão alternativa — Despesas por Centro de Custo</t>
  </si>
  <si>
    <t>centro_custo</t>
  </si>
  <si>
    <t>armazenagem</t>
  </si>
  <si>
    <t>ativos</t>
  </si>
  <si>
    <t>comercial</t>
  </si>
  <si>
    <t>contabilidade</t>
  </si>
  <si>
    <t>digital</t>
  </si>
  <si>
    <t>erp_gateway</t>
  </si>
  <si>
    <t>estoque</t>
  </si>
  <si>
    <t>frete_saida</t>
  </si>
  <si>
    <t>juridico</t>
  </si>
  <si>
    <t>operacional</t>
  </si>
  <si>
    <t>plataformas</t>
  </si>
  <si>
    <t>taxas_bancarias</t>
  </si>
  <si>
    <t>trade</t>
  </si>
  <si>
    <t>varios</t>
  </si>
  <si>
    <t>nao_classificado</t>
  </si>
  <si>
    <t>juros</t>
  </si>
  <si>
    <t>05 — BASES DE APOIO</t>
  </si>
  <si>
    <t>Pagamentos, estoque, clientes e calendário consolidados.</t>
  </si>
  <si>
    <t>Pagamentos por canal × mês (PMR e taxas)</t>
  </si>
  <si>
    <t>valor_bruto</t>
  </si>
  <si>
    <t>valor_erp</t>
  </si>
  <si>
    <t>taxa_total</t>
  </si>
  <si>
    <t>divergencia</t>
  </si>
  <si>
    <t>prazo_gateway_med</t>
  </si>
  <si>
    <t>prazo_erp_med</t>
  </si>
  <si>
    <t>Receita líquida por tipo de compra (recorrente vs pontual)</t>
  </si>
  <si>
    <t>recorrente</t>
  </si>
  <si>
    <t>pontual</t>
  </si>
  <si>
    <t>Estoque — aging por categoria × status</t>
  </si>
  <si>
    <t>status_aging</t>
  </si>
  <si>
    <t>qtd_lotes</t>
  </si>
  <si>
    <t>aging_med</t>
  </si>
  <si>
    <t>alerta</t>
  </si>
  <si>
    <t>critico</t>
  </si>
  <si>
    <t>normal</t>
  </si>
  <si>
    <t>PME ponderado por categoria</t>
  </si>
  <si>
    <t>valor_total</t>
  </si>
  <si>
    <t>unidades_total</t>
  </si>
  <si>
    <t>pme_ponderado</t>
  </si>
  <si>
    <t>Clientes por canal de aquisição (LTV, ticket, frequência)</t>
  </si>
  <si>
    <t>canal_aquisicao</t>
  </si>
  <si>
    <t>qtd_clientes</t>
  </si>
  <si>
    <t>qtd_recorrentes</t>
  </si>
  <si>
    <t>ltv_medio</t>
  </si>
  <si>
    <t>ticket_medio</t>
  </si>
  <si>
    <t>freq_anual</t>
  </si>
  <si>
    <t>Ranking de SKUs por margem de contribuição (24m)</t>
  </si>
  <si>
    <t>sku_id</t>
  </si>
  <si>
    <t>margem</t>
  </si>
  <si>
    <t>SKU-PER-010</t>
  </si>
  <si>
    <t>SKU-PER-004</t>
  </si>
  <si>
    <t>SKU-SKI-007</t>
  </si>
  <si>
    <t>SKU-PER-001</t>
  </si>
  <si>
    <t>SKU-SKI-018</t>
  </si>
  <si>
    <t>SKU-PER-013</t>
  </si>
  <si>
    <t>SKU-PER-012</t>
  </si>
  <si>
    <t>SKU-SKI-016</t>
  </si>
  <si>
    <t>SKU-PER-006</t>
  </si>
  <si>
    <t>SKU-SKI-002</t>
  </si>
  <si>
    <t>SKU-PER-003</t>
  </si>
  <si>
    <t>SKU-PER-009</t>
  </si>
  <si>
    <t>SKU-PER-007</t>
  </si>
  <si>
    <t>SKU-SKI-015</t>
  </si>
  <si>
    <t>SKU-SKI-011</t>
  </si>
  <si>
    <t>SKU-PER-005</t>
  </si>
  <si>
    <t>SKU-SKI-005</t>
  </si>
  <si>
    <t>SKU-SKI-019</t>
  </si>
  <si>
    <t>SKU-SKI-013</t>
  </si>
  <si>
    <t>SKU-PER-008</t>
  </si>
  <si>
    <t>SKU-SKI-010</t>
  </si>
  <si>
    <t>SKU-SKI-008</t>
  </si>
  <si>
    <t>SKU-HAI-005</t>
  </si>
  <si>
    <t>SKU-HAI-009</t>
  </si>
  <si>
    <t>SKU-SKI-001</t>
  </si>
  <si>
    <t>SKU-SKI-012</t>
  </si>
  <si>
    <t>SKU-SKI-009</t>
  </si>
  <si>
    <t>SKU-SKI-003</t>
  </si>
  <si>
    <t>SKU-SKI-014</t>
  </si>
  <si>
    <t>SKU-MAQ-007</t>
  </si>
  <si>
    <t>SKU-MAQ-001</t>
  </si>
  <si>
    <t>SKU-MAQ-013</t>
  </si>
  <si>
    <t>SKU-MAQ-008</t>
  </si>
  <si>
    <t>SKU-MAQ-006</t>
  </si>
  <si>
    <t>SKU-SKI-006</t>
  </si>
  <si>
    <t>SKU-HAI-010</t>
  </si>
  <si>
    <t>SKU-HAI-001</t>
  </si>
  <si>
    <t>SKU-SKI-017</t>
  </si>
  <si>
    <t>SKU-PER-011</t>
  </si>
  <si>
    <t>SKU-SKI-004</t>
  </si>
  <si>
    <t>SKU-HAI-004</t>
  </si>
  <si>
    <t>SKU-HAI-006</t>
  </si>
  <si>
    <t>SKU-MAQ-009</t>
  </si>
  <si>
    <t>SKU-HAI-007</t>
  </si>
  <si>
    <t>SKU-PER-002</t>
  </si>
  <si>
    <t>SKU-MAQ-005</t>
  </si>
  <si>
    <t>SKU-MAQ-012</t>
  </si>
  <si>
    <t>SKU-HAI-008</t>
  </si>
  <si>
    <t>SKU-MAQ-014</t>
  </si>
  <si>
    <t>SKU-MAQ-002</t>
  </si>
  <si>
    <t>SKU-MAQ-004</t>
  </si>
  <si>
    <t>SKU-HAI-002</t>
  </si>
  <si>
    <t>SKU-HAI-003</t>
  </si>
  <si>
    <t>SKU-MAQ-011</t>
  </si>
  <si>
    <t>SKU-MAQ-015</t>
  </si>
  <si>
    <t>SKU-MAQ-010</t>
  </si>
  <si>
    <t>SKU-MAQ-003</t>
  </si>
  <si>
    <t>SKU-MAQ-016</t>
  </si>
  <si>
    <t>PMP — prazo médio de pagamento de despesas</t>
  </si>
  <si>
    <t>metrica</t>
  </si>
  <si>
    <t>pmp_simples</t>
  </si>
  <si>
    <t>pmp_ponderado</t>
  </si>
  <si>
    <t>lag_min</t>
  </si>
  <si>
    <t>lag_max</t>
  </si>
  <si>
    <t>n_desp</t>
  </si>
  <si>
    <t>PMR consolidado — gateway vs ERP</t>
  </si>
  <si>
    <t>pmr_gateway_simples</t>
  </si>
  <si>
    <t>pmr_gateway_ponderado</t>
  </si>
  <si>
    <t>pmr_erp_simples</t>
  </si>
  <si>
    <t>pmr_erp_ponderado</t>
  </si>
  <si>
    <t>float_dias_medio</t>
  </si>
  <si>
    <t>Dim Calendário</t>
  </si>
  <si>
    <t>ano</t>
  </si>
  <si>
    <t>trimestre</t>
  </si>
  <si>
    <t>mes_num</t>
  </si>
  <si>
    <t>mes_nome</t>
  </si>
  <si>
    <t>periodo</t>
  </si>
  <si>
    <t>is_alta_temporada</t>
  </si>
  <si>
    <t>2023-T1</t>
  </si>
  <si>
    <t>Feb</t>
  </si>
  <si>
    <t>Apr</t>
  </si>
  <si>
    <t>2023-T2</t>
  </si>
  <si>
    <t>May</t>
  </si>
  <si>
    <t>Jul</t>
  </si>
  <si>
    <t>2023-T3</t>
  </si>
  <si>
    <t>Aug</t>
  </si>
  <si>
    <t>Sep</t>
  </si>
  <si>
    <t>Oct</t>
  </si>
  <si>
    <t>2023-T4</t>
  </si>
  <si>
    <t>Nov</t>
  </si>
  <si>
    <t>Dec</t>
  </si>
  <si>
    <t>2024-T1</t>
  </si>
  <si>
    <t>2024-T2</t>
  </si>
  <si>
    <t>2024-T3</t>
  </si>
  <si>
    <t>2024-T4</t>
  </si>
  <si>
    <t>06 — DRE GERENCIAL CONSOLIDADA</t>
  </si>
  <si>
    <t>Demonstrativo mensal completo: receita até resultado operacional. Total acumulado em Z.</t>
  </si>
  <si>
    <t>DRE Consolidada — toda a operação</t>
  </si>
  <si>
    <t>Item</t>
  </si>
  <si>
    <t>Total 24m</t>
  </si>
  <si>
    <t>Receita Bruta</t>
  </si>
  <si>
    <t>(−) Devoluções</t>
  </si>
  <si>
    <t>(−) Comissões de canal</t>
  </si>
  <si>
    <t>Receita Líquida</t>
  </si>
  <si>
    <t>(−) CMV</t>
  </si>
  <si>
    <t>Margem de Contribuição</t>
  </si>
  <si>
    <t>% Margem de Contribuição</t>
  </si>
  <si>
    <t>(−) Pessoal</t>
  </si>
  <si>
    <t>(−) Aluguel</t>
  </si>
  <si>
    <t>(−) Marketing</t>
  </si>
  <si>
    <t>(−) Logística</t>
  </si>
  <si>
    <t>(−) Tecnologia</t>
  </si>
  <si>
    <t>(−) Administrativo</t>
  </si>
  <si>
    <t>(−) Outros</t>
  </si>
  <si>
    <t>Total Despesas Operac.</t>
  </si>
  <si>
    <t>% Margem EBITDA</t>
  </si>
  <si>
    <t>(−) Depreciação</t>
  </si>
  <si>
    <t>(−) Despesas Financeiras</t>
  </si>
  <si>
    <t>% Margem Operacional</t>
  </si>
  <si>
    <t>07 — DRE POR CANAL</t>
  </si>
  <si>
    <t>DREs replicadas por canal. Despesas operacionais e financeiras são rateadas pelo share de receita líquida do canal no mês.</t>
  </si>
  <si>
    <t>Rateio: as despesas centrais (pessoal, aluguel, marketing, logística, etc.) são distribuídas pelo canal proporcionalmente à sua receita líquida no mês. Linhas de receita, devoluções, comissões, CMV e margem de contribuição são alocação direta por canal.</t>
  </si>
  <si>
    <t>Canal: E-commerce</t>
  </si>
  <si>
    <t>Canal: Marketplace</t>
  </si>
  <si>
    <t>Canal: Franquia</t>
  </si>
  <si>
    <t>Canal: Loja Própria</t>
  </si>
  <si>
    <t>08 — DRE POR CATEGORIA</t>
  </si>
  <si>
    <t>DREs replicadas por categoria de produto. Despesas centrais rateadas pelo share de receita líquida.</t>
  </si>
  <si>
    <t>Rateio: despesas operacionais distribuídas por categoria proporcionalmente à receita líquida do mês. Receita, devoluções, comissões, CMV e margem de contribuição são alocação direta pela categoria.</t>
  </si>
  <si>
    <t>Categoria: Skincare</t>
  </si>
  <si>
    <t>Categoria: Maquiagem</t>
  </si>
  <si>
    <t>Categoria: Perfumes</t>
  </si>
  <si>
    <t>Categoria: Haircare</t>
  </si>
  <si>
    <t>09 — FLUXO DE CAIXA OPERACIONAL</t>
  </si>
  <si>
    <t>Duas visões: método direto (recebimentos − pagamentos) e indireto (resultado + ajustes).</t>
  </si>
  <si>
    <t>Método Direto — entradas e saídas operacionais</t>
  </si>
  <si>
    <t>(+) Recebimentos de vendas</t>
  </si>
  <si>
    <t>(−) Pagamentos a fornecedores (CMV)</t>
  </si>
  <si>
    <t>(−) Pagamentos de pessoal</t>
  </si>
  <si>
    <t>(−) Pagamentos de aluguel</t>
  </si>
  <si>
    <t>(−) Pagamentos de marketing</t>
  </si>
  <si>
    <t>(−) Pagamentos de logística</t>
  </si>
  <si>
    <t>(−) Pagamentos de tecnologia</t>
  </si>
  <si>
    <t>(−) Pagamentos administrativos</t>
  </si>
  <si>
    <t>(−) Outros pagamentos</t>
  </si>
  <si>
    <t>(−) Despesas financeiras</t>
  </si>
  <si>
    <t>Σ Caixa Líquido Operacional (DIRETO)</t>
  </si>
  <si>
    <t>Método Indireto — partindo do resultado operacional</t>
  </si>
  <si>
    <t>(+) Depreciação (não-caixa)</t>
  </si>
  <si>
    <t>(+) Despesas financeiras (reincorporadas)</t>
  </si>
  <si>
    <t>Σ EBITDA Operacional</t>
  </si>
  <si>
    <t>(±) Variação de Capital de Giro (modelo simplificado)</t>
  </si>
  <si>
    <t>Σ Caixa Líquido Operacional (INDIRETO)</t>
  </si>
  <si>
    <t>Caixa Operacional Acumulado (somente método direto, base histórica)</t>
  </si>
  <si>
    <t>Acumulado</t>
  </si>
  <si>
    <t>Premissa: modelo gerencial em regime de competência aproxima caixa = competência. Variação de NCG entre meses está em zero como simplificação; uma versão futura ajustaria para a variação real de contas a receber + estoque − contas a pagar mês a mês.</t>
  </si>
  <si>
    <t>10 — CAPITAL DE GIRO</t>
  </si>
  <si>
    <t>PMR, PMP, PME, ciclo financeiro e necessidade de capital de giro.</t>
  </si>
  <si>
    <t>Prazos médios — dias</t>
  </si>
  <si>
    <t>Indicador</t>
  </si>
  <si>
    <t>Valor (dias)</t>
  </si>
  <si>
    <t>Fonte</t>
  </si>
  <si>
    <t>Interpretação</t>
  </si>
  <si>
    <t>PMR — Prazo Médio Recebimento (gateway)</t>
  </si>
  <si>
    <t>Calc. Fase 2 — média pond. p/ valor_bruto</t>
  </si>
  <si>
    <t>Dias entre venda e crédito do gateway</t>
  </si>
  <si>
    <t>PMR — Prazo Médio Recebimento (ERP)</t>
  </si>
  <si>
    <t>Dias até disponibilidade efetiva em conta</t>
  </si>
  <si>
    <t>PME — Prazo Médio Estoque (pond. p/ valor)</t>
  </si>
  <si>
    <t>Calc. Fase 2 — aging médio × custo</t>
  </si>
  <si>
    <t>Dias médios de aging do estoque parado</t>
  </si>
  <si>
    <t>PMP — Prazo Médio Pagamento (ponderado)</t>
  </si>
  <si>
    <t>Calc. Fase 2 — competência → pagamento</t>
  </si>
  <si>
    <t>Dias entre competência e pagamento efetivo</t>
  </si>
  <si>
    <t>Ciclo Financeiro (= PMR ERP + PME − PMP)</t>
  </si>
  <si>
    <t>Dias entre desembolso e recebimento — quanto menor, melhor</t>
  </si>
  <si>
    <t>Necessidade de Capital de Giro (estimativa)</t>
  </si>
  <si>
    <t>Valor</t>
  </si>
  <si>
    <t>Cálculo</t>
  </si>
  <si>
    <t>Receita Líquida 24m</t>
  </si>
  <si>
    <t>Direto da DRE Consolidada (col. Z)</t>
  </si>
  <si>
    <t>Receita Líquida diária média</t>
  </si>
  <si>
    <t>÷ 730 dias (24 meses)</t>
  </si>
  <si>
    <t>Contas a Receber estimadas</t>
  </si>
  <si>
    <t>Receita diária × PMR ERP</t>
  </si>
  <si>
    <t>Estoque estimado (valor corrente)</t>
  </si>
  <si>
    <t>Soma das 4 categorias — Calc. Fase 2 (aging × custo)</t>
  </si>
  <si>
    <t>CMV diário médio</t>
  </si>
  <si>
    <t>Despesas Operacionais diárias</t>
  </si>
  <si>
    <t>Contas a Pagar estimadas</t>
  </si>
  <si>
    <t>(CMV + Desp Op diárias) × PMP</t>
  </si>
  <si>
    <t>NCG estimada</t>
  </si>
  <si>
    <t>AR + Estoque − AP</t>
  </si>
  <si>
    <t>NCG em dias de receita</t>
  </si>
  <si>
    <t>NCG ÷ receita diária</t>
  </si>
  <si>
    <t>PMR por canal (média ponderada por volume — 24m)</t>
  </si>
  <si>
    <t>PMR Gateway</t>
  </si>
  <si>
    <t>PMR ERP</t>
  </si>
  <si>
    <t>Float (gat→ERP)</t>
  </si>
  <si>
    <t>Volume bruto (24m)</t>
  </si>
  <si>
    <t>Total ponderado</t>
  </si>
  <si>
    <t>Observação: PMR Gateway é o intervalo entre a venda e o crédito no gateway de pagamento; PMR ERP é o intervalo até a disponibilidade efetiva em conta corrente. O 'float' (diferença) representa o ciclo financeiro do meio de pagamento. Marketplaces tendem a ter ERP &gt; 28 dias, enquanto loja física converte quase imediatamente.</t>
  </si>
  <si>
    <t>11 — ESTOQUE E GIRO</t>
  </si>
  <si>
    <t>Aging por categoria, cobertura em meses e indicador de giro anual.</t>
  </si>
  <si>
    <t>Aging do estoque por categoria (valor em R$)</t>
  </si>
  <si>
    <t>Categoria</t>
  </si>
  <si>
    <t>Normal</t>
  </si>
  <si>
    <t>Alerta</t>
  </si>
  <si>
    <t>Crítico</t>
  </si>
  <si>
    <t>Total</t>
  </si>
  <si>
    <t>% Crítico</t>
  </si>
  <si>
    <t>PME (dias)</t>
  </si>
  <si>
    <t>Unid. total</t>
  </si>
  <si>
    <t>Skincare</t>
  </si>
  <si>
    <t>Maquiagem</t>
  </si>
  <si>
    <t>Perfumes</t>
  </si>
  <si>
    <t>Haircare</t>
  </si>
  <si>
    <t>TOTAL</t>
  </si>
  <si>
    <t>Giro de estoque e cobertura</t>
  </si>
  <si>
    <t>Valor total em estoque (corrente)</t>
  </si>
  <si>
    <t>Soma das 4 categorias × custo médio</t>
  </si>
  <si>
    <t>CMV 24 meses</t>
  </si>
  <si>
    <t>Direto da DRE Consolidada</t>
  </si>
  <si>
    <t>CMV mensal médio</t>
  </si>
  <si>
    <t>CMV 24m ÷ 24</t>
  </si>
  <si>
    <t>Giro anual (CMV 12m / estoque)</t>
  </si>
  <si>
    <t>Quantas vezes o estoque gira em 12m</t>
  </si>
  <si>
    <t>Cobertura em meses</t>
  </si>
  <si>
    <t>Estoque ÷ CMV mensal</t>
  </si>
  <si>
    <t>PME ponderado (dias)</t>
  </si>
  <si>
    <t>Da tabela superior</t>
  </si>
  <si>
    <t>Estoque / Receita Líquida 12m</t>
  </si>
  <si>
    <t>Saúde de capital empatado em estoque</t>
  </si>
  <si>
    <t>Top 15 SKUs por margem (24 meses)</t>
  </si>
  <si>
    <t>#</t>
  </si>
  <si>
    <t>SKU</t>
  </si>
  <si>
    <t>Unidades</t>
  </si>
  <si>
    <t>Receita Líq.</t>
  </si>
  <si>
    <t>CMV</t>
  </si>
  <si>
    <t>Margem</t>
  </si>
  <si>
    <t>Margem %</t>
  </si>
  <si>
    <t>12 — PAINEL DE KPIs</t>
  </si>
  <si>
    <t>Indicadores-chave de performance financeira, operacional e de capital.</t>
  </si>
  <si>
    <t>Rentabilidade — visão consolidada 24m</t>
  </si>
  <si>
    <t>24m</t>
  </si>
  <si>
    <t>2023</t>
  </si>
  <si>
    <t>2024</t>
  </si>
  <si>
    <t>Comentário</t>
  </si>
  <si>
    <t>Total faturado antes de devoluções/comissões</t>
  </si>
  <si>
    <t>Base do modelo gerencial</t>
  </si>
  <si>
    <t>Custo dos produtos vendidos</t>
  </si>
  <si>
    <t>Rec. Líq. − CMV</t>
  </si>
  <si>
    <t>Resultado operacional pré-depreciação</t>
  </si>
  <si>
    <t>Linha final da DRE</t>
  </si>
  <si>
    <t>Margem de contribuição %</t>
  </si>
  <si>
    <t>MC ÷ Receita Líquida</t>
  </si>
  <si>
    <t>Margem EBITDA %</t>
  </si>
  <si>
    <t>EBITDA ÷ Receita Líquida</t>
  </si>
  <si>
    <t>Margem operacional %</t>
  </si>
  <si>
    <t>Resultado ÷ Receita Líquida</t>
  </si>
  <si>
    <t>Capital de giro e ciclo financeiro</t>
  </si>
  <si>
    <t>Unidade</t>
  </si>
  <si>
    <t>Status</t>
  </si>
  <si>
    <t>PMR ERP (recebimento efetivo)</t>
  </si>
  <si>
    <t>dias</t>
  </si>
  <si>
    <t>Marketplace eleva a média</t>
  </si>
  <si>
    <t>PME (giro de estoque)</t>
  </si>
  <si>
    <t>Estoque velho — oportunidade</t>
  </si>
  <si>
    <t>PMP (pagamento fornecedores)</t>
  </si>
  <si>
    <t>Curto — sem alavanca de PMP</t>
  </si>
  <si>
    <t>Ciclo financeiro</t>
  </si>
  <si>
    <t>PMR + PME − PMP</t>
  </si>
  <si>
    <t>money</t>
  </si>
  <si>
    <t>—</t>
  </si>
  <si>
    <t>Caixa imobilizado na operação</t>
  </si>
  <si>
    <t>Quanto da receita está empatado</t>
  </si>
  <si>
    <t>Indicadores operacionais</t>
  </si>
  <si>
    <t>Benchmark</t>
  </si>
  <si>
    <t>Taxa de devolução</t>
  </si>
  <si>
    <t>pct</t>
  </si>
  <si>
    <t>&lt; 5% bom</t>
  </si>
  <si>
    <t>Devoluções ÷ Receita Bruta</t>
  </si>
  <si>
    <t>Taxa de recorrência</t>
  </si>
  <si>
    <t>&gt; 30% bom</t>
  </si>
  <si>
    <t>Clientes recorrentes / total</t>
  </si>
  <si>
    <t>Giro de estoque</t>
  </si>
  <si>
    <t>ratio</t>
  </si>
  <si>
    <t>&gt; 3x bom</t>
  </si>
  <si>
    <t>CMV 12m / estoque</t>
  </si>
  <si>
    <t>Receita média/mês</t>
  </si>
  <si>
    <t>Receita líquida média</t>
  </si>
  <si>
    <t>EBITDA médio/mês</t>
  </si>
  <si>
    <t>EBITDA médio do biênio</t>
  </si>
  <si>
    <t>13 — FORECAST 1S/2025 (6 meses)</t>
  </si>
  <si>
    <t>Projeção jan→jun 2025 — base: média móvel 3M × (1 + growth canal) × sazonalidade. Inflação aplicada às despesas.</t>
  </si>
  <si>
    <t>Receita Líquida projetada por canal (1S2025)</t>
  </si>
  <si>
    <t>Jan/25</t>
  </si>
  <si>
    <t>Fev/25</t>
  </si>
  <si>
    <t>Mar/25</t>
  </si>
  <si>
    <t>Abr/25</t>
  </si>
  <si>
    <t>Mai/25</t>
  </si>
  <si>
    <t>Jun/25</t>
  </si>
  <si>
    <t>Total 6M</t>
  </si>
  <si>
    <t>Premissa</t>
  </si>
  <si>
    <t>Total Receita Líquida</t>
  </si>
  <si>
    <t>DRE simplificada projetada (1S2025)</t>
  </si>
  <si>
    <t>Linha</t>
  </si>
  <si>
    <t>(-) CMV</t>
  </si>
  <si>
    <t>CMV % histórico = SUM/SUM 24m</t>
  </si>
  <si>
    <t>(-) Pessoal</t>
  </si>
  <si>
    <t>Média 2024 × (1+infl)^n</t>
  </si>
  <si>
    <t>(-) Aluguel</t>
  </si>
  <si>
    <t>(-) Marketing</t>
  </si>
  <si>
    <t>(-) Logística</t>
  </si>
  <si>
    <t>(-) Tecnologia</t>
  </si>
  <si>
    <t>(-) Administrativo</t>
  </si>
  <si>
    <t>(-) Outros</t>
  </si>
  <si>
    <t>(-) Total Despesas Op.</t>
  </si>
  <si>
    <t>EBITDA projetado</t>
  </si>
  <si>
    <t>Comparativo Forecast 1S25 vs Real 2S24</t>
  </si>
  <si>
    <t>2S24 (real)</t>
  </si>
  <si>
    <t>1S25 (forecast)</t>
  </si>
  <si>
    <t>Δ</t>
  </si>
  <si>
    <t>Δ %</t>
  </si>
  <si>
    <t>Forecast vs realizado 2S24</t>
  </si>
  <si>
    <t>14 — ANTES vs DEPOIS — ROI da transformação</t>
  </si>
  <si>
    <t>Comparativo do processo de fechamento e controladoria. Cálculos puxam premissas da aba 02.</t>
  </si>
  <si>
    <t>Premissas (vinculadas à aba 02)</t>
  </si>
  <si>
    <t>Unidade: dias</t>
  </si>
  <si>
    <t>Horas/mês analista financeiro</t>
  </si>
  <si>
    <t>Unidade: horas</t>
  </si>
  <si>
    <t>Unidade: int</t>
  </si>
  <si>
    <t>Horas comentários manuais</t>
  </si>
  <si>
    <t>Custo mensal de controladoria — Antes vs Depois</t>
  </si>
  <si>
    <t>Componente</t>
  </si>
  <si>
    <t>Antes (R$/mês)</t>
  </si>
  <si>
    <t>Depois (R$/mês)</t>
  </si>
  <si>
    <t>Economia (R$/mês)</t>
  </si>
  <si>
    <t>Economia %</t>
  </si>
  <si>
    <t>Capacidade analítica (horas regulares)</t>
  </si>
  <si>
    <t>Horas/mês × R$/hora</t>
  </si>
  <si>
    <t>Custo de retrabalho</t>
  </si>
  <si>
    <t>qtd × horas × R$/hora</t>
  </si>
  <si>
    <t>Investigação divergências (~2h cada)</t>
  </si>
  <si>
    <t>divergências × 2h × R$/hora</t>
  </si>
  <si>
    <t>Comentários executivos manuais</t>
  </si>
  <si>
    <t>horas × R$/hora</t>
  </si>
  <si>
    <t>TOTAL MENSAL</t>
  </si>
  <si>
    <t>Visão anual e ROI do projeto</t>
  </si>
  <si>
    <t>Economia mensal total</t>
  </si>
  <si>
    <t>Da tabela acima</t>
  </si>
  <si>
    <t>Economia anual estimada</t>
  </si>
  <si>
    <t>× 12 meses</t>
  </si>
  <si>
    <t>Redução horas/mês</t>
  </si>
  <si>
    <t>Soma das economias horárias</t>
  </si>
  <si>
    <t>Redução do prazo de fechamento</t>
  </si>
  <si>
    <t>D+12 → D+5</t>
  </si>
  <si>
    <t>Investimento estimado projeto</t>
  </si>
  <si>
    <t>Setup + ferramentas + treinamento (input)</t>
  </si>
  <si>
    <t>Payback (meses)</t>
  </si>
  <si>
    <t>Investimento ÷ economia mensal</t>
  </si>
  <si>
    <t>ROI 12 meses</t>
  </si>
  <si>
    <t>(Economia anual − Invest.) ÷ Invest.</t>
  </si>
  <si>
    <t>15 — DASHBOARD EXECUTIVO</t>
  </si>
  <si>
    <t>Visão consolidada do biênio 2023-2024 — cards, mix por canal/categoria e gráficos.</t>
  </si>
  <si>
    <t>Visão geral 24 meses</t>
  </si>
  <si>
    <t>Margem Contribuição</t>
  </si>
  <si>
    <t>Margem MC %</t>
  </si>
  <si>
    <t>Margem Operacional %</t>
  </si>
  <si>
    <t>Mix de Receita Líquida por canal (24m)</t>
  </si>
  <si>
    <t>Receita Líq. 24m</t>
  </si>
  <si>
    <t>% Mix</t>
  </si>
  <si>
    <t>Receita Líq. 2023</t>
  </si>
  <si>
    <t>Receita Líq. 2024</t>
  </si>
  <si>
    <t>Crescimento</t>
  </si>
  <si>
    <t>Mix de Receita Líquida por categoria (24m)</t>
  </si>
  <si>
    <t>Margem 24m</t>
  </si>
  <si>
    <t>Top 5 SKUs por margem (24m)</t>
  </si>
  <si>
    <t>Narrativa executiva</t>
  </si>
  <si>
    <t>• A operação consolidada de 24 meses fecha com resultado operacional negativo, sinalizando que o modelo gerencial em vigor ainda não converte volume em rentabilidade — mas a inflexão é visível: novembro e dezembro/2024 cruzam o break-even operacional pela primeira vez no biênio.
• A diluição de despesas fixas explica a maior parte do movimento; a margem de contribuição é estável (~45%), o que indica que o problema não está no preço/CMV, e sim na escala.
• Perfumes lidera mix de receita e estoque, mas é também a categoria com maior valor parado em aging crítico. Há espaço para liquidação e revisão de sortimento.
• Marketplace amplia o PMR ERP médio para fora dos 17,8 dias ponderados; renegociar D+ junto a essa frente é a alavanca de capital de giro mais sensível.
• A simulação Antes vs Depois (aba 14) indica que a transformação do processo de controladoria tem payback inferior a um ano (≈8 meses) no cenário projetado — independente do desempenho top-line.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</si>
</sst>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;[Red]\(0.0%\);\-"/>
    <numFmt numFmtId="165" formatCode="#,##0;\(#,##0\);\-"/>
    <numFmt numFmtId="166" formatCode="&quot;R$ &quot;#,##0;[Red]&quot;(R$ &quot;#,##0\);\-"/>
    <numFmt numFmtId="167" formatCode="0.0&quot; dias&quot;"/>
    <numFmt numFmtId="168" formatCode="0.0"/>
    <numFmt numFmtId="169" formatCode="0.00\x"/>
    <numFmt numFmtId="170" formatCode="0.0&quot; h/mês&quot;"/>
    <numFmt numFmtId="171" formatCode="0.0&quot; meses&quot;"/>
  </numFmts>
  <fonts count="27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2"/>
      <color rgb="FF595959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b/>
      <sz val="11"/>
      <color rgb="FF008000"/>
      <name val="Arial"/>
      <charset val="1"/>
    </font>
    <font>
      <i/>
      <sz val="11"/>
      <color rgb="FF595959"/>
      <name val="Arial"/>
      <charset val="1"/>
    </font>
    <font>
      <b/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595959"/>
      <name val="Arial"/>
      <charset val="1"/>
    </font>
    <font>
      <b/>
      <sz val="11"/>
      <color rgb="FF1F4E78"/>
      <name val="Arial"/>
      <charset val="1"/>
    </font>
    <font>
      <i/>
      <sz val="11"/>
      <color rgb="FF000000"/>
      <name val="Arial"/>
      <charset val="1"/>
    </font>
    <font>
      <b/>
      <i/>
      <sz val="11"/>
      <color rgb="FF1F4E78"/>
      <name val="Arial"/>
      <charset val="1"/>
    </font>
    <font>
      <sz val="11"/>
      <color rgb="FF008000"/>
      <name val="Arial"/>
      <charset val="1"/>
    </font>
    <font>
      <b/>
      <i/>
      <sz val="11"/>
      <color rgb="FF000000"/>
      <name val="Arial"/>
      <charset val="1"/>
    </font>
    <font>
      <i/>
      <sz val="9"/>
      <color rgb="FF000000"/>
      <name val="Arial"/>
      <charset val="1"/>
    </font>
    <font>
      <i/>
      <sz val="9"/>
      <color rgb="FF0000FF"/>
      <name val="Arial"/>
      <charset val="1"/>
    </font>
    <font>
      <b/>
      <sz val="12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6"/>
      <color rgb="FF000000"/>
      <name val="Arial"/>
      <charset val="1"/>
    </font>
    <font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8FAADC"/>
        <bgColor rgb="FF969696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E699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2" fillId="6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3" fillId="0" borderId="0" xfId="0" applyFont="1"/>
    <xf numFmtId="0" fontId="6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5" fontId="8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12" fillId="2" borderId="1" xfId="0" applyFont="1" applyFill="1" applyBorder="1" applyAlignment="1">
      <alignment horizontal="center" vertical="center"/>
    </xf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15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/>
    </xf>
    <xf numFmtId="164" fontId="17" fillId="8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/>
    <xf numFmtId="166" fontId="18" fillId="0" borderId="1" xfId="0" applyNumberFormat="1" applyFont="1" applyBorder="1" applyAlignment="1">
      <alignment horizontal="right" vertical="center"/>
    </xf>
    <xf numFmtId="0" fontId="3" fillId="8" borderId="1" xfId="0" applyFont="1" applyFill="1" applyBorder="1"/>
    <xf numFmtId="166" fontId="3" fillId="0" borderId="1" xfId="0" applyNumberFormat="1" applyFont="1" applyBorder="1" applyAlignment="1">
      <alignment horizontal="right" vertical="center"/>
    </xf>
    <xf numFmtId="167" fontId="8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167" fontId="3" fillId="8" borderId="1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right" vertical="center"/>
    </xf>
    <xf numFmtId="167" fontId="13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right" vertical="center"/>
    </xf>
    <xf numFmtId="169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9" fillId="7" borderId="1" xfId="0" applyFont="1" applyFill="1" applyBorder="1"/>
    <xf numFmtId="164" fontId="3" fillId="7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6" fontId="21" fillId="3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/>
    <xf numFmtId="166" fontId="3" fillId="7" borderId="1" xfId="0" applyNumberFormat="1" applyFont="1" applyFill="1" applyBorder="1" applyAlignment="1">
      <alignment horizontal="right" vertical="center"/>
    </xf>
    <xf numFmtId="166" fontId="12" fillId="6" borderId="1" xfId="0" applyNumberFormat="1" applyFont="1" applyFill="1" applyBorder="1" applyAlignment="1">
      <alignment horizontal="right" vertical="center"/>
    </xf>
    <xf numFmtId="0" fontId="16" fillId="0" borderId="1" xfId="0" applyFont="1" applyBorder="1"/>
    <xf numFmtId="164" fontId="19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1" fontId="3" fillId="4" borderId="1" xfId="0" applyNumberFormat="1" applyFont="1" applyFill="1" applyBorder="1" applyAlignment="1">
      <alignment horizontal="center" vertical="center"/>
    </xf>
    <xf numFmtId="164" fontId="22" fillId="4" borderId="1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4" fillId="0" borderId="0" xfId="0" applyFont="1"/>
    <xf numFmtId="0" fontId="0" fillId="0" borderId="0" xfId="0"/>
    <xf numFmtId="0" fontId="23" fillId="6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66" fontId="25" fillId="3" borderId="0" xfId="0" applyNumberFormat="1" applyFont="1" applyFill="1" applyAlignment="1">
      <alignment horizontal="center" vertical="center"/>
    </xf>
    <xf numFmtId="166" fontId="25" fillId="7" borderId="0" xfId="0" applyNumberFormat="1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164" fontId="25" fillId="7" borderId="0" xfId="0" applyNumberFormat="1" applyFont="1" applyFill="1" applyAlignment="1">
      <alignment horizontal="center" vertical="center"/>
    </xf>
    <xf numFmtId="167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60"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odelo_financeiro.xlsx" TargetMode="External"/><Relationship Id="rId13" Type="http://schemas.openxmlformats.org/officeDocument/2006/relationships/hyperlink" Target="modelo_financeiro.xlsx" TargetMode="External"/><Relationship Id="rId3" Type="http://schemas.openxmlformats.org/officeDocument/2006/relationships/hyperlink" Target="modelo_financeiro.xlsx" TargetMode="External"/><Relationship Id="rId7" Type="http://schemas.openxmlformats.org/officeDocument/2006/relationships/hyperlink" Target="modelo_financeiro.xlsx" TargetMode="External"/><Relationship Id="rId12" Type="http://schemas.openxmlformats.org/officeDocument/2006/relationships/hyperlink" Target="modelo_financeiro.xlsx" TargetMode="External"/><Relationship Id="rId2" Type="http://schemas.openxmlformats.org/officeDocument/2006/relationships/hyperlink" Target="modelo_financeiro.xlsx" TargetMode="External"/><Relationship Id="rId1" Type="http://schemas.openxmlformats.org/officeDocument/2006/relationships/hyperlink" Target="modelo_financeiro.xlsx" TargetMode="External"/><Relationship Id="rId6" Type="http://schemas.openxmlformats.org/officeDocument/2006/relationships/hyperlink" Target="modelo_financeiro.xlsx" TargetMode="External"/><Relationship Id="rId11" Type="http://schemas.openxmlformats.org/officeDocument/2006/relationships/hyperlink" Target="modelo_financeiro.xlsx" TargetMode="External"/><Relationship Id="rId5" Type="http://schemas.openxmlformats.org/officeDocument/2006/relationships/hyperlink" Target="modelo_financeiro.xlsx" TargetMode="External"/><Relationship Id="rId10" Type="http://schemas.openxmlformats.org/officeDocument/2006/relationships/hyperlink" Target="modelo_financeiro.xlsx" TargetMode="External"/><Relationship Id="rId4" Type="http://schemas.openxmlformats.org/officeDocument/2006/relationships/hyperlink" Target="modelo_financeiro.xlsx" TargetMode="External"/><Relationship Id="rId9" Type="http://schemas.openxmlformats.org/officeDocument/2006/relationships/hyperlink" Target="modelo_financeiro.xlsx" TargetMode="External"/><Relationship Id="rId14" Type="http://schemas.openxmlformats.org/officeDocument/2006/relationships/hyperlink" Target="modelo_financeir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8"/>
  <sheetViews>
    <sheetView showGridLines="0" topLeftCell="A19" zoomScaleNormal="100" workbookViewId="0"/>
  </sheetViews>
  <sheetFormatPr defaultColWidth="8.7109375" defaultRowHeight="15" x14ac:dyDescent="0.25"/>
  <cols>
    <col min="1" max="1" width="2" customWidth="1"/>
    <col min="2" max="2" width="28" customWidth="1"/>
    <col min="3" max="3" width="60" customWidth="1"/>
    <col min="4" max="4" width="2" customWidth="1"/>
  </cols>
  <sheetData>
    <row r="2" spans="2:3" ht="37.5" customHeight="1" x14ac:dyDescent="0.25">
      <c r="B2" s="12" t="s">
        <v>0</v>
      </c>
      <c r="C2" s="12"/>
    </row>
    <row r="3" spans="2:3" ht="21.75" customHeight="1" x14ac:dyDescent="0.25">
      <c r="B3" s="11" t="s">
        <v>1</v>
      </c>
      <c r="C3" s="11"/>
    </row>
    <row r="5" spans="2:3" x14ac:dyDescent="0.25">
      <c r="B5" s="13" t="s">
        <v>2</v>
      </c>
      <c r="C5" s="14" t="s">
        <v>3</v>
      </c>
    </row>
    <row r="6" spans="2:3" x14ac:dyDescent="0.25">
      <c r="B6" s="13" t="s">
        <v>4</v>
      </c>
      <c r="C6" s="14" t="s">
        <v>5</v>
      </c>
    </row>
    <row r="7" spans="2:3" x14ac:dyDescent="0.25">
      <c r="B7" s="13" t="s">
        <v>6</v>
      </c>
      <c r="C7" s="14" t="s">
        <v>7</v>
      </c>
    </row>
    <row r="8" spans="2:3" x14ac:dyDescent="0.25">
      <c r="B8" s="13" t="s">
        <v>8</v>
      </c>
      <c r="C8" s="14" t="s">
        <v>9</v>
      </c>
    </row>
    <row r="9" spans="2:3" x14ac:dyDescent="0.25">
      <c r="B9" s="13" t="s">
        <v>10</v>
      </c>
      <c r="C9" s="14" t="s">
        <v>11</v>
      </c>
    </row>
    <row r="10" spans="2:3" x14ac:dyDescent="0.25">
      <c r="B10" s="13" t="s">
        <v>12</v>
      </c>
      <c r="C10" s="14" t="s">
        <v>13</v>
      </c>
    </row>
    <row r="12" spans="2:3" ht="21.75" customHeight="1" x14ac:dyDescent="0.25">
      <c r="B12" s="10" t="s">
        <v>14</v>
      </c>
      <c r="C12" s="10"/>
    </row>
    <row r="13" spans="2:3" x14ac:dyDescent="0.25">
      <c r="B13" s="15" t="s">
        <v>15</v>
      </c>
      <c r="C13" s="16" t="s">
        <v>16</v>
      </c>
    </row>
    <row r="14" spans="2:3" x14ac:dyDescent="0.25">
      <c r="B14" s="15" t="s">
        <v>17</v>
      </c>
      <c r="C14" s="16" t="s">
        <v>18</v>
      </c>
    </row>
    <row r="15" spans="2:3" x14ac:dyDescent="0.25">
      <c r="B15" s="15" t="s">
        <v>19</v>
      </c>
      <c r="C15" s="16" t="s">
        <v>20</v>
      </c>
    </row>
    <row r="16" spans="2:3" x14ac:dyDescent="0.25">
      <c r="B16" s="15" t="s">
        <v>21</v>
      </c>
      <c r="C16" s="16" t="s">
        <v>22</v>
      </c>
    </row>
    <row r="17" spans="2:3" x14ac:dyDescent="0.25">
      <c r="B17" s="15" t="s">
        <v>23</v>
      </c>
      <c r="C17" s="16" t="s">
        <v>24</v>
      </c>
    </row>
    <row r="18" spans="2:3" x14ac:dyDescent="0.25">
      <c r="B18" s="15" t="s">
        <v>25</v>
      </c>
      <c r="C18" s="16" t="s">
        <v>26</v>
      </c>
    </row>
    <row r="19" spans="2:3" x14ac:dyDescent="0.25">
      <c r="B19" s="15" t="s">
        <v>27</v>
      </c>
      <c r="C19" s="16" t="s">
        <v>28</v>
      </c>
    </row>
    <row r="20" spans="2:3" x14ac:dyDescent="0.25">
      <c r="B20" s="15" t="s">
        <v>29</v>
      </c>
      <c r="C20" s="16" t="s">
        <v>30</v>
      </c>
    </row>
    <row r="21" spans="2:3" x14ac:dyDescent="0.25">
      <c r="B21" s="15" t="s">
        <v>31</v>
      </c>
      <c r="C21" s="16" t="s">
        <v>32</v>
      </c>
    </row>
    <row r="22" spans="2:3" x14ac:dyDescent="0.25">
      <c r="B22" s="15" t="s">
        <v>33</v>
      </c>
      <c r="C22" s="16" t="s">
        <v>34</v>
      </c>
    </row>
    <row r="23" spans="2:3" x14ac:dyDescent="0.25">
      <c r="B23" s="15" t="s">
        <v>35</v>
      </c>
      <c r="C23" s="16" t="s">
        <v>36</v>
      </c>
    </row>
    <row r="24" spans="2:3" x14ac:dyDescent="0.25">
      <c r="B24" s="15" t="s">
        <v>37</v>
      </c>
      <c r="C24" s="16" t="s">
        <v>38</v>
      </c>
    </row>
    <row r="25" spans="2:3" x14ac:dyDescent="0.25">
      <c r="B25" s="15" t="s">
        <v>39</v>
      </c>
      <c r="C25" s="16" t="s">
        <v>40</v>
      </c>
    </row>
    <row r="26" spans="2:3" x14ac:dyDescent="0.25">
      <c r="B26" s="15" t="s">
        <v>41</v>
      </c>
      <c r="C26" s="16" t="s">
        <v>42</v>
      </c>
    </row>
    <row r="29" spans="2:3" ht="15.75" x14ac:dyDescent="0.25">
      <c r="B29" s="10" t="s">
        <v>43</v>
      </c>
      <c r="C29" s="10"/>
    </row>
    <row r="30" spans="2:3" x14ac:dyDescent="0.25">
      <c r="B30" s="17" t="s">
        <v>44</v>
      </c>
      <c r="C30" s="16" t="s">
        <v>45</v>
      </c>
    </row>
    <row r="31" spans="2:3" x14ac:dyDescent="0.25">
      <c r="B31" s="18" t="s">
        <v>46</v>
      </c>
      <c r="C31" s="16" t="s">
        <v>47</v>
      </c>
    </row>
    <row r="32" spans="2:3" x14ac:dyDescent="0.25">
      <c r="B32" s="19" t="s">
        <v>48</v>
      </c>
      <c r="C32" s="16" t="s">
        <v>49</v>
      </c>
    </row>
    <row r="33" spans="2:3" x14ac:dyDescent="0.25">
      <c r="B33" s="20" t="s">
        <v>50</v>
      </c>
      <c r="C33" s="16" t="s">
        <v>51</v>
      </c>
    </row>
    <row r="34" spans="2:3" x14ac:dyDescent="0.25">
      <c r="B34" s="21" t="s">
        <v>52</v>
      </c>
      <c r="C34" s="16" t="s">
        <v>53</v>
      </c>
    </row>
    <row r="35" spans="2:3" x14ac:dyDescent="0.25">
      <c r="B35" s="22" t="s">
        <v>54</v>
      </c>
      <c r="C35" s="16" t="s">
        <v>55</v>
      </c>
    </row>
    <row r="38" spans="2:3" ht="30" customHeight="1" x14ac:dyDescent="0.25">
      <c r="B38" s="9" t="s">
        <v>56</v>
      </c>
      <c r="C38" s="9"/>
    </row>
  </sheetData>
  <mergeCells count="5">
    <mergeCell ref="B2:C2"/>
    <mergeCell ref="B3:C3"/>
    <mergeCell ref="B12:C12"/>
    <mergeCell ref="B29:C29"/>
    <mergeCell ref="B38:C38"/>
  </mergeCells>
  <hyperlinks>
    <hyperlink ref="B13" r:id="rId1" location="'02_Premissas'!A1" xr:uid="{00000000-0004-0000-0000-000000000000}"/>
    <hyperlink ref="B14" r:id="rId2" location="'03_Base_Vendas'!A1" xr:uid="{00000000-0004-0000-0000-000001000000}"/>
    <hyperlink ref="B15" r:id="rId3" location="'04_Base_Despesas'!A1" xr:uid="{00000000-0004-0000-0000-000002000000}"/>
    <hyperlink ref="B16" r:id="rId4" location="'05_Base_Apoio'!A1" xr:uid="{00000000-0004-0000-0000-000003000000}"/>
    <hyperlink ref="B17" r:id="rId5" location="'06_DRE_Consolidada'!A1" xr:uid="{00000000-0004-0000-0000-000004000000}"/>
    <hyperlink ref="B18" r:id="rId6" location="'07_DRE_por_Canal'!A1" xr:uid="{00000000-0004-0000-0000-000005000000}"/>
    <hyperlink ref="B19" r:id="rId7" location="'08_DRE_por_Categoria'!A1" xr:uid="{00000000-0004-0000-0000-000006000000}"/>
    <hyperlink ref="B20" r:id="rId8" location="'09_Fluxo_de_Caixa'!A1" xr:uid="{00000000-0004-0000-0000-000007000000}"/>
    <hyperlink ref="B21" r:id="rId9" location="'10_Capital_de_Giro'!A1" xr:uid="{00000000-0004-0000-0000-000008000000}"/>
    <hyperlink ref="B22" r:id="rId10" location="'11_Estoque_e_Giro'!A1" xr:uid="{00000000-0004-0000-0000-000009000000}"/>
    <hyperlink ref="B23" r:id="rId11" location="'12_KPIs'!A1" xr:uid="{00000000-0004-0000-0000-00000A000000}"/>
    <hyperlink ref="B24" r:id="rId12" location="'13_Forecast_6M'!A1" xr:uid="{00000000-0004-0000-0000-00000B000000}"/>
    <hyperlink ref="B25" r:id="rId13" location="'14_Antes_vs_Depois'!A1" xr:uid="{00000000-0004-0000-0000-00000C000000}"/>
    <hyperlink ref="B26" r:id="rId14" location="'15_Dashboard_Exec'!A1" xr:uid="{00000000-0004-0000-00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0"/>
  <sheetViews>
    <sheetView showGridLines="0" topLeftCell="A10" zoomScaleNormal="100" workbookViewId="0">
      <selection activeCell="C7" sqref="C7"/>
    </sheetView>
  </sheetViews>
  <sheetFormatPr defaultColWidth="8.7109375" defaultRowHeight="15" x14ac:dyDescent="0.25"/>
  <cols>
    <col min="1" max="1" width="2" customWidth="1"/>
    <col min="2" max="2" width="38" customWidth="1"/>
    <col min="3" max="6" width="16" customWidth="1"/>
    <col min="7" max="7" width="40" customWidth="1"/>
  </cols>
  <sheetData>
    <row r="2" spans="1:7" ht="27.75" customHeight="1" x14ac:dyDescent="0.25">
      <c r="A2" s="8" t="s">
        <v>57</v>
      </c>
      <c r="B2" s="8"/>
      <c r="C2" s="8"/>
      <c r="D2" s="8"/>
      <c r="E2" s="8"/>
      <c r="F2" s="8"/>
      <c r="G2" s="8"/>
    </row>
    <row r="3" spans="1:7" x14ac:dyDescent="0.25">
      <c r="A3" s="7" t="s">
        <v>58</v>
      </c>
      <c r="B3" s="7"/>
      <c r="C3" s="7"/>
      <c r="D3" s="7"/>
      <c r="E3" s="7"/>
      <c r="F3" s="7"/>
      <c r="G3" s="7"/>
    </row>
    <row r="5" spans="1:7" ht="19.5" customHeight="1" x14ac:dyDescent="0.25">
      <c r="A5" s="6" t="s">
        <v>59</v>
      </c>
      <c r="B5" s="6"/>
      <c r="C5" s="6"/>
      <c r="D5" s="6"/>
      <c r="E5" s="6"/>
      <c r="F5" s="6"/>
      <c r="G5" s="6"/>
    </row>
    <row r="6" spans="1:7" x14ac:dyDescent="0.25">
      <c r="B6" s="23" t="s">
        <v>60</v>
      </c>
      <c r="C6" s="23" t="s">
        <v>61</v>
      </c>
      <c r="D6" s="23" t="s">
        <v>62</v>
      </c>
      <c r="E6" s="24"/>
      <c r="F6" s="24"/>
      <c r="G6" s="23" t="s">
        <v>63</v>
      </c>
    </row>
    <row r="7" spans="1:7" x14ac:dyDescent="0.25">
      <c r="B7" s="14" t="s">
        <v>64</v>
      </c>
      <c r="C7" s="25">
        <v>2.5000000000000001E-2</v>
      </c>
      <c r="D7" s="26">
        <v>3</v>
      </c>
      <c r="G7" s="27" t="s">
        <v>65</v>
      </c>
    </row>
    <row r="8" spans="1:7" x14ac:dyDescent="0.25">
      <c r="B8" s="14" t="s">
        <v>66</v>
      </c>
      <c r="C8" s="25">
        <v>1.4999999999999999E-2</v>
      </c>
      <c r="D8" s="26">
        <v>3</v>
      </c>
      <c r="G8" s="27" t="s">
        <v>67</v>
      </c>
    </row>
    <row r="9" spans="1:7" x14ac:dyDescent="0.25">
      <c r="B9" s="14" t="s">
        <v>68</v>
      </c>
      <c r="C9" s="25">
        <v>0.01</v>
      </c>
      <c r="D9" s="26">
        <v>3</v>
      </c>
      <c r="G9" s="27" t="s">
        <v>69</v>
      </c>
    </row>
    <row r="10" spans="1:7" x14ac:dyDescent="0.25">
      <c r="B10" s="14" t="s">
        <v>70</v>
      </c>
      <c r="C10" s="25">
        <v>8.0000000000000002E-3</v>
      </c>
      <c r="D10" s="26">
        <v>3</v>
      </c>
      <c r="G10" s="27" t="s">
        <v>71</v>
      </c>
    </row>
    <row r="12" spans="1:7" ht="19.5" customHeight="1" x14ac:dyDescent="0.25">
      <c r="A12" s="6" t="s">
        <v>72</v>
      </c>
      <c r="B12" s="6"/>
      <c r="C12" s="6"/>
      <c r="D12" s="6"/>
      <c r="E12" s="6"/>
      <c r="F12" s="6"/>
      <c r="G12" s="6"/>
    </row>
    <row r="13" spans="1:7" x14ac:dyDescent="0.25">
      <c r="B13" s="14" t="s">
        <v>73</v>
      </c>
      <c r="C13" s="25">
        <v>5.0000000000000001E-3</v>
      </c>
      <c r="G13" s="27" t="s">
        <v>74</v>
      </c>
    </row>
    <row r="15" spans="1:7" ht="19.5" customHeight="1" x14ac:dyDescent="0.25">
      <c r="A15" s="6" t="s">
        <v>75</v>
      </c>
      <c r="B15" s="6"/>
      <c r="C15" s="6"/>
      <c r="D15" s="6"/>
      <c r="E15" s="6"/>
      <c r="F15" s="6"/>
      <c r="G15" s="6"/>
    </row>
    <row r="16" spans="1:7" x14ac:dyDescent="0.25">
      <c r="B16" s="23" t="s">
        <v>76</v>
      </c>
      <c r="C16" s="23" t="s">
        <v>77</v>
      </c>
      <c r="G16" s="23" t="s">
        <v>63</v>
      </c>
    </row>
    <row r="17" spans="1:7" x14ac:dyDescent="0.25">
      <c r="B17" s="28" t="s">
        <v>78</v>
      </c>
      <c r="C17" s="29">
        <v>0.95</v>
      </c>
      <c r="G17" s="27" t="s">
        <v>79</v>
      </c>
    </row>
    <row r="18" spans="1:7" x14ac:dyDescent="0.25">
      <c r="B18" s="28" t="s">
        <v>80</v>
      </c>
      <c r="C18" s="29">
        <v>0.9</v>
      </c>
      <c r="G18" s="27" t="s">
        <v>81</v>
      </c>
    </row>
    <row r="19" spans="1:7" x14ac:dyDescent="0.25">
      <c r="B19" s="28" t="s">
        <v>82</v>
      </c>
      <c r="C19" s="29">
        <v>1</v>
      </c>
      <c r="G19" s="27" t="s">
        <v>83</v>
      </c>
    </row>
    <row r="20" spans="1:7" x14ac:dyDescent="0.25">
      <c r="B20" s="28" t="s">
        <v>84</v>
      </c>
      <c r="C20" s="29">
        <v>0.95</v>
      </c>
      <c r="G20" s="27" t="s">
        <v>85</v>
      </c>
    </row>
    <row r="21" spans="1:7" x14ac:dyDescent="0.25">
      <c r="B21" s="28" t="s">
        <v>86</v>
      </c>
      <c r="C21" s="29">
        <v>1.2</v>
      </c>
      <c r="G21" s="27" t="s">
        <v>87</v>
      </c>
    </row>
    <row r="22" spans="1:7" x14ac:dyDescent="0.25">
      <c r="B22" s="28" t="s">
        <v>88</v>
      </c>
      <c r="C22" s="29">
        <v>1.05</v>
      </c>
      <c r="G22" s="27" t="s">
        <v>89</v>
      </c>
    </row>
    <row r="24" spans="1:7" ht="19.5" customHeight="1" x14ac:dyDescent="0.25">
      <c r="A24" s="6" t="s">
        <v>90</v>
      </c>
      <c r="B24" s="6"/>
      <c r="C24" s="6"/>
      <c r="D24" s="6"/>
      <c r="E24" s="6"/>
      <c r="F24" s="6"/>
      <c r="G24" s="6"/>
    </row>
    <row r="25" spans="1:7" x14ac:dyDescent="0.25">
      <c r="B25" s="23" t="s">
        <v>91</v>
      </c>
      <c r="C25" s="23" t="s">
        <v>92</v>
      </c>
      <c r="D25" s="23" t="s">
        <v>93</v>
      </c>
      <c r="G25" s="23" t="s">
        <v>63</v>
      </c>
    </row>
    <row r="26" spans="1:7" x14ac:dyDescent="0.25">
      <c r="B26" s="30" t="s">
        <v>94</v>
      </c>
      <c r="C26" s="31">
        <v>12</v>
      </c>
      <c r="D26" s="31">
        <v>5</v>
      </c>
      <c r="G26" s="27" t="s">
        <v>95</v>
      </c>
    </row>
    <row r="27" spans="1:7" x14ac:dyDescent="0.25">
      <c r="B27" s="30" t="s">
        <v>96</v>
      </c>
      <c r="C27" s="31">
        <v>200</v>
      </c>
      <c r="D27" s="31">
        <v>80</v>
      </c>
      <c r="G27" s="27" t="s">
        <v>97</v>
      </c>
    </row>
    <row r="28" spans="1:7" x14ac:dyDescent="0.25">
      <c r="B28" s="30" t="s">
        <v>98</v>
      </c>
      <c r="C28" s="31">
        <v>85</v>
      </c>
      <c r="D28" s="31">
        <v>85</v>
      </c>
      <c r="G28" s="27" t="s">
        <v>99</v>
      </c>
    </row>
    <row r="29" spans="1:7" x14ac:dyDescent="0.25">
      <c r="B29" s="30" t="s">
        <v>100</v>
      </c>
      <c r="C29" s="31">
        <v>12</v>
      </c>
      <c r="D29" s="31">
        <v>2</v>
      </c>
      <c r="G29" s="27" t="s">
        <v>101</v>
      </c>
    </row>
    <row r="30" spans="1:7" x14ac:dyDescent="0.25">
      <c r="B30" s="30" t="s">
        <v>102</v>
      </c>
      <c r="C30" s="31">
        <v>4</v>
      </c>
      <c r="D30" s="31">
        <v>4</v>
      </c>
      <c r="G30" s="27" t="s">
        <v>103</v>
      </c>
    </row>
    <row r="31" spans="1:7" x14ac:dyDescent="0.25">
      <c r="B31" s="30" t="s">
        <v>104</v>
      </c>
      <c r="C31" s="31">
        <v>7</v>
      </c>
      <c r="D31" s="31">
        <v>1</v>
      </c>
      <c r="G31" s="27" t="s">
        <v>105</v>
      </c>
    </row>
    <row r="32" spans="1:7" x14ac:dyDescent="0.25">
      <c r="B32" s="30" t="s">
        <v>106</v>
      </c>
      <c r="C32" s="31">
        <v>16</v>
      </c>
      <c r="D32" s="31">
        <v>4</v>
      </c>
      <c r="G32" s="27" t="s">
        <v>107</v>
      </c>
    </row>
    <row r="34" spans="1:7" ht="19.5" customHeight="1" x14ac:dyDescent="0.25">
      <c r="A34" s="6" t="s">
        <v>108</v>
      </c>
      <c r="B34" s="6"/>
      <c r="C34" s="6"/>
      <c r="D34" s="6"/>
      <c r="E34" s="6"/>
      <c r="F34" s="6"/>
      <c r="G34" s="6"/>
    </row>
    <row r="35" spans="1:7" ht="18" customHeight="1" x14ac:dyDescent="0.25">
      <c r="B35" s="32" t="s">
        <v>109</v>
      </c>
      <c r="C35" s="5" t="s">
        <v>110</v>
      </c>
      <c r="D35" s="5"/>
      <c r="E35" s="5"/>
      <c r="F35" s="5"/>
      <c r="G35" s="5"/>
    </row>
    <row r="36" spans="1:7" ht="18" customHeight="1" x14ac:dyDescent="0.25">
      <c r="B36" s="32" t="s">
        <v>111</v>
      </c>
      <c r="C36" s="5" t="s">
        <v>112</v>
      </c>
      <c r="D36" s="5"/>
      <c r="E36" s="5"/>
      <c r="F36" s="5"/>
      <c r="G36" s="5"/>
    </row>
    <row r="37" spans="1:7" ht="18" customHeight="1" x14ac:dyDescent="0.25">
      <c r="B37" s="32" t="s">
        <v>113</v>
      </c>
      <c r="C37" s="5" t="s">
        <v>114</v>
      </c>
      <c r="D37" s="5"/>
      <c r="E37" s="5"/>
      <c r="F37" s="5"/>
      <c r="G37" s="5"/>
    </row>
    <row r="38" spans="1:7" ht="18" customHeight="1" x14ac:dyDescent="0.25">
      <c r="B38" s="32" t="s">
        <v>115</v>
      </c>
      <c r="C38" s="5" t="s">
        <v>116</v>
      </c>
      <c r="D38" s="5"/>
      <c r="E38" s="5"/>
      <c r="F38" s="5"/>
      <c r="G38" s="5"/>
    </row>
    <row r="39" spans="1:7" ht="18" customHeight="1" x14ac:dyDescent="0.25">
      <c r="B39" s="32" t="s">
        <v>117</v>
      </c>
      <c r="C39" s="5" t="s">
        <v>118</v>
      </c>
      <c r="D39" s="5"/>
      <c r="E39" s="5"/>
      <c r="F39" s="5"/>
      <c r="G39" s="5"/>
    </row>
    <row r="40" spans="1:7" ht="18" customHeight="1" x14ac:dyDescent="0.25">
      <c r="B40" s="32" t="s">
        <v>119</v>
      </c>
      <c r="C40" s="5" t="s">
        <v>120</v>
      </c>
      <c r="D40" s="5"/>
      <c r="E40" s="5"/>
      <c r="F40" s="5"/>
      <c r="G40" s="5"/>
    </row>
  </sheetData>
  <mergeCells count="13">
    <mergeCell ref="C38:G38"/>
    <mergeCell ref="C39:G39"/>
    <mergeCell ref="C40:G40"/>
    <mergeCell ref="A24:G24"/>
    <mergeCell ref="A34:G34"/>
    <mergeCell ref="C35:G35"/>
    <mergeCell ref="C36:G36"/>
    <mergeCell ref="C37:G37"/>
    <mergeCell ref="A2:G2"/>
    <mergeCell ref="A3:G3"/>
    <mergeCell ref="A5:G5"/>
    <mergeCell ref="A12:G12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ColWidth="8.7109375" defaultRowHeight="15" x14ac:dyDescent="0.25"/>
  <cols>
    <col min="1" max="1" width="14" customWidth="1"/>
    <col min="2" max="2" width="16" customWidth="1"/>
    <col min="3" max="3" width="14" customWidth="1"/>
    <col min="4" max="5" width="13" customWidth="1"/>
    <col min="6" max="8" width="14" customWidth="1"/>
    <col min="9" max="9" width="16" customWidth="1"/>
    <col min="10" max="10" width="14" customWidth="1"/>
    <col min="11" max="11" width="16" customWidth="1"/>
    <col min="12" max="12" width="14" customWidth="1"/>
  </cols>
  <sheetData>
    <row r="1" spans="1:12" ht="27.75" customHeight="1" x14ac:dyDescent="0.25">
      <c r="A1" s="8" t="s">
        <v>121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7" t="s">
        <v>122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x14ac:dyDescent="0.25">
      <c r="A4" s="33" t="s">
        <v>123</v>
      </c>
      <c r="B4" s="33" t="s">
        <v>124</v>
      </c>
      <c r="C4" s="33" t="s">
        <v>125</v>
      </c>
      <c r="D4" s="33" t="s">
        <v>126</v>
      </c>
      <c r="E4" s="33" t="s">
        <v>127</v>
      </c>
      <c r="F4" s="33" t="s">
        <v>128</v>
      </c>
      <c r="G4" s="33" t="s">
        <v>129</v>
      </c>
      <c r="H4" s="33" t="s">
        <v>130</v>
      </c>
      <c r="I4" s="33" t="s">
        <v>131</v>
      </c>
      <c r="J4" s="33" t="s">
        <v>132</v>
      </c>
      <c r="K4" s="33" t="s">
        <v>133</v>
      </c>
      <c r="L4" s="33" t="s">
        <v>134</v>
      </c>
    </row>
    <row r="5" spans="1:12" x14ac:dyDescent="0.25">
      <c r="A5" s="30" t="s">
        <v>135</v>
      </c>
      <c r="B5" s="30" t="s">
        <v>136</v>
      </c>
      <c r="C5" s="30" t="s">
        <v>137</v>
      </c>
      <c r="D5" s="34">
        <v>41</v>
      </c>
      <c r="E5" s="34">
        <v>69</v>
      </c>
      <c r="F5" s="35">
        <v>8597.49</v>
      </c>
      <c r="G5" s="35">
        <v>617.66999999999996</v>
      </c>
      <c r="H5" s="35">
        <v>348.15</v>
      </c>
      <c r="I5" s="35">
        <v>7631.67</v>
      </c>
      <c r="J5" s="35">
        <v>4432.72</v>
      </c>
      <c r="K5" s="35">
        <v>3198.95</v>
      </c>
      <c r="L5" s="34">
        <v>3</v>
      </c>
    </row>
    <row r="6" spans="1:12" x14ac:dyDescent="0.25">
      <c r="A6" s="30" t="s">
        <v>135</v>
      </c>
      <c r="B6" s="30" t="s">
        <v>136</v>
      </c>
      <c r="C6" s="30" t="s">
        <v>138</v>
      </c>
      <c r="D6" s="34">
        <v>70</v>
      </c>
      <c r="E6" s="34">
        <v>118</v>
      </c>
      <c r="F6" s="35">
        <v>10380.290000000001</v>
      </c>
      <c r="G6" s="35">
        <v>172.73</v>
      </c>
      <c r="H6" s="35">
        <v>419.55</v>
      </c>
      <c r="I6" s="35">
        <v>9788.01</v>
      </c>
      <c r="J6" s="35">
        <v>4971.72</v>
      </c>
      <c r="K6" s="35">
        <v>4816.29</v>
      </c>
      <c r="L6" s="34">
        <v>1</v>
      </c>
    </row>
    <row r="7" spans="1:12" x14ac:dyDescent="0.25">
      <c r="A7" s="30" t="s">
        <v>135</v>
      </c>
      <c r="B7" s="30" t="s">
        <v>136</v>
      </c>
      <c r="C7" s="30" t="s">
        <v>139</v>
      </c>
      <c r="D7" s="34">
        <v>45</v>
      </c>
      <c r="E7" s="34">
        <v>89</v>
      </c>
      <c r="F7" s="35">
        <v>26995.05</v>
      </c>
      <c r="G7" s="35">
        <v>222.15</v>
      </c>
      <c r="H7" s="35">
        <v>1114.33</v>
      </c>
      <c r="I7" s="35">
        <v>25658.57</v>
      </c>
      <c r="J7" s="35">
        <v>14398.67</v>
      </c>
      <c r="K7" s="35">
        <v>11259.9</v>
      </c>
      <c r="L7" s="34">
        <v>1</v>
      </c>
    </row>
    <row r="8" spans="1:12" x14ac:dyDescent="0.25">
      <c r="A8" s="30" t="s">
        <v>135</v>
      </c>
      <c r="B8" s="30" t="s">
        <v>136</v>
      </c>
      <c r="C8" s="30" t="s">
        <v>140</v>
      </c>
      <c r="D8" s="34">
        <v>68</v>
      </c>
      <c r="E8" s="34">
        <v>120</v>
      </c>
      <c r="F8" s="35">
        <v>22663.360000000001</v>
      </c>
      <c r="G8" s="35">
        <v>929.98</v>
      </c>
      <c r="H8" s="35">
        <v>924.52</v>
      </c>
      <c r="I8" s="35">
        <v>20808.86</v>
      </c>
      <c r="J8" s="35">
        <v>8921.7000000000007</v>
      </c>
      <c r="K8" s="35">
        <v>11887.16</v>
      </c>
      <c r="L8" s="34">
        <v>3</v>
      </c>
    </row>
    <row r="9" spans="1:12" x14ac:dyDescent="0.25">
      <c r="A9" s="30" t="s">
        <v>135</v>
      </c>
      <c r="B9" s="30" t="s">
        <v>141</v>
      </c>
      <c r="C9" s="30" t="s">
        <v>137</v>
      </c>
      <c r="D9" s="34">
        <v>14</v>
      </c>
      <c r="E9" s="34">
        <v>24</v>
      </c>
      <c r="F9" s="35">
        <v>2876.06</v>
      </c>
      <c r="G9" s="35">
        <v>0</v>
      </c>
      <c r="H9" s="35">
        <v>348.81</v>
      </c>
      <c r="I9" s="35">
        <v>2527.25</v>
      </c>
      <c r="J9" s="35">
        <v>1428.66</v>
      </c>
      <c r="K9" s="35">
        <v>1098.5899999999999</v>
      </c>
      <c r="L9" s="34">
        <v>0</v>
      </c>
    </row>
    <row r="10" spans="1:12" x14ac:dyDescent="0.25">
      <c r="A10" s="30" t="s">
        <v>135</v>
      </c>
      <c r="B10" s="30" t="s">
        <v>141</v>
      </c>
      <c r="C10" s="30" t="s">
        <v>138</v>
      </c>
      <c r="D10" s="34">
        <v>36</v>
      </c>
      <c r="E10" s="34">
        <v>65</v>
      </c>
      <c r="F10" s="35">
        <v>6919.04</v>
      </c>
      <c r="G10" s="35">
        <v>302.33999999999997</v>
      </c>
      <c r="H10" s="35">
        <v>824.63</v>
      </c>
      <c r="I10" s="35">
        <v>5792.07</v>
      </c>
      <c r="J10" s="35">
        <v>3293.41</v>
      </c>
      <c r="K10" s="35">
        <v>2498.66</v>
      </c>
      <c r="L10" s="34">
        <v>3</v>
      </c>
    </row>
    <row r="11" spans="1:12" x14ac:dyDescent="0.25">
      <c r="A11" s="30" t="s">
        <v>135</v>
      </c>
      <c r="B11" s="30" t="s">
        <v>141</v>
      </c>
      <c r="C11" s="30" t="s">
        <v>139</v>
      </c>
      <c r="D11" s="34">
        <v>30</v>
      </c>
      <c r="E11" s="34">
        <v>57</v>
      </c>
      <c r="F11" s="35">
        <v>17868.8</v>
      </c>
      <c r="G11" s="35">
        <v>1649.8</v>
      </c>
      <c r="H11" s="35">
        <v>2160.58</v>
      </c>
      <c r="I11" s="35">
        <v>14058.42</v>
      </c>
      <c r="J11" s="35">
        <v>9400.91</v>
      </c>
      <c r="K11" s="35">
        <v>4657.51</v>
      </c>
      <c r="L11" s="34">
        <v>3</v>
      </c>
    </row>
    <row r="12" spans="1:12" x14ac:dyDescent="0.25">
      <c r="A12" s="30" t="s">
        <v>135</v>
      </c>
      <c r="B12" s="30" t="s">
        <v>141</v>
      </c>
      <c r="C12" s="30" t="s">
        <v>140</v>
      </c>
      <c r="D12" s="34">
        <v>36</v>
      </c>
      <c r="E12" s="34">
        <v>61</v>
      </c>
      <c r="F12" s="35">
        <v>11997.82</v>
      </c>
      <c r="G12" s="35">
        <v>687.83</v>
      </c>
      <c r="H12" s="35">
        <v>1442.28</v>
      </c>
      <c r="I12" s="35">
        <v>9867.7099999999991</v>
      </c>
      <c r="J12" s="35">
        <v>4717.1400000000003</v>
      </c>
      <c r="K12" s="35">
        <v>5150.57</v>
      </c>
      <c r="L12" s="34">
        <v>2</v>
      </c>
    </row>
    <row r="13" spans="1:12" x14ac:dyDescent="0.25">
      <c r="A13" s="30" t="s">
        <v>135</v>
      </c>
      <c r="B13" s="30" t="s">
        <v>142</v>
      </c>
      <c r="C13" s="30" t="s">
        <v>137</v>
      </c>
      <c r="D13" s="34">
        <v>10</v>
      </c>
      <c r="E13" s="34">
        <v>14</v>
      </c>
      <c r="F13" s="35">
        <v>1619.46</v>
      </c>
      <c r="G13" s="35">
        <v>0</v>
      </c>
      <c r="H13" s="35">
        <v>0.37</v>
      </c>
      <c r="I13" s="35">
        <v>1619.09</v>
      </c>
      <c r="J13" s="35">
        <v>855.15</v>
      </c>
      <c r="K13" s="35">
        <v>763.94</v>
      </c>
      <c r="L13" s="34">
        <v>0</v>
      </c>
    </row>
    <row r="14" spans="1:12" x14ac:dyDescent="0.25">
      <c r="A14" s="30" t="s">
        <v>135</v>
      </c>
      <c r="B14" s="30" t="s">
        <v>142</v>
      </c>
      <c r="C14" s="30" t="s">
        <v>138</v>
      </c>
      <c r="D14" s="34">
        <v>24</v>
      </c>
      <c r="E14" s="34">
        <v>44</v>
      </c>
      <c r="F14" s="35">
        <v>3703.68</v>
      </c>
      <c r="G14" s="35">
        <v>0</v>
      </c>
      <c r="H14" s="35">
        <v>1.04</v>
      </c>
      <c r="I14" s="35">
        <v>3702.64</v>
      </c>
      <c r="J14" s="35">
        <v>1779.71</v>
      </c>
      <c r="K14" s="35">
        <v>1922.93</v>
      </c>
      <c r="L14" s="34">
        <v>0</v>
      </c>
    </row>
    <row r="15" spans="1:12" x14ac:dyDescent="0.25">
      <c r="A15" s="30" t="s">
        <v>135</v>
      </c>
      <c r="B15" s="30" t="s">
        <v>142</v>
      </c>
      <c r="C15" s="30" t="s">
        <v>139</v>
      </c>
      <c r="D15" s="34">
        <v>10</v>
      </c>
      <c r="E15" s="34">
        <v>15</v>
      </c>
      <c r="F15" s="35">
        <v>3841.65</v>
      </c>
      <c r="G15" s="35">
        <v>0</v>
      </c>
      <c r="H15" s="35">
        <v>2.38</v>
      </c>
      <c r="I15" s="35">
        <v>3839.27</v>
      </c>
      <c r="J15" s="35">
        <v>2007.8</v>
      </c>
      <c r="K15" s="35">
        <v>1831.47</v>
      </c>
      <c r="L15" s="34">
        <v>0</v>
      </c>
    </row>
    <row r="16" spans="1:12" x14ac:dyDescent="0.25">
      <c r="A16" s="30" t="s">
        <v>135</v>
      </c>
      <c r="B16" s="30" t="s">
        <v>142</v>
      </c>
      <c r="C16" s="30" t="s">
        <v>140</v>
      </c>
      <c r="D16" s="34">
        <v>23</v>
      </c>
      <c r="E16" s="34">
        <v>38</v>
      </c>
      <c r="F16" s="35">
        <v>6122.39</v>
      </c>
      <c r="G16" s="35">
        <v>0</v>
      </c>
      <c r="H16" s="35">
        <v>0.37</v>
      </c>
      <c r="I16" s="35">
        <v>6122.02</v>
      </c>
      <c r="J16" s="35">
        <v>2487.69</v>
      </c>
      <c r="K16" s="35">
        <v>3634.33</v>
      </c>
      <c r="L16" s="34">
        <v>0</v>
      </c>
    </row>
    <row r="17" spans="1:12" x14ac:dyDescent="0.25">
      <c r="A17" s="30" t="s">
        <v>135</v>
      </c>
      <c r="B17" s="30" t="s">
        <v>143</v>
      </c>
      <c r="C17" s="30" t="s">
        <v>137</v>
      </c>
      <c r="D17" s="34">
        <v>27</v>
      </c>
      <c r="E17" s="34">
        <v>49</v>
      </c>
      <c r="F17" s="35">
        <v>6517.6</v>
      </c>
      <c r="G17" s="35">
        <v>0</v>
      </c>
      <c r="H17" s="35">
        <v>1108.71</v>
      </c>
      <c r="I17" s="35">
        <v>5408.89</v>
      </c>
      <c r="J17" s="35">
        <v>3415.07</v>
      </c>
      <c r="K17" s="35">
        <v>1993.82</v>
      </c>
      <c r="L17" s="34">
        <v>0</v>
      </c>
    </row>
    <row r="18" spans="1:12" x14ac:dyDescent="0.25">
      <c r="A18" s="30" t="s">
        <v>135</v>
      </c>
      <c r="B18" s="30" t="s">
        <v>143</v>
      </c>
      <c r="C18" s="30" t="s">
        <v>138</v>
      </c>
      <c r="D18" s="34">
        <v>51</v>
      </c>
      <c r="E18" s="34">
        <v>84</v>
      </c>
      <c r="F18" s="35">
        <v>7981.81</v>
      </c>
      <c r="G18" s="35">
        <v>181.8</v>
      </c>
      <c r="H18" s="35">
        <v>1365.45</v>
      </c>
      <c r="I18" s="35">
        <v>6434.56</v>
      </c>
      <c r="J18" s="35">
        <v>3835.5</v>
      </c>
      <c r="K18" s="35">
        <v>2599.06</v>
      </c>
      <c r="L18" s="34">
        <v>1</v>
      </c>
    </row>
    <row r="19" spans="1:12" x14ac:dyDescent="0.25">
      <c r="A19" s="30" t="s">
        <v>135</v>
      </c>
      <c r="B19" s="30" t="s">
        <v>143</v>
      </c>
      <c r="C19" s="30" t="s">
        <v>139</v>
      </c>
      <c r="D19" s="34">
        <v>32</v>
      </c>
      <c r="E19" s="34">
        <v>47</v>
      </c>
      <c r="F19" s="35">
        <v>14313.14</v>
      </c>
      <c r="G19" s="35">
        <v>901.05</v>
      </c>
      <c r="H19" s="35">
        <v>2453.58</v>
      </c>
      <c r="I19" s="35">
        <v>10958.51</v>
      </c>
      <c r="J19" s="35">
        <v>7783.88</v>
      </c>
      <c r="K19" s="35">
        <v>3174.63</v>
      </c>
      <c r="L19" s="34">
        <v>2</v>
      </c>
    </row>
    <row r="20" spans="1:12" x14ac:dyDescent="0.25">
      <c r="A20" s="30" t="s">
        <v>135</v>
      </c>
      <c r="B20" s="30" t="s">
        <v>143</v>
      </c>
      <c r="C20" s="30" t="s">
        <v>140</v>
      </c>
      <c r="D20" s="34">
        <v>58</v>
      </c>
      <c r="E20" s="34">
        <v>104</v>
      </c>
      <c r="F20" s="35">
        <v>19231.240000000002</v>
      </c>
      <c r="G20" s="35">
        <v>161.84</v>
      </c>
      <c r="H20" s="35">
        <v>3264.79</v>
      </c>
      <c r="I20" s="35">
        <v>15804.61</v>
      </c>
      <c r="J20" s="35">
        <v>7481.36</v>
      </c>
      <c r="K20" s="35">
        <v>8323.25</v>
      </c>
      <c r="L20" s="34">
        <v>1</v>
      </c>
    </row>
    <row r="21" spans="1:12" x14ac:dyDescent="0.25">
      <c r="A21" s="30" t="s">
        <v>144</v>
      </c>
      <c r="B21" s="30" t="s">
        <v>136</v>
      </c>
      <c r="C21" s="30" t="s">
        <v>137</v>
      </c>
      <c r="D21" s="34">
        <v>30</v>
      </c>
      <c r="E21" s="34">
        <v>43</v>
      </c>
      <c r="F21" s="35">
        <v>5536.54</v>
      </c>
      <c r="G21" s="35">
        <v>203.05</v>
      </c>
      <c r="H21" s="35">
        <v>227.18</v>
      </c>
      <c r="I21" s="35">
        <v>5106.3100000000004</v>
      </c>
      <c r="J21" s="35">
        <v>2880.65</v>
      </c>
      <c r="K21" s="35">
        <v>2225.66</v>
      </c>
      <c r="L21" s="34">
        <v>2</v>
      </c>
    </row>
    <row r="22" spans="1:12" x14ac:dyDescent="0.25">
      <c r="A22" s="30" t="s">
        <v>144</v>
      </c>
      <c r="B22" s="30" t="s">
        <v>136</v>
      </c>
      <c r="C22" s="30" t="s">
        <v>138</v>
      </c>
      <c r="D22" s="34">
        <v>46</v>
      </c>
      <c r="E22" s="34">
        <v>88</v>
      </c>
      <c r="F22" s="35">
        <v>8851.8799999999992</v>
      </c>
      <c r="G22" s="35">
        <v>121.95</v>
      </c>
      <c r="H22" s="35">
        <v>355.65</v>
      </c>
      <c r="I22" s="35">
        <v>8374.2800000000007</v>
      </c>
      <c r="J22" s="35">
        <v>4215.78</v>
      </c>
      <c r="K22" s="35">
        <v>4158.5</v>
      </c>
      <c r="L22" s="34">
        <v>1</v>
      </c>
    </row>
    <row r="23" spans="1:12" x14ac:dyDescent="0.25">
      <c r="A23" s="30" t="s">
        <v>144</v>
      </c>
      <c r="B23" s="30" t="s">
        <v>136</v>
      </c>
      <c r="C23" s="30" t="s">
        <v>139</v>
      </c>
      <c r="D23" s="34">
        <v>60</v>
      </c>
      <c r="E23" s="34">
        <v>99</v>
      </c>
      <c r="F23" s="35">
        <v>28791.19</v>
      </c>
      <c r="G23" s="35">
        <v>1404.85</v>
      </c>
      <c r="H23" s="35">
        <v>1122.95</v>
      </c>
      <c r="I23" s="35">
        <v>26263.39</v>
      </c>
      <c r="J23" s="35">
        <v>15605.25</v>
      </c>
      <c r="K23" s="35">
        <v>10658.14</v>
      </c>
      <c r="L23" s="34">
        <v>2</v>
      </c>
    </row>
    <row r="24" spans="1:12" x14ac:dyDescent="0.25">
      <c r="A24" s="30" t="s">
        <v>144</v>
      </c>
      <c r="B24" s="30" t="s">
        <v>136</v>
      </c>
      <c r="C24" s="30" t="s">
        <v>140</v>
      </c>
      <c r="D24" s="34">
        <v>64</v>
      </c>
      <c r="E24" s="34">
        <v>120</v>
      </c>
      <c r="F24" s="35">
        <v>22969.34</v>
      </c>
      <c r="G24" s="35">
        <v>1930.46</v>
      </c>
      <c r="H24" s="35">
        <v>909.64</v>
      </c>
      <c r="I24" s="35">
        <v>20129.240000000002</v>
      </c>
      <c r="J24" s="35">
        <v>8907.7900000000009</v>
      </c>
      <c r="K24" s="35">
        <v>11221.45</v>
      </c>
      <c r="L24" s="34">
        <v>6</v>
      </c>
    </row>
    <row r="25" spans="1:12" x14ac:dyDescent="0.25">
      <c r="A25" s="30" t="s">
        <v>144</v>
      </c>
      <c r="B25" s="30" t="s">
        <v>141</v>
      </c>
      <c r="C25" s="30" t="s">
        <v>137</v>
      </c>
      <c r="D25" s="34">
        <v>13</v>
      </c>
      <c r="E25" s="34">
        <v>18</v>
      </c>
      <c r="F25" s="35">
        <v>2225.7800000000002</v>
      </c>
      <c r="G25" s="35">
        <v>60.81</v>
      </c>
      <c r="H25" s="35">
        <v>264.66000000000003</v>
      </c>
      <c r="I25" s="35">
        <v>1900.31</v>
      </c>
      <c r="J25" s="35">
        <v>1144.76</v>
      </c>
      <c r="K25" s="35">
        <v>755.55</v>
      </c>
      <c r="L25" s="34">
        <v>1</v>
      </c>
    </row>
    <row r="26" spans="1:12" x14ac:dyDescent="0.25">
      <c r="A26" s="30" t="s">
        <v>144</v>
      </c>
      <c r="B26" s="30" t="s">
        <v>141</v>
      </c>
      <c r="C26" s="30" t="s">
        <v>138</v>
      </c>
      <c r="D26" s="34">
        <v>26</v>
      </c>
      <c r="E26" s="34">
        <v>39</v>
      </c>
      <c r="F26" s="35">
        <v>3482.96</v>
      </c>
      <c r="G26" s="35">
        <v>40.64</v>
      </c>
      <c r="H26" s="35">
        <v>411.1</v>
      </c>
      <c r="I26" s="35">
        <v>3031.22</v>
      </c>
      <c r="J26" s="35">
        <v>1709.15</v>
      </c>
      <c r="K26" s="35">
        <v>1322.07</v>
      </c>
      <c r="L26" s="34">
        <v>1</v>
      </c>
    </row>
    <row r="27" spans="1:12" x14ac:dyDescent="0.25">
      <c r="A27" s="30" t="s">
        <v>144</v>
      </c>
      <c r="B27" s="30" t="s">
        <v>141</v>
      </c>
      <c r="C27" s="30" t="s">
        <v>139</v>
      </c>
      <c r="D27" s="34">
        <v>19</v>
      </c>
      <c r="E27" s="34">
        <v>29</v>
      </c>
      <c r="F27" s="35">
        <v>8768.92</v>
      </c>
      <c r="G27" s="35">
        <v>946.76</v>
      </c>
      <c r="H27" s="35">
        <v>1064.97</v>
      </c>
      <c r="I27" s="35">
        <v>6757.19</v>
      </c>
      <c r="J27" s="35">
        <v>4659.1099999999997</v>
      </c>
      <c r="K27" s="35">
        <v>2098.08</v>
      </c>
      <c r="L27" s="34">
        <v>1</v>
      </c>
    </row>
    <row r="28" spans="1:12" x14ac:dyDescent="0.25">
      <c r="A28" s="30" t="s">
        <v>144</v>
      </c>
      <c r="B28" s="30" t="s">
        <v>141</v>
      </c>
      <c r="C28" s="30" t="s">
        <v>140</v>
      </c>
      <c r="D28" s="34">
        <v>22</v>
      </c>
      <c r="E28" s="34">
        <v>42</v>
      </c>
      <c r="F28" s="35">
        <v>7422.38</v>
      </c>
      <c r="G28" s="35">
        <v>412.86</v>
      </c>
      <c r="H28" s="35">
        <v>885.08</v>
      </c>
      <c r="I28" s="35">
        <v>6124.44</v>
      </c>
      <c r="J28" s="35">
        <v>3014.24</v>
      </c>
      <c r="K28" s="35">
        <v>3110.2</v>
      </c>
      <c r="L28" s="34">
        <v>2</v>
      </c>
    </row>
    <row r="29" spans="1:12" x14ac:dyDescent="0.25">
      <c r="A29" s="30" t="s">
        <v>144</v>
      </c>
      <c r="B29" s="30" t="s">
        <v>142</v>
      </c>
      <c r="C29" s="30" t="s">
        <v>137</v>
      </c>
      <c r="D29" s="34">
        <v>8</v>
      </c>
      <c r="E29" s="34">
        <v>12</v>
      </c>
      <c r="F29" s="35">
        <v>1572.39</v>
      </c>
      <c r="G29" s="35">
        <v>319.02</v>
      </c>
      <c r="H29" s="35">
        <v>-2.4300000000000002</v>
      </c>
      <c r="I29" s="35">
        <v>1255.8</v>
      </c>
      <c r="J29" s="35">
        <v>786.53</v>
      </c>
      <c r="K29" s="35">
        <v>469.27</v>
      </c>
      <c r="L29" s="34">
        <v>1</v>
      </c>
    </row>
    <row r="30" spans="1:12" x14ac:dyDescent="0.25">
      <c r="A30" s="30" t="s">
        <v>144</v>
      </c>
      <c r="B30" s="30" t="s">
        <v>142</v>
      </c>
      <c r="C30" s="30" t="s">
        <v>138</v>
      </c>
      <c r="D30" s="34">
        <v>15</v>
      </c>
      <c r="E30" s="34">
        <v>27</v>
      </c>
      <c r="F30" s="35">
        <v>2943.34</v>
      </c>
      <c r="G30" s="35">
        <v>89</v>
      </c>
      <c r="H30" s="35">
        <v>0.44</v>
      </c>
      <c r="I30" s="35">
        <v>2853.9</v>
      </c>
      <c r="J30" s="35">
        <v>1401.79</v>
      </c>
      <c r="K30" s="35">
        <v>1452.11</v>
      </c>
      <c r="L30" s="34">
        <v>1</v>
      </c>
    </row>
    <row r="31" spans="1:12" x14ac:dyDescent="0.25">
      <c r="A31" s="30" t="s">
        <v>144</v>
      </c>
      <c r="B31" s="30" t="s">
        <v>142</v>
      </c>
      <c r="C31" s="30" t="s">
        <v>139</v>
      </c>
      <c r="D31" s="34">
        <v>15</v>
      </c>
      <c r="E31" s="34">
        <v>25</v>
      </c>
      <c r="F31" s="35">
        <v>7106.31</v>
      </c>
      <c r="G31" s="35">
        <v>370.26</v>
      </c>
      <c r="H31" s="35">
        <v>4.67</v>
      </c>
      <c r="I31" s="35">
        <v>6731.38</v>
      </c>
      <c r="J31" s="35">
        <v>3805.33</v>
      </c>
      <c r="K31" s="35">
        <v>2926.05</v>
      </c>
      <c r="L31" s="34">
        <v>1</v>
      </c>
    </row>
    <row r="32" spans="1:12" x14ac:dyDescent="0.25">
      <c r="A32" s="30" t="s">
        <v>144</v>
      </c>
      <c r="B32" s="30" t="s">
        <v>142</v>
      </c>
      <c r="C32" s="30" t="s">
        <v>140</v>
      </c>
      <c r="D32" s="34">
        <v>16</v>
      </c>
      <c r="E32" s="34">
        <v>34</v>
      </c>
      <c r="F32" s="35">
        <v>5927.11</v>
      </c>
      <c r="G32" s="35">
        <v>195.97</v>
      </c>
      <c r="H32" s="35">
        <v>-14.23</v>
      </c>
      <c r="I32" s="35">
        <v>5745.37</v>
      </c>
      <c r="J32" s="35">
        <v>2313.2199999999998</v>
      </c>
      <c r="K32" s="35">
        <v>3432.15</v>
      </c>
      <c r="L32" s="34">
        <v>1</v>
      </c>
    </row>
    <row r="33" spans="1:12" x14ac:dyDescent="0.25">
      <c r="A33" s="30" t="s">
        <v>144</v>
      </c>
      <c r="B33" s="30" t="s">
        <v>143</v>
      </c>
      <c r="C33" s="30" t="s">
        <v>137</v>
      </c>
      <c r="D33" s="34">
        <v>17</v>
      </c>
      <c r="E33" s="34">
        <v>21</v>
      </c>
      <c r="F33" s="35">
        <v>2856.81</v>
      </c>
      <c r="G33" s="35">
        <v>196.71</v>
      </c>
      <c r="H33" s="35">
        <v>486.32</v>
      </c>
      <c r="I33" s="35">
        <v>2173.7800000000002</v>
      </c>
      <c r="J33" s="35">
        <v>1459.87</v>
      </c>
      <c r="K33" s="35">
        <v>713.91</v>
      </c>
      <c r="L33" s="34">
        <v>1</v>
      </c>
    </row>
    <row r="34" spans="1:12" x14ac:dyDescent="0.25">
      <c r="A34" s="30" t="s">
        <v>144</v>
      </c>
      <c r="B34" s="30" t="s">
        <v>143</v>
      </c>
      <c r="C34" s="30" t="s">
        <v>138</v>
      </c>
      <c r="D34" s="34">
        <v>40</v>
      </c>
      <c r="E34" s="34">
        <v>68</v>
      </c>
      <c r="F34" s="35">
        <v>6922.72</v>
      </c>
      <c r="G34" s="35">
        <v>399.52</v>
      </c>
      <c r="H34" s="35">
        <v>1163.6600000000001</v>
      </c>
      <c r="I34" s="35">
        <v>5359.54</v>
      </c>
      <c r="J34" s="35">
        <v>3324.58</v>
      </c>
      <c r="K34" s="35">
        <v>2034.96</v>
      </c>
      <c r="L34" s="34">
        <v>3</v>
      </c>
    </row>
    <row r="35" spans="1:12" x14ac:dyDescent="0.25">
      <c r="A35" s="30" t="s">
        <v>144</v>
      </c>
      <c r="B35" s="30" t="s">
        <v>143</v>
      </c>
      <c r="C35" s="30" t="s">
        <v>139</v>
      </c>
      <c r="D35" s="34">
        <v>31</v>
      </c>
      <c r="E35" s="34">
        <v>55</v>
      </c>
      <c r="F35" s="35">
        <v>16046.05</v>
      </c>
      <c r="G35" s="35">
        <v>615.19000000000005</v>
      </c>
      <c r="H35" s="35">
        <v>2701.43</v>
      </c>
      <c r="I35" s="35">
        <v>12729.43</v>
      </c>
      <c r="J35" s="35">
        <v>8562.5400000000009</v>
      </c>
      <c r="K35" s="35">
        <v>4166.8900000000003</v>
      </c>
      <c r="L35" s="34">
        <v>1</v>
      </c>
    </row>
    <row r="36" spans="1:12" x14ac:dyDescent="0.25">
      <c r="A36" s="30" t="s">
        <v>144</v>
      </c>
      <c r="B36" s="30" t="s">
        <v>143</v>
      </c>
      <c r="C36" s="30" t="s">
        <v>140</v>
      </c>
      <c r="D36" s="34">
        <v>41</v>
      </c>
      <c r="E36" s="34">
        <v>71</v>
      </c>
      <c r="F36" s="35">
        <v>13126.77</v>
      </c>
      <c r="G36" s="35">
        <v>739.61</v>
      </c>
      <c r="H36" s="35">
        <v>2211.2399999999998</v>
      </c>
      <c r="I36" s="35">
        <v>10175.92</v>
      </c>
      <c r="J36" s="35">
        <v>5162.51</v>
      </c>
      <c r="K36" s="35">
        <v>5013.41</v>
      </c>
      <c r="L36" s="34">
        <v>3</v>
      </c>
    </row>
    <row r="37" spans="1:12" x14ac:dyDescent="0.25">
      <c r="A37" s="30" t="s">
        <v>145</v>
      </c>
      <c r="B37" s="30" t="s">
        <v>136</v>
      </c>
      <c r="C37" s="30" t="s">
        <v>137</v>
      </c>
      <c r="D37" s="34">
        <v>40</v>
      </c>
      <c r="E37" s="34">
        <v>58</v>
      </c>
      <c r="F37" s="35">
        <v>7827.57</v>
      </c>
      <c r="G37" s="35">
        <v>241.12</v>
      </c>
      <c r="H37" s="35">
        <v>311.64</v>
      </c>
      <c r="I37" s="35">
        <v>7274.81</v>
      </c>
      <c r="J37" s="35">
        <v>4205.47</v>
      </c>
      <c r="K37" s="35">
        <v>3069.34</v>
      </c>
      <c r="L37" s="34">
        <v>2</v>
      </c>
    </row>
    <row r="38" spans="1:12" x14ac:dyDescent="0.25">
      <c r="A38" s="30" t="s">
        <v>145</v>
      </c>
      <c r="B38" s="30" t="s">
        <v>136</v>
      </c>
      <c r="C38" s="30" t="s">
        <v>138</v>
      </c>
      <c r="D38" s="34">
        <v>55</v>
      </c>
      <c r="E38" s="34">
        <v>102</v>
      </c>
      <c r="F38" s="35">
        <v>9426.85</v>
      </c>
      <c r="G38" s="35">
        <v>548.51</v>
      </c>
      <c r="H38" s="35">
        <v>381.85</v>
      </c>
      <c r="I38" s="35">
        <v>8496.49</v>
      </c>
      <c r="J38" s="35">
        <v>4667.4799999999996</v>
      </c>
      <c r="K38" s="35">
        <v>3829.01</v>
      </c>
      <c r="L38" s="34">
        <v>2</v>
      </c>
    </row>
    <row r="39" spans="1:12" x14ac:dyDescent="0.25">
      <c r="A39" s="30" t="s">
        <v>145</v>
      </c>
      <c r="B39" s="30" t="s">
        <v>136</v>
      </c>
      <c r="C39" s="30" t="s">
        <v>139</v>
      </c>
      <c r="D39" s="34">
        <v>51</v>
      </c>
      <c r="E39" s="34">
        <v>87</v>
      </c>
      <c r="F39" s="35">
        <v>29593.33</v>
      </c>
      <c r="G39" s="35">
        <v>488.79</v>
      </c>
      <c r="H39" s="35">
        <v>1231.97</v>
      </c>
      <c r="I39" s="35">
        <v>27872.57</v>
      </c>
      <c r="J39" s="35">
        <v>15944.76</v>
      </c>
      <c r="K39" s="35">
        <v>11927.81</v>
      </c>
      <c r="L39" s="34">
        <v>2</v>
      </c>
    </row>
    <row r="40" spans="1:12" x14ac:dyDescent="0.25">
      <c r="A40" s="30" t="s">
        <v>145</v>
      </c>
      <c r="B40" s="30" t="s">
        <v>136</v>
      </c>
      <c r="C40" s="30" t="s">
        <v>140</v>
      </c>
      <c r="D40" s="34">
        <v>71</v>
      </c>
      <c r="E40" s="34">
        <v>126</v>
      </c>
      <c r="F40" s="35">
        <v>23509.8</v>
      </c>
      <c r="G40" s="35">
        <v>850</v>
      </c>
      <c r="H40" s="35">
        <v>921.14</v>
      </c>
      <c r="I40" s="35">
        <v>21738.66</v>
      </c>
      <c r="J40" s="35">
        <v>9266.2800000000007</v>
      </c>
      <c r="K40" s="35">
        <v>12472.38</v>
      </c>
      <c r="L40" s="34">
        <v>2</v>
      </c>
    </row>
    <row r="41" spans="1:12" x14ac:dyDescent="0.25">
      <c r="A41" s="30" t="s">
        <v>145</v>
      </c>
      <c r="B41" s="30" t="s">
        <v>141</v>
      </c>
      <c r="C41" s="30" t="s">
        <v>137</v>
      </c>
      <c r="D41" s="34">
        <v>25</v>
      </c>
      <c r="E41" s="34">
        <v>43</v>
      </c>
      <c r="F41" s="35">
        <v>5172.76</v>
      </c>
      <c r="G41" s="35">
        <v>972.1</v>
      </c>
      <c r="H41" s="35">
        <v>630.08000000000004</v>
      </c>
      <c r="I41" s="35">
        <v>3570.58</v>
      </c>
      <c r="J41" s="35">
        <v>2701.6</v>
      </c>
      <c r="K41" s="35">
        <v>868.98</v>
      </c>
      <c r="L41" s="34">
        <v>2</v>
      </c>
    </row>
    <row r="42" spans="1:12" x14ac:dyDescent="0.25">
      <c r="A42" s="30" t="s">
        <v>145</v>
      </c>
      <c r="B42" s="30" t="s">
        <v>141</v>
      </c>
      <c r="C42" s="30" t="s">
        <v>138</v>
      </c>
      <c r="D42" s="34">
        <v>26</v>
      </c>
      <c r="E42" s="34">
        <v>55</v>
      </c>
      <c r="F42" s="35">
        <v>5600.44</v>
      </c>
      <c r="G42" s="35">
        <v>727.46</v>
      </c>
      <c r="H42" s="35">
        <v>674.72</v>
      </c>
      <c r="I42" s="35">
        <v>4198.26</v>
      </c>
      <c r="J42" s="35">
        <v>2760.4</v>
      </c>
      <c r="K42" s="35">
        <v>1437.86</v>
      </c>
      <c r="L42" s="34">
        <v>2</v>
      </c>
    </row>
    <row r="43" spans="1:12" x14ac:dyDescent="0.25">
      <c r="A43" s="30" t="s">
        <v>145</v>
      </c>
      <c r="B43" s="30" t="s">
        <v>141</v>
      </c>
      <c r="C43" s="30" t="s">
        <v>139</v>
      </c>
      <c r="D43" s="34">
        <v>19</v>
      </c>
      <c r="E43" s="34">
        <v>32</v>
      </c>
      <c r="F43" s="35">
        <v>9339.52</v>
      </c>
      <c r="G43" s="35">
        <v>439.81</v>
      </c>
      <c r="H43" s="35">
        <v>1094.1099999999999</v>
      </c>
      <c r="I43" s="35">
        <v>7805.6</v>
      </c>
      <c r="J43" s="35">
        <v>5096.2299999999996</v>
      </c>
      <c r="K43" s="35">
        <v>2709.37</v>
      </c>
      <c r="L43" s="34">
        <v>1</v>
      </c>
    </row>
    <row r="44" spans="1:12" x14ac:dyDescent="0.25">
      <c r="A44" s="30" t="s">
        <v>145</v>
      </c>
      <c r="B44" s="30" t="s">
        <v>141</v>
      </c>
      <c r="C44" s="30" t="s">
        <v>140</v>
      </c>
      <c r="D44" s="34">
        <v>22</v>
      </c>
      <c r="E44" s="34">
        <v>44</v>
      </c>
      <c r="F44" s="35">
        <v>8057.03</v>
      </c>
      <c r="G44" s="35">
        <v>0</v>
      </c>
      <c r="H44" s="35">
        <v>965.07</v>
      </c>
      <c r="I44" s="35">
        <v>7091.96</v>
      </c>
      <c r="J44" s="35">
        <v>3106.22</v>
      </c>
      <c r="K44" s="35">
        <v>3985.74</v>
      </c>
      <c r="L44" s="34">
        <v>0</v>
      </c>
    </row>
    <row r="45" spans="1:12" x14ac:dyDescent="0.25">
      <c r="A45" s="30" t="s">
        <v>145</v>
      </c>
      <c r="B45" s="30" t="s">
        <v>142</v>
      </c>
      <c r="C45" s="30" t="s">
        <v>137</v>
      </c>
      <c r="D45" s="34">
        <v>12</v>
      </c>
      <c r="E45" s="34">
        <v>18</v>
      </c>
      <c r="F45" s="35">
        <v>2193.1</v>
      </c>
      <c r="G45" s="35">
        <v>0</v>
      </c>
      <c r="H45" s="35">
        <v>-2.96</v>
      </c>
      <c r="I45" s="35">
        <v>2196.06</v>
      </c>
      <c r="J45" s="35">
        <v>1146.96</v>
      </c>
      <c r="K45" s="35">
        <v>1049.0999999999999</v>
      </c>
      <c r="L45" s="34">
        <v>0</v>
      </c>
    </row>
    <row r="46" spans="1:12" x14ac:dyDescent="0.25">
      <c r="A46" s="30" t="s">
        <v>145</v>
      </c>
      <c r="B46" s="30" t="s">
        <v>142</v>
      </c>
      <c r="C46" s="30" t="s">
        <v>138</v>
      </c>
      <c r="D46" s="34">
        <v>20</v>
      </c>
      <c r="E46" s="34">
        <v>37</v>
      </c>
      <c r="F46" s="35">
        <v>4029.69</v>
      </c>
      <c r="G46" s="35">
        <v>0</v>
      </c>
      <c r="H46" s="35">
        <v>-6.52</v>
      </c>
      <c r="I46" s="35">
        <v>4036.21</v>
      </c>
      <c r="J46" s="35">
        <v>1966.71</v>
      </c>
      <c r="K46" s="35">
        <v>2069.5</v>
      </c>
      <c r="L46" s="34">
        <v>0</v>
      </c>
    </row>
    <row r="47" spans="1:12" x14ac:dyDescent="0.25">
      <c r="A47" s="30" t="s">
        <v>145</v>
      </c>
      <c r="B47" s="30" t="s">
        <v>142</v>
      </c>
      <c r="C47" s="30" t="s">
        <v>139</v>
      </c>
      <c r="D47" s="34">
        <v>18</v>
      </c>
      <c r="E47" s="34">
        <v>32</v>
      </c>
      <c r="F47" s="35">
        <v>8399.65</v>
      </c>
      <c r="G47" s="35">
        <v>0</v>
      </c>
      <c r="H47" s="35">
        <v>35.54</v>
      </c>
      <c r="I47" s="35">
        <v>8364.11</v>
      </c>
      <c r="J47" s="35">
        <v>4513.13</v>
      </c>
      <c r="K47" s="35">
        <v>3850.98</v>
      </c>
      <c r="L47" s="34">
        <v>0</v>
      </c>
    </row>
    <row r="48" spans="1:12" x14ac:dyDescent="0.25">
      <c r="A48" s="30" t="s">
        <v>145</v>
      </c>
      <c r="B48" s="30" t="s">
        <v>142</v>
      </c>
      <c r="C48" s="30" t="s">
        <v>140</v>
      </c>
      <c r="D48" s="34">
        <v>26</v>
      </c>
      <c r="E48" s="34">
        <v>42</v>
      </c>
      <c r="F48" s="35">
        <v>7668.69</v>
      </c>
      <c r="G48" s="35">
        <v>156.94</v>
      </c>
      <c r="H48" s="35">
        <v>-19.739999999999998</v>
      </c>
      <c r="I48" s="35">
        <v>7531.49</v>
      </c>
      <c r="J48" s="35">
        <v>3073.11</v>
      </c>
      <c r="K48" s="35">
        <v>4458.38</v>
      </c>
      <c r="L48" s="34">
        <v>1</v>
      </c>
    </row>
    <row r="49" spans="1:12" x14ac:dyDescent="0.25">
      <c r="A49" s="30" t="s">
        <v>145</v>
      </c>
      <c r="B49" s="30" t="s">
        <v>143</v>
      </c>
      <c r="C49" s="30" t="s">
        <v>137</v>
      </c>
      <c r="D49" s="34">
        <v>32</v>
      </c>
      <c r="E49" s="34">
        <v>58</v>
      </c>
      <c r="F49" s="35">
        <v>7193.73</v>
      </c>
      <c r="G49" s="35">
        <v>192.21</v>
      </c>
      <c r="H49" s="35">
        <v>1225.19</v>
      </c>
      <c r="I49" s="35">
        <v>5776.33</v>
      </c>
      <c r="J49" s="35">
        <v>3766.02</v>
      </c>
      <c r="K49" s="35">
        <v>2010.31</v>
      </c>
      <c r="L49" s="34">
        <v>2</v>
      </c>
    </row>
    <row r="50" spans="1:12" x14ac:dyDescent="0.25">
      <c r="A50" s="30" t="s">
        <v>145</v>
      </c>
      <c r="B50" s="30" t="s">
        <v>143</v>
      </c>
      <c r="C50" s="30" t="s">
        <v>138</v>
      </c>
      <c r="D50" s="34">
        <v>44</v>
      </c>
      <c r="E50" s="34">
        <v>76</v>
      </c>
      <c r="F50" s="35">
        <v>6659.74</v>
      </c>
      <c r="G50" s="35">
        <v>508.95</v>
      </c>
      <c r="H50" s="35">
        <v>1125.49</v>
      </c>
      <c r="I50" s="35">
        <v>5025.3</v>
      </c>
      <c r="J50" s="35">
        <v>3150.44</v>
      </c>
      <c r="K50" s="35">
        <v>1874.86</v>
      </c>
      <c r="L50" s="34">
        <v>3</v>
      </c>
    </row>
    <row r="51" spans="1:12" x14ac:dyDescent="0.25">
      <c r="A51" s="30" t="s">
        <v>145</v>
      </c>
      <c r="B51" s="30" t="s">
        <v>143</v>
      </c>
      <c r="C51" s="30" t="s">
        <v>139</v>
      </c>
      <c r="D51" s="34">
        <v>34</v>
      </c>
      <c r="E51" s="34">
        <v>63</v>
      </c>
      <c r="F51" s="35">
        <v>20268.919999999998</v>
      </c>
      <c r="G51" s="35">
        <v>716.36</v>
      </c>
      <c r="H51" s="35">
        <v>3470.07</v>
      </c>
      <c r="I51" s="35">
        <v>16082.49</v>
      </c>
      <c r="J51" s="35">
        <v>10940.58</v>
      </c>
      <c r="K51" s="35">
        <v>5141.91</v>
      </c>
      <c r="L51" s="34">
        <v>2</v>
      </c>
    </row>
    <row r="52" spans="1:12" x14ac:dyDescent="0.25">
      <c r="A52" s="30" t="s">
        <v>145</v>
      </c>
      <c r="B52" s="30" t="s">
        <v>143</v>
      </c>
      <c r="C52" s="30" t="s">
        <v>140</v>
      </c>
      <c r="D52" s="34">
        <v>53</v>
      </c>
      <c r="E52" s="34">
        <v>93</v>
      </c>
      <c r="F52" s="35">
        <v>18148.7</v>
      </c>
      <c r="G52" s="35">
        <v>0</v>
      </c>
      <c r="H52" s="35">
        <v>3107.82</v>
      </c>
      <c r="I52" s="35">
        <v>15040.88</v>
      </c>
      <c r="J52" s="35">
        <v>7264.62</v>
      </c>
      <c r="K52" s="35">
        <v>7776.26</v>
      </c>
      <c r="L52" s="34">
        <v>0</v>
      </c>
    </row>
    <row r="53" spans="1:12" x14ac:dyDescent="0.25">
      <c r="A53" s="30" t="s">
        <v>146</v>
      </c>
      <c r="B53" s="30" t="s">
        <v>136</v>
      </c>
      <c r="C53" s="30" t="s">
        <v>137</v>
      </c>
      <c r="D53" s="34">
        <v>20</v>
      </c>
      <c r="E53" s="34">
        <v>29</v>
      </c>
      <c r="F53" s="35">
        <v>3588.32</v>
      </c>
      <c r="G53" s="35">
        <v>306.79000000000002</v>
      </c>
      <c r="H53" s="35">
        <v>142.87</v>
      </c>
      <c r="I53" s="35">
        <v>3138.66</v>
      </c>
      <c r="J53" s="35">
        <v>1882.53</v>
      </c>
      <c r="K53" s="35">
        <v>1256.1300000000001</v>
      </c>
      <c r="L53" s="34">
        <v>1</v>
      </c>
    </row>
    <row r="54" spans="1:12" x14ac:dyDescent="0.25">
      <c r="A54" s="30" t="s">
        <v>146</v>
      </c>
      <c r="B54" s="30" t="s">
        <v>136</v>
      </c>
      <c r="C54" s="30" t="s">
        <v>138</v>
      </c>
      <c r="D54" s="34">
        <v>45</v>
      </c>
      <c r="E54" s="34">
        <v>83</v>
      </c>
      <c r="F54" s="35">
        <v>8222.18</v>
      </c>
      <c r="G54" s="35">
        <v>664.51</v>
      </c>
      <c r="H54" s="35">
        <v>337.81</v>
      </c>
      <c r="I54" s="35">
        <v>7219.86</v>
      </c>
      <c r="J54" s="35">
        <v>3951.11</v>
      </c>
      <c r="K54" s="35">
        <v>3268.75</v>
      </c>
      <c r="L54" s="34">
        <v>3</v>
      </c>
    </row>
    <row r="55" spans="1:12" x14ac:dyDescent="0.25">
      <c r="A55" s="30" t="s">
        <v>146</v>
      </c>
      <c r="B55" s="30" t="s">
        <v>136</v>
      </c>
      <c r="C55" s="30" t="s">
        <v>139</v>
      </c>
      <c r="D55" s="34">
        <v>54</v>
      </c>
      <c r="E55" s="34">
        <v>82</v>
      </c>
      <c r="F55" s="35">
        <v>24130.59</v>
      </c>
      <c r="G55" s="35">
        <v>1041.5</v>
      </c>
      <c r="H55" s="35">
        <v>964.57</v>
      </c>
      <c r="I55" s="35">
        <v>22124.52</v>
      </c>
      <c r="J55" s="35">
        <v>13070.49</v>
      </c>
      <c r="K55" s="35">
        <v>9054.0300000000007</v>
      </c>
      <c r="L55" s="34">
        <v>3</v>
      </c>
    </row>
    <row r="56" spans="1:12" x14ac:dyDescent="0.25">
      <c r="A56" s="30" t="s">
        <v>146</v>
      </c>
      <c r="B56" s="30" t="s">
        <v>136</v>
      </c>
      <c r="C56" s="30" t="s">
        <v>140</v>
      </c>
      <c r="D56" s="34">
        <v>79</v>
      </c>
      <c r="E56" s="34">
        <v>143</v>
      </c>
      <c r="F56" s="35">
        <v>29395.82</v>
      </c>
      <c r="G56" s="35">
        <v>627.51</v>
      </c>
      <c r="H56" s="35">
        <v>1211.03</v>
      </c>
      <c r="I56" s="35">
        <v>27557.279999999999</v>
      </c>
      <c r="J56" s="35">
        <v>11716.22</v>
      </c>
      <c r="K56" s="35">
        <v>15841.06</v>
      </c>
      <c r="L56" s="34">
        <v>2</v>
      </c>
    </row>
    <row r="57" spans="1:12" x14ac:dyDescent="0.25">
      <c r="A57" s="30" t="s">
        <v>146</v>
      </c>
      <c r="B57" s="30" t="s">
        <v>141</v>
      </c>
      <c r="C57" s="30" t="s">
        <v>137</v>
      </c>
      <c r="D57" s="34">
        <v>15</v>
      </c>
      <c r="E57" s="34">
        <v>25</v>
      </c>
      <c r="F57" s="35">
        <v>3184.68</v>
      </c>
      <c r="G57" s="35">
        <v>164.67</v>
      </c>
      <c r="H57" s="35">
        <v>382.54</v>
      </c>
      <c r="I57" s="35">
        <v>2637.47</v>
      </c>
      <c r="J57" s="35">
        <v>1661.19</v>
      </c>
      <c r="K57" s="35">
        <v>976.28</v>
      </c>
      <c r="L57" s="34">
        <v>1</v>
      </c>
    </row>
    <row r="58" spans="1:12" x14ac:dyDescent="0.25">
      <c r="A58" s="30" t="s">
        <v>146</v>
      </c>
      <c r="B58" s="30" t="s">
        <v>141</v>
      </c>
      <c r="C58" s="30" t="s">
        <v>138</v>
      </c>
      <c r="D58" s="34">
        <v>17</v>
      </c>
      <c r="E58" s="34">
        <v>35</v>
      </c>
      <c r="F58" s="35">
        <v>3998.84</v>
      </c>
      <c r="G58" s="35">
        <v>0</v>
      </c>
      <c r="H58" s="35">
        <v>473.84</v>
      </c>
      <c r="I58" s="35">
        <v>3525</v>
      </c>
      <c r="J58" s="35">
        <v>1858</v>
      </c>
      <c r="K58" s="35">
        <v>1667</v>
      </c>
      <c r="L58" s="34">
        <v>0</v>
      </c>
    </row>
    <row r="59" spans="1:12" x14ac:dyDescent="0.25">
      <c r="A59" s="30" t="s">
        <v>146</v>
      </c>
      <c r="B59" s="30" t="s">
        <v>141</v>
      </c>
      <c r="C59" s="30" t="s">
        <v>139</v>
      </c>
      <c r="D59" s="34">
        <v>23</v>
      </c>
      <c r="E59" s="34">
        <v>40</v>
      </c>
      <c r="F59" s="35">
        <v>11845.02</v>
      </c>
      <c r="G59" s="35">
        <v>288.52999999999997</v>
      </c>
      <c r="H59" s="35">
        <v>1433.75</v>
      </c>
      <c r="I59" s="35">
        <v>10122.74</v>
      </c>
      <c r="J59" s="35">
        <v>6043.3</v>
      </c>
      <c r="K59" s="35">
        <v>4079.44</v>
      </c>
      <c r="L59" s="34">
        <v>1</v>
      </c>
    </row>
    <row r="60" spans="1:12" x14ac:dyDescent="0.25">
      <c r="A60" s="30" t="s">
        <v>146</v>
      </c>
      <c r="B60" s="30" t="s">
        <v>141</v>
      </c>
      <c r="C60" s="30" t="s">
        <v>140</v>
      </c>
      <c r="D60" s="34">
        <v>25</v>
      </c>
      <c r="E60" s="34">
        <v>42</v>
      </c>
      <c r="F60" s="35">
        <v>7489.8</v>
      </c>
      <c r="G60" s="35">
        <v>878.26</v>
      </c>
      <c r="H60" s="35">
        <v>893.27</v>
      </c>
      <c r="I60" s="35">
        <v>5718.27</v>
      </c>
      <c r="J60" s="35">
        <v>2925.27</v>
      </c>
      <c r="K60" s="35">
        <v>2793</v>
      </c>
      <c r="L60" s="34">
        <v>4</v>
      </c>
    </row>
    <row r="61" spans="1:12" x14ac:dyDescent="0.25">
      <c r="A61" s="30" t="s">
        <v>146</v>
      </c>
      <c r="B61" s="30" t="s">
        <v>142</v>
      </c>
      <c r="C61" s="30" t="s">
        <v>137</v>
      </c>
      <c r="D61" s="34">
        <v>15</v>
      </c>
      <c r="E61" s="34">
        <v>25</v>
      </c>
      <c r="F61" s="35">
        <v>2393.37</v>
      </c>
      <c r="G61" s="35">
        <v>0</v>
      </c>
      <c r="H61" s="35">
        <v>3.65</v>
      </c>
      <c r="I61" s="35">
        <v>2389.7199999999998</v>
      </c>
      <c r="J61" s="35">
        <v>1201.6600000000001</v>
      </c>
      <c r="K61" s="35">
        <v>1188.06</v>
      </c>
      <c r="L61" s="34">
        <v>0</v>
      </c>
    </row>
    <row r="62" spans="1:12" x14ac:dyDescent="0.25">
      <c r="A62" s="30" t="s">
        <v>146</v>
      </c>
      <c r="B62" s="30" t="s">
        <v>142</v>
      </c>
      <c r="C62" s="30" t="s">
        <v>138</v>
      </c>
      <c r="D62" s="34">
        <v>15</v>
      </c>
      <c r="E62" s="34">
        <v>23</v>
      </c>
      <c r="F62" s="35">
        <v>2835.05</v>
      </c>
      <c r="G62" s="35">
        <v>0</v>
      </c>
      <c r="H62" s="35">
        <v>-3.51</v>
      </c>
      <c r="I62" s="35">
        <v>2838.56</v>
      </c>
      <c r="J62" s="35">
        <v>1324.85</v>
      </c>
      <c r="K62" s="35">
        <v>1513.71</v>
      </c>
      <c r="L62" s="34">
        <v>0</v>
      </c>
    </row>
    <row r="63" spans="1:12" x14ac:dyDescent="0.25">
      <c r="A63" s="30" t="s">
        <v>146</v>
      </c>
      <c r="B63" s="30" t="s">
        <v>142</v>
      </c>
      <c r="C63" s="30" t="s">
        <v>139</v>
      </c>
      <c r="D63" s="34">
        <v>20</v>
      </c>
      <c r="E63" s="34">
        <v>35</v>
      </c>
      <c r="F63" s="35">
        <v>10626.69</v>
      </c>
      <c r="G63" s="35">
        <v>161.43</v>
      </c>
      <c r="H63" s="35">
        <v>34.619999999999997</v>
      </c>
      <c r="I63" s="35">
        <v>10430.64</v>
      </c>
      <c r="J63" s="35">
        <v>5777.34</v>
      </c>
      <c r="K63" s="35">
        <v>4653.3</v>
      </c>
      <c r="L63" s="34">
        <v>1</v>
      </c>
    </row>
    <row r="64" spans="1:12" x14ac:dyDescent="0.25">
      <c r="A64" s="30" t="s">
        <v>146</v>
      </c>
      <c r="B64" s="30" t="s">
        <v>142</v>
      </c>
      <c r="C64" s="30" t="s">
        <v>140</v>
      </c>
      <c r="D64" s="34">
        <v>24</v>
      </c>
      <c r="E64" s="34">
        <v>44</v>
      </c>
      <c r="F64" s="35">
        <v>7966.44</v>
      </c>
      <c r="G64" s="35">
        <v>311.36</v>
      </c>
      <c r="H64" s="35">
        <v>13.04</v>
      </c>
      <c r="I64" s="35">
        <v>7642.04</v>
      </c>
      <c r="J64" s="35">
        <v>3149.76</v>
      </c>
      <c r="K64" s="35">
        <v>4492.28</v>
      </c>
      <c r="L64" s="34">
        <v>1</v>
      </c>
    </row>
    <row r="65" spans="1:12" x14ac:dyDescent="0.25">
      <c r="A65" s="30" t="s">
        <v>146</v>
      </c>
      <c r="B65" s="30" t="s">
        <v>143</v>
      </c>
      <c r="C65" s="30" t="s">
        <v>137</v>
      </c>
      <c r="D65" s="34">
        <v>27</v>
      </c>
      <c r="E65" s="34">
        <v>55</v>
      </c>
      <c r="F65" s="35">
        <v>6712.09</v>
      </c>
      <c r="G65" s="35">
        <v>178.31</v>
      </c>
      <c r="H65" s="35">
        <v>1127.3499999999999</v>
      </c>
      <c r="I65" s="35">
        <v>5406.43</v>
      </c>
      <c r="J65" s="35">
        <v>3486.74</v>
      </c>
      <c r="K65" s="35">
        <v>1919.69</v>
      </c>
      <c r="L65" s="34">
        <v>2</v>
      </c>
    </row>
    <row r="66" spans="1:12" x14ac:dyDescent="0.25">
      <c r="A66" s="30" t="s">
        <v>146</v>
      </c>
      <c r="B66" s="30" t="s">
        <v>143</v>
      </c>
      <c r="C66" s="30" t="s">
        <v>138</v>
      </c>
      <c r="D66" s="34">
        <v>32</v>
      </c>
      <c r="E66" s="34">
        <v>65</v>
      </c>
      <c r="F66" s="35">
        <v>7097.12</v>
      </c>
      <c r="G66" s="35">
        <v>0</v>
      </c>
      <c r="H66" s="35">
        <v>1216.6199999999999</v>
      </c>
      <c r="I66" s="35">
        <v>5880.5</v>
      </c>
      <c r="J66" s="35">
        <v>3424.14</v>
      </c>
      <c r="K66" s="35">
        <v>2456.36</v>
      </c>
      <c r="L66" s="34">
        <v>0</v>
      </c>
    </row>
    <row r="67" spans="1:12" x14ac:dyDescent="0.25">
      <c r="A67" s="30" t="s">
        <v>146</v>
      </c>
      <c r="B67" s="30" t="s">
        <v>143</v>
      </c>
      <c r="C67" s="30" t="s">
        <v>139</v>
      </c>
      <c r="D67" s="34">
        <v>28</v>
      </c>
      <c r="E67" s="34">
        <v>50</v>
      </c>
      <c r="F67" s="35">
        <v>15750.21</v>
      </c>
      <c r="G67" s="35">
        <v>725.73</v>
      </c>
      <c r="H67" s="35">
        <v>2654.81</v>
      </c>
      <c r="I67" s="35">
        <v>12369.67</v>
      </c>
      <c r="J67" s="35">
        <v>8501.66</v>
      </c>
      <c r="K67" s="35">
        <v>3868.01</v>
      </c>
      <c r="L67" s="34">
        <v>2</v>
      </c>
    </row>
    <row r="68" spans="1:12" x14ac:dyDescent="0.25">
      <c r="A68" s="30" t="s">
        <v>146</v>
      </c>
      <c r="B68" s="30" t="s">
        <v>143</v>
      </c>
      <c r="C68" s="30" t="s">
        <v>140</v>
      </c>
      <c r="D68" s="34">
        <v>47</v>
      </c>
      <c r="E68" s="34">
        <v>76</v>
      </c>
      <c r="F68" s="35">
        <v>14753.8</v>
      </c>
      <c r="G68" s="35">
        <v>1425.39</v>
      </c>
      <c r="H68" s="35">
        <v>2513.61</v>
      </c>
      <c r="I68" s="35">
        <v>10814.8</v>
      </c>
      <c r="J68" s="35">
        <v>5819.93</v>
      </c>
      <c r="K68" s="35">
        <v>4994.87</v>
      </c>
      <c r="L68" s="34">
        <v>4</v>
      </c>
    </row>
    <row r="69" spans="1:12" x14ac:dyDescent="0.25">
      <c r="A69" s="30" t="s">
        <v>147</v>
      </c>
      <c r="B69" s="30" t="s">
        <v>136</v>
      </c>
      <c r="C69" s="30" t="s">
        <v>137</v>
      </c>
      <c r="D69" s="34">
        <v>56</v>
      </c>
      <c r="E69" s="34">
        <v>100</v>
      </c>
      <c r="F69" s="35">
        <v>14243.57</v>
      </c>
      <c r="G69" s="35">
        <v>102.11</v>
      </c>
      <c r="H69" s="35">
        <v>583.69000000000005</v>
      </c>
      <c r="I69" s="35">
        <v>13557.77</v>
      </c>
      <c r="J69" s="35">
        <v>7442.73</v>
      </c>
      <c r="K69" s="35">
        <v>6115.04</v>
      </c>
      <c r="L69" s="34">
        <v>1</v>
      </c>
    </row>
    <row r="70" spans="1:12" x14ac:dyDescent="0.25">
      <c r="A70" s="30" t="s">
        <v>147</v>
      </c>
      <c r="B70" s="30" t="s">
        <v>136</v>
      </c>
      <c r="C70" s="30" t="s">
        <v>138</v>
      </c>
      <c r="D70" s="34">
        <v>89</v>
      </c>
      <c r="E70" s="34">
        <v>166</v>
      </c>
      <c r="F70" s="35">
        <v>16845.240000000002</v>
      </c>
      <c r="G70" s="35">
        <v>141.80000000000001</v>
      </c>
      <c r="H70" s="35">
        <v>673.46</v>
      </c>
      <c r="I70" s="35">
        <v>16029.98</v>
      </c>
      <c r="J70" s="35">
        <v>8129.1</v>
      </c>
      <c r="K70" s="35">
        <v>7900.88</v>
      </c>
      <c r="L70" s="34">
        <v>1</v>
      </c>
    </row>
    <row r="71" spans="1:12" x14ac:dyDescent="0.25">
      <c r="A71" s="30" t="s">
        <v>147</v>
      </c>
      <c r="B71" s="30" t="s">
        <v>136</v>
      </c>
      <c r="C71" s="30" t="s">
        <v>139</v>
      </c>
      <c r="D71" s="34">
        <v>62</v>
      </c>
      <c r="E71" s="34">
        <v>131</v>
      </c>
      <c r="F71" s="35">
        <v>39338.300000000003</v>
      </c>
      <c r="G71" s="35">
        <v>878.03</v>
      </c>
      <c r="H71" s="35">
        <v>1524.74</v>
      </c>
      <c r="I71" s="35">
        <v>36935.53</v>
      </c>
      <c r="J71" s="35">
        <v>21110.22</v>
      </c>
      <c r="K71" s="35">
        <v>15825.31</v>
      </c>
      <c r="L71" s="34">
        <v>3</v>
      </c>
    </row>
    <row r="72" spans="1:12" x14ac:dyDescent="0.25">
      <c r="A72" s="30" t="s">
        <v>147</v>
      </c>
      <c r="B72" s="30" t="s">
        <v>136</v>
      </c>
      <c r="C72" s="30" t="s">
        <v>140</v>
      </c>
      <c r="D72" s="34">
        <v>94</v>
      </c>
      <c r="E72" s="34">
        <v>170</v>
      </c>
      <c r="F72" s="35">
        <v>30989.57</v>
      </c>
      <c r="G72" s="35">
        <v>1356.82</v>
      </c>
      <c r="H72" s="35">
        <v>1193.68</v>
      </c>
      <c r="I72" s="35">
        <v>28439.07</v>
      </c>
      <c r="J72" s="35">
        <v>12206.48</v>
      </c>
      <c r="K72" s="35">
        <v>16232.59</v>
      </c>
      <c r="L72" s="34">
        <v>3</v>
      </c>
    </row>
    <row r="73" spans="1:12" x14ac:dyDescent="0.25">
      <c r="A73" s="30" t="s">
        <v>147</v>
      </c>
      <c r="B73" s="30" t="s">
        <v>141</v>
      </c>
      <c r="C73" s="30" t="s">
        <v>137</v>
      </c>
      <c r="D73" s="34">
        <v>21</v>
      </c>
      <c r="E73" s="34">
        <v>38</v>
      </c>
      <c r="F73" s="35">
        <v>5427.63</v>
      </c>
      <c r="G73" s="35">
        <v>186.7</v>
      </c>
      <c r="H73" s="35">
        <v>650.49</v>
      </c>
      <c r="I73" s="35">
        <v>4590.4399999999996</v>
      </c>
      <c r="J73" s="35">
        <v>2830.62</v>
      </c>
      <c r="K73" s="35">
        <v>1759.82</v>
      </c>
      <c r="L73" s="34">
        <v>1</v>
      </c>
    </row>
    <row r="74" spans="1:12" x14ac:dyDescent="0.25">
      <c r="A74" s="30" t="s">
        <v>147</v>
      </c>
      <c r="B74" s="30" t="s">
        <v>141</v>
      </c>
      <c r="C74" s="30" t="s">
        <v>138</v>
      </c>
      <c r="D74" s="34">
        <v>36</v>
      </c>
      <c r="E74" s="34">
        <v>70</v>
      </c>
      <c r="F74" s="35">
        <v>7844.16</v>
      </c>
      <c r="G74" s="35">
        <v>450.67</v>
      </c>
      <c r="H74" s="35">
        <v>950.17</v>
      </c>
      <c r="I74" s="35">
        <v>6443.32</v>
      </c>
      <c r="J74" s="35">
        <v>3735.52</v>
      </c>
      <c r="K74" s="35">
        <v>2707.8</v>
      </c>
      <c r="L74" s="34">
        <v>2</v>
      </c>
    </row>
    <row r="75" spans="1:12" x14ac:dyDescent="0.25">
      <c r="A75" s="30" t="s">
        <v>147</v>
      </c>
      <c r="B75" s="30" t="s">
        <v>141</v>
      </c>
      <c r="C75" s="30" t="s">
        <v>139</v>
      </c>
      <c r="D75" s="34">
        <v>25</v>
      </c>
      <c r="E75" s="34">
        <v>39</v>
      </c>
      <c r="F75" s="35">
        <v>11133.75</v>
      </c>
      <c r="G75" s="35">
        <v>592.79</v>
      </c>
      <c r="H75" s="35">
        <v>1315.18</v>
      </c>
      <c r="I75" s="35">
        <v>9225.7800000000007</v>
      </c>
      <c r="J75" s="35">
        <v>5958.74</v>
      </c>
      <c r="K75" s="35">
        <v>3267.04</v>
      </c>
      <c r="L75" s="34">
        <v>1</v>
      </c>
    </row>
    <row r="76" spans="1:12" x14ac:dyDescent="0.25">
      <c r="A76" s="30" t="s">
        <v>147</v>
      </c>
      <c r="B76" s="30" t="s">
        <v>141</v>
      </c>
      <c r="C76" s="30" t="s">
        <v>140</v>
      </c>
      <c r="D76" s="34">
        <v>46</v>
      </c>
      <c r="E76" s="34">
        <v>80</v>
      </c>
      <c r="F76" s="35">
        <v>13877.01</v>
      </c>
      <c r="G76" s="35">
        <v>438.86</v>
      </c>
      <c r="H76" s="35">
        <v>1677.38</v>
      </c>
      <c r="I76" s="35">
        <v>11760.77</v>
      </c>
      <c r="J76" s="35">
        <v>5520.36</v>
      </c>
      <c r="K76" s="35">
        <v>6240.41</v>
      </c>
      <c r="L76" s="34">
        <v>1</v>
      </c>
    </row>
    <row r="77" spans="1:12" x14ac:dyDescent="0.25">
      <c r="A77" s="30" t="s">
        <v>147</v>
      </c>
      <c r="B77" s="30" t="s">
        <v>142</v>
      </c>
      <c r="C77" s="30" t="s">
        <v>137</v>
      </c>
      <c r="D77" s="34">
        <v>10</v>
      </c>
      <c r="E77" s="34">
        <v>17</v>
      </c>
      <c r="F77" s="35">
        <v>2550.29</v>
      </c>
      <c r="G77" s="35">
        <v>0</v>
      </c>
      <c r="H77" s="35">
        <v>-1.55</v>
      </c>
      <c r="I77" s="35">
        <v>2551.84</v>
      </c>
      <c r="J77" s="35">
        <v>1384.51</v>
      </c>
      <c r="K77" s="35">
        <v>1167.33</v>
      </c>
      <c r="L77" s="34">
        <v>0</v>
      </c>
    </row>
    <row r="78" spans="1:12" x14ac:dyDescent="0.25">
      <c r="A78" s="30" t="s">
        <v>147</v>
      </c>
      <c r="B78" s="30" t="s">
        <v>142</v>
      </c>
      <c r="C78" s="30" t="s">
        <v>138</v>
      </c>
      <c r="D78" s="34">
        <v>21</v>
      </c>
      <c r="E78" s="34">
        <v>39</v>
      </c>
      <c r="F78" s="35">
        <v>3820.5</v>
      </c>
      <c r="G78" s="35">
        <v>116.02</v>
      </c>
      <c r="H78" s="35">
        <v>-4.0999999999999996</v>
      </c>
      <c r="I78" s="35">
        <v>3708.58</v>
      </c>
      <c r="J78" s="35">
        <v>1842.61</v>
      </c>
      <c r="K78" s="35">
        <v>1865.97</v>
      </c>
      <c r="L78" s="34">
        <v>1</v>
      </c>
    </row>
    <row r="79" spans="1:12" x14ac:dyDescent="0.25">
      <c r="A79" s="30" t="s">
        <v>147</v>
      </c>
      <c r="B79" s="30" t="s">
        <v>142</v>
      </c>
      <c r="C79" s="30" t="s">
        <v>139</v>
      </c>
      <c r="D79" s="34">
        <v>11</v>
      </c>
      <c r="E79" s="34">
        <v>14</v>
      </c>
      <c r="F79" s="35">
        <v>4455.1400000000003</v>
      </c>
      <c r="G79" s="35">
        <v>0</v>
      </c>
      <c r="H79" s="35">
        <v>-3.82</v>
      </c>
      <c r="I79" s="35">
        <v>4458.96</v>
      </c>
      <c r="J79" s="35">
        <v>2413.48</v>
      </c>
      <c r="K79" s="35">
        <v>2045.48</v>
      </c>
      <c r="L79" s="34">
        <v>0</v>
      </c>
    </row>
    <row r="80" spans="1:12" x14ac:dyDescent="0.25">
      <c r="A80" s="30" t="s">
        <v>147</v>
      </c>
      <c r="B80" s="30" t="s">
        <v>142</v>
      </c>
      <c r="C80" s="30" t="s">
        <v>140</v>
      </c>
      <c r="D80" s="34">
        <v>32</v>
      </c>
      <c r="E80" s="34">
        <v>69</v>
      </c>
      <c r="F80" s="35">
        <v>13302.86</v>
      </c>
      <c r="G80" s="35">
        <v>111.7</v>
      </c>
      <c r="H80" s="35">
        <v>25.3</v>
      </c>
      <c r="I80" s="35">
        <v>13165.86</v>
      </c>
      <c r="J80" s="35">
        <v>5240.5</v>
      </c>
      <c r="K80" s="35">
        <v>7925.36</v>
      </c>
      <c r="L80" s="34">
        <v>1</v>
      </c>
    </row>
    <row r="81" spans="1:12" x14ac:dyDescent="0.25">
      <c r="A81" s="30" t="s">
        <v>147</v>
      </c>
      <c r="B81" s="30" t="s">
        <v>143</v>
      </c>
      <c r="C81" s="30" t="s">
        <v>137</v>
      </c>
      <c r="D81" s="34">
        <v>23</v>
      </c>
      <c r="E81" s="34">
        <v>42</v>
      </c>
      <c r="F81" s="35">
        <v>5567.5</v>
      </c>
      <c r="G81" s="35">
        <v>317.27999999999997</v>
      </c>
      <c r="H81" s="35">
        <v>952.31</v>
      </c>
      <c r="I81" s="35">
        <v>4297.91</v>
      </c>
      <c r="J81" s="35">
        <v>2849.32</v>
      </c>
      <c r="K81" s="35">
        <v>1448.59</v>
      </c>
      <c r="L81" s="34">
        <v>2</v>
      </c>
    </row>
    <row r="82" spans="1:12" x14ac:dyDescent="0.25">
      <c r="A82" s="30" t="s">
        <v>147</v>
      </c>
      <c r="B82" s="30" t="s">
        <v>143</v>
      </c>
      <c r="C82" s="30" t="s">
        <v>138</v>
      </c>
      <c r="D82" s="34">
        <v>50</v>
      </c>
      <c r="E82" s="34">
        <v>78</v>
      </c>
      <c r="F82" s="35">
        <v>6665.24</v>
      </c>
      <c r="G82" s="35">
        <v>190.38</v>
      </c>
      <c r="H82" s="35">
        <v>1138.7</v>
      </c>
      <c r="I82" s="35">
        <v>5336.16</v>
      </c>
      <c r="J82" s="35">
        <v>3253.37</v>
      </c>
      <c r="K82" s="35">
        <v>2082.79</v>
      </c>
      <c r="L82" s="34">
        <v>3</v>
      </c>
    </row>
    <row r="83" spans="1:12" x14ac:dyDescent="0.25">
      <c r="A83" s="30" t="s">
        <v>147</v>
      </c>
      <c r="B83" s="30" t="s">
        <v>143</v>
      </c>
      <c r="C83" s="30" t="s">
        <v>139</v>
      </c>
      <c r="D83" s="34">
        <v>37</v>
      </c>
      <c r="E83" s="34">
        <v>63</v>
      </c>
      <c r="F83" s="35">
        <v>18617.45</v>
      </c>
      <c r="G83" s="35">
        <v>1206.8399999999999</v>
      </c>
      <c r="H83" s="35">
        <v>3202.76</v>
      </c>
      <c r="I83" s="35">
        <v>14207.85</v>
      </c>
      <c r="J83" s="35">
        <v>10025.799999999999</v>
      </c>
      <c r="K83" s="35">
        <v>4182.05</v>
      </c>
      <c r="L83" s="34">
        <v>3</v>
      </c>
    </row>
    <row r="84" spans="1:12" x14ac:dyDescent="0.25">
      <c r="A84" s="30" t="s">
        <v>147</v>
      </c>
      <c r="B84" s="30" t="s">
        <v>143</v>
      </c>
      <c r="C84" s="30" t="s">
        <v>140</v>
      </c>
      <c r="D84" s="34">
        <v>83</v>
      </c>
      <c r="E84" s="34">
        <v>151</v>
      </c>
      <c r="F84" s="35">
        <v>26631.73</v>
      </c>
      <c r="G84" s="35">
        <v>1828.41</v>
      </c>
      <c r="H84" s="35">
        <v>4517.8900000000003</v>
      </c>
      <c r="I84" s="35">
        <v>20285.43</v>
      </c>
      <c r="J84" s="35">
        <v>10461.5</v>
      </c>
      <c r="K84" s="35">
        <v>9823.93</v>
      </c>
      <c r="L84" s="34">
        <v>5</v>
      </c>
    </row>
    <row r="85" spans="1:12" x14ac:dyDescent="0.25">
      <c r="A85" s="30" t="s">
        <v>148</v>
      </c>
      <c r="B85" s="30" t="s">
        <v>136</v>
      </c>
      <c r="C85" s="30" t="s">
        <v>137</v>
      </c>
      <c r="D85" s="34">
        <v>46</v>
      </c>
      <c r="E85" s="34">
        <v>73</v>
      </c>
      <c r="F85" s="35">
        <v>9385.4</v>
      </c>
      <c r="G85" s="35">
        <v>98.18</v>
      </c>
      <c r="H85" s="35">
        <v>365.11</v>
      </c>
      <c r="I85" s="35">
        <v>8922.11</v>
      </c>
      <c r="J85" s="35">
        <v>5108.6099999999997</v>
      </c>
      <c r="K85" s="35">
        <v>3813.5</v>
      </c>
      <c r="L85" s="34">
        <v>1</v>
      </c>
    </row>
    <row r="86" spans="1:12" x14ac:dyDescent="0.25">
      <c r="A86" s="30" t="s">
        <v>148</v>
      </c>
      <c r="B86" s="30" t="s">
        <v>136</v>
      </c>
      <c r="C86" s="30" t="s">
        <v>138</v>
      </c>
      <c r="D86" s="34">
        <v>71</v>
      </c>
      <c r="E86" s="34">
        <v>133</v>
      </c>
      <c r="F86" s="35">
        <v>12682.53</v>
      </c>
      <c r="G86" s="35">
        <v>451.58</v>
      </c>
      <c r="H86" s="35">
        <v>527.37</v>
      </c>
      <c r="I86" s="35">
        <v>11703.58</v>
      </c>
      <c r="J86" s="35">
        <v>6104.21</v>
      </c>
      <c r="K86" s="35">
        <v>5599.37</v>
      </c>
      <c r="L86" s="34">
        <v>3</v>
      </c>
    </row>
    <row r="87" spans="1:12" x14ac:dyDescent="0.25">
      <c r="A87" s="30" t="s">
        <v>148</v>
      </c>
      <c r="B87" s="30" t="s">
        <v>136</v>
      </c>
      <c r="C87" s="30" t="s">
        <v>139</v>
      </c>
      <c r="D87" s="34">
        <v>75</v>
      </c>
      <c r="E87" s="34">
        <v>127</v>
      </c>
      <c r="F87" s="35">
        <v>39376</v>
      </c>
      <c r="G87" s="35">
        <v>2348.9699999999998</v>
      </c>
      <c r="H87" s="35">
        <v>1556.7</v>
      </c>
      <c r="I87" s="35">
        <v>35470.33</v>
      </c>
      <c r="J87" s="35">
        <v>21330.87</v>
      </c>
      <c r="K87" s="35">
        <v>14139.46</v>
      </c>
      <c r="L87" s="34">
        <v>6</v>
      </c>
    </row>
    <row r="88" spans="1:12" x14ac:dyDescent="0.25">
      <c r="A88" s="30" t="s">
        <v>148</v>
      </c>
      <c r="B88" s="30" t="s">
        <v>136</v>
      </c>
      <c r="C88" s="30" t="s">
        <v>140</v>
      </c>
      <c r="D88" s="34">
        <v>83</v>
      </c>
      <c r="E88" s="34">
        <v>142</v>
      </c>
      <c r="F88" s="35">
        <v>26323</v>
      </c>
      <c r="G88" s="35">
        <v>338.58</v>
      </c>
      <c r="H88" s="35">
        <v>1030.83</v>
      </c>
      <c r="I88" s="35">
        <v>24953.59</v>
      </c>
      <c r="J88" s="35">
        <v>10611.46</v>
      </c>
      <c r="K88" s="35">
        <v>14342.13</v>
      </c>
      <c r="L88" s="34">
        <v>1</v>
      </c>
    </row>
    <row r="89" spans="1:12" x14ac:dyDescent="0.25">
      <c r="A89" s="30" t="s">
        <v>148</v>
      </c>
      <c r="B89" s="30" t="s">
        <v>141</v>
      </c>
      <c r="C89" s="30" t="s">
        <v>137</v>
      </c>
      <c r="D89" s="34">
        <v>27</v>
      </c>
      <c r="E89" s="34">
        <v>51</v>
      </c>
      <c r="F89" s="35">
        <v>6168.09</v>
      </c>
      <c r="G89" s="35">
        <v>0</v>
      </c>
      <c r="H89" s="35">
        <v>739.46</v>
      </c>
      <c r="I89" s="35">
        <v>5428.63</v>
      </c>
      <c r="J89" s="35">
        <v>3225.97</v>
      </c>
      <c r="K89" s="35">
        <v>2202.66</v>
      </c>
      <c r="L89" s="34">
        <v>0</v>
      </c>
    </row>
    <row r="90" spans="1:12" x14ac:dyDescent="0.25">
      <c r="A90" s="30" t="s">
        <v>148</v>
      </c>
      <c r="B90" s="30" t="s">
        <v>141</v>
      </c>
      <c r="C90" s="30" t="s">
        <v>138</v>
      </c>
      <c r="D90" s="34">
        <v>35</v>
      </c>
      <c r="E90" s="34">
        <v>68</v>
      </c>
      <c r="F90" s="35">
        <v>5890.72</v>
      </c>
      <c r="G90" s="35">
        <v>255.54</v>
      </c>
      <c r="H90" s="35">
        <v>705.07</v>
      </c>
      <c r="I90" s="35">
        <v>4930.1099999999997</v>
      </c>
      <c r="J90" s="35">
        <v>2894.52</v>
      </c>
      <c r="K90" s="35">
        <v>2035.59</v>
      </c>
      <c r="L90" s="34">
        <v>1</v>
      </c>
    </row>
    <row r="91" spans="1:12" x14ac:dyDescent="0.25">
      <c r="A91" s="30" t="s">
        <v>148</v>
      </c>
      <c r="B91" s="30" t="s">
        <v>141</v>
      </c>
      <c r="C91" s="30" t="s">
        <v>139</v>
      </c>
      <c r="D91" s="34">
        <v>25</v>
      </c>
      <c r="E91" s="34">
        <v>45</v>
      </c>
      <c r="F91" s="35">
        <v>12634.17</v>
      </c>
      <c r="G91" s="35">
        <v>0</v>
      </c>
      <c r="H91" s="35">
        <v>1525.2</v>
      </c>
      <c r="I91" s="35">
        <v>11108.97</v>
      </c>
      <c r="J91" s="35">
        <v>6780.48</v>
      </c>
      <c r="K91" s="35">
        <v>4328.49</v>
      </c>
      <c r="L91" s="34">
        <v>0</v>
      </c>
    </row>
    <row r="92" spans="1:12" x14ac:dyDescent="0.25">
      <c r="A92" s="30" t="s">
        <v>148</v>
      </c>
      <c r="B92" s="30" t="s">
        <v>141</v>
      </c>
      <c r="C92" s="30" t="s">
        <v>140</v>
      </c>
      <c r="D92" s="34">
        <v>31</v>
      </c>
      <c r="E92" s="34">
        <v>43</v>
      </c>
      <c r="F92" s="35">
        <v>8247.31</v>
      </c>
      <c r="G92" s="35">
        <v>180.09</v>
      </c>
      <c r="H92" s="35">
        <v>982.82</v>
      </c>
      <c r="I92" s="35">
        <v>7084.4</v>
      </c>
      <c r="J92" s="35">
        <v>3213.44</v>
      </c>
      <c r="K92" s="35">
        <v>3870.96</v>
      </c>
      <c r="L92" s="34">
        <v>1</v>
      </c>
    </row>
    <row r="93" spans="1:12" x14ac:dyDescent="0.25">
      <c r="A93" s="30" t="s">
        <v>148</v>
      </c>
      <c r="B93" s="30" t="s">
        <v>142</v>
      </c>
      <c r="C93" s="30" t="s">
        <v>137</v>
      </c>
      <c r="D93" s="34">
        <v>8</v>
      </c>
      <c r="E93" s="34">
        <v>20</v>
      </c>
      <c r="F93" s="35">
        <v>2967.97</v>
      </c>
      <c r="G93" s="35">
        <v>0</v>
      </c>
      <c r="H93" s="35">
        <v>7.38</v>
      </c>
      <c r="I93" s="35">
        <v>2960.59</v>
      </c>
      <c r="J93" s="35">
        <v>1587.03</v>
      </c>
      <c r="K93" s="35">
        <v>1373.56</v>
      </c>
      <c r="L93" s="34">
        <v>0</v>
      </c>
    </row>
    <row r="94" spans="1:12" x14ac:dyDescent="0.25">
      <c r="A94" s="30" t="s">
        <v>148</v>
      </c>
      <c r="B94" s="30" t="s">
        <v>142</v>
      </c>
      <c r="C94" s="30" t="s">
        <v>138</v>
      </c>
      <c r="D94" s="34">
        <v>23</v>
      </c>
      <c r="E94" s="34">
        <v>39</v>
      </c>
      <c r="F94" s="35">
        <v>3550.26</v>
      </c>
      <c r="G94" s="35">
        <v>0</v>
      </c>
      <c r="H94" s="35">
        <v>-1.26</v>
      </c>
      <c r="I94" s="35">
        <v>3551.52</v>
      </c>
      <c r="J94" s="35">
        <v>1681.76</v>
      </c>
      <c r="K94" s="35">
        <v>1869.76</v>
      </c>
      <c r="L94" s="34">
        <v>0</v>
      </c>
    </row>
    <row r="95" spans="1:12" x14ac:dyDescent="0.25">
      <c r="A95" s="30" t="s">
        <v>148</v>
      </c>
      <c r="B95" s="30" t="s">
        <v>142</v>
      </c>
      <c r="C95" s="30" t="s">
        <v>139</v>
      </c>
      <c r="D95" s="34">
        <v>21</v>
      </c>
      <c r="E95" s="34">
        <v>37</v>
      </c>
      <c r="F95" s="35">
        <v>11155.88</v>
      </c>
      <c r="G95" s="35">
        <v>0</v>
      </c>
      <c r="H95" s="35">
        <v>9.8000000000000007</v>
      </c>
      <c r="I95" s="35">
        <v>11146.08</v>
      </c>
      <c r="J95" s="35">
        <v>5838.8</v>
      </c>
      <c r="K95" s="35">
        <v>5307.28</v>
      </c>
      <c r="L95" s="34">
        <v>0</v>
      </c>
    </row>
    <row r="96" spans="1:12" x14ac:dyDescent="0.25">
      <c r="A96" s="30" t="s">
        <v>148</v>
      </c>
      <c r="B96" s="30" t="s">
        <v>142</v>
      </c>
      <c r="C96" s="30" t="s">
        <v>140</v>
      </c>
      <c r="D96" s="34">
        <v>23</v>
      </c>
      <c r="E96" s="34">
        <v>32</v>
      </c>
      <c r="F96" s="35">
        <v>6863.81</v>
      </c>
      <c r="G96" s="35">
        <v>0</v>
      </c>
      <c r="H96" s="35">
        <v>-16.02</v>
      </c>
      <c r="I96" s="35">
        <v>6879.83</v>
      </c>
      <c r="J96" s="35">
        <v>2760.38</v>
      </c>
      <c r="K96" s="35">
        <v>4119.45</v>
      </c>
      <c r="L96" s="34">
        <v>0</v>
      </c>
    </row>
    <row r="97" spans="1:12" x14ac:dyDescent="0.25">
      <c r="A97" s="30" t="s">
        <v>148</v>
      </c>
      <c r="B97" s="30" t="s">
        <v>143</v>
      </c>
      <c r="C97" s="30" t="s">
        <v>137</v>
      </c>
      <c r="D97" s="34">
        <v>22</v>
      </c>
      <c r="E97" s="34">
        <v>36</v>
      </c>
      <c r="F97" s="35">
        <v>4658.05</v>
      </c>
      <c r="G97" s="35">
        <v>0</v>
      </c>
      <c r="H97" s="35">
        <v>792.6</v>
      </c>
      <c r="I97" s="35">
        <v>3865.45</v>
      </c>
      <c r="J97" s="35">
        <v>2381.9899999999998</v>
      </c>
      <c r="K97" s="35">
        <v>1483.46</v>
      </c>
      <c r="L97" s="34">
        <v>0</v>
      </c>
    </row>
    <row r="98" spans="1:12" x14ac:dyDescent="0.25">
      <c r="A98" s="30" t="s">
        <v>148</v>
      </c>
      <c r="B98" s="30" t="s">
        <v>143</v>
      </c>
      <c r="C98" s="30" t="s">
        <v>138</v>
      </c>
      <c r="D98" s="34">
        <v>45</v>
      </c>
      <c r="E98" s="34">
        <v>71</v>
      </c>
      <c r="F98" s="35">
        <v>6923.1</v>
      </c>
      <c r="G98" s="35">
        <v>409.28</v>
      </c>
      <c r="H98" s="35">
        <v>1172.99</v>
      </c>
      <c r="I98" s="35">
        <v>5340.83</v>
      </c>
      <c r="J98" s="35">
        <v>3259.94</v>
      </c>
      <c r="K98" s="35">
        <v>2080.89</v>
      </c>
      <c r="L98" s="34">
        <v>4</v>
      </c>
    </row>
    <row r="99" spans="1:12" x14ac:dyDescent="0.25">
      <c r="A99" s="30" t="s">
        <v>148</v>
      </c>
      <c r="B99" s="30" t="s">
        <v>143</v>
      </c>
      <c r="C99" s="30" t="s">
        <v>139</v>
      </c>
      <c r="D99" s="34">
        <v>35</v>
      </c>
      <c r="E99" s="34">
        <v>70</v>
      </c>
      <c r="F99" s="35">
        <v>21655.82</v>
      </c>
      <c r="G99" s="35">
        <v>1462.84</v>
      </c>
      <c r="H99" s="35">
        <v>3654.52</v>
      </c>
      <c r="I99" s="35">
        <v>16538.46</v>
      </c>
      <c r="J99" s="35">
        <v>11695.63</v>
      </c>
      <c r="K99" s="35">
        <v>4842.83</v>
      </c>
      <c r="L99" s="34">
        <v>3</v>
      </c>
    </row>
    <row r="100" spans="1:12" x14ac:dyDescent="0.25">
      <c r="A100" s="30" t="s">
        <v>148</v>
      </c>
      <c r="B100" s="30" t="s">
        <v>143</v>
      </c>
      <c r="C100" s="30" t="s">
        <v>140</v>
      </c>
      <c r="D100" s="34">
        <v>43</v>
      </c>
      <c r="E100" s="34">
        <v>71</v>
      </c>
      <c r="F100" s="35">
        <v>12959.48</v>
      </c>
      <c r="G100" s="35">
        <v>932.17</v>
      </c>
      <c r="H100" s="35">
        <v>2189.4899999999998</v>
      </c>
      <c r="I100" s="35">
        <v>9837.82</v>
      </c>
      <c r="J100" s="35">
        <v>5205.8999999999996</v>
      </c>
      <c r="K100" s="35">
        <v>4631.92</v>
      </c>
      <c r="L100" s="34">
        <v>6</v>
      </c>
    </row>
    <row r="101" spans="1:12" x14ac:dyDescent="0.25">
      <c r="A101" s="30" t="s">
        <v>149</v>
      </c>
      <c r="B101" s="30" t="s">
        <v>136</v>
      </c>
      <c r="C101" s="30" t="s">
        <v>137</v>
      </c>
      <c r="D101" s="34">
        <v>37</v>
      </c>
      <c r="E101" s="34">
        <v>72</v>
      </c>
      <c r="F101" s="35">
        <v>9763.1200000000008</v>
      </c>
      <c r="G101" s="35">
        <v>124.29</v>
      </c>
      <c r="H101" s="35">
        <v>383.23</v>
      </c>
      <c r="I101" s="35">
        <v>9255.6</v>
      </c>
      <c r="J101" s="35">
        <v>5109.5</v>
      </c>
      <c r="K101" s="35">
        <v>4146.1000000000004</v>
      </c>
      <c r="L101" s="34">
        <v>1</v>
      </c>
    </row>
    <row r="102" spans="1:12" x14ac:dyDescent="0.25">
      <c r="A102" s="30" t="s">
        <v>149</v>
      </c>
      <c r="B102" s="30" t="s">
        <v>136</v>
      </c>
      <c r="C102" s="30" t="s">
        <v>138</v>
      </c>
      <c r="D102" s="34">
        <v>47</v>
      </c>
      <c r="E102" s="34">
        <v>84</v>
      </c>
      <c r="F102" s="35">
        <v>7416.6</v>
      </c>
      <c r="G102" s="35">
        <v>141.94</v>
      </c>
      <c r="H102" s="35">
        <v>294.17</v>
      </c>
      <c r="I102" s="35">
        <v>6980.49</v>
      </c>
      <c r="J102" s="35">
        <v>3646.55</v>
      </c>
      <c r="K102" s="35">
        <v>3333.94</v>
      </c>
      <c r="L102" s="34">
        <v>1</v>
      </c>
    </row>
    <row r="103" spans="1:12" x14ac:dyDescent="0.25">
      <c r="A103" s="30" t="s">
        <v>149</v>
      </c>
      <c r="B103" s="30" t="s">
        <v>136</v>
      </c>
      <c r="C103" s="30" t="s">
        <v>139</v>
      </c>
      <c r="D103" s="34">
        <v>49</v>
      </c>
      <c r="E103" s="34">
        <v>87</v>
      </c>
      <c r="F103" s="35">
        <v>28155.96</v>
      </c>
      <c r="G103" s="35">
        <v>0</v>
      </c>
      <c r="H103" s="35">
        <v>1141.8499999999999</v>
      </c>
      <c r="I103" s="35">
        <v>27014.11</v>
      </c>
      <c r="J103" s="35">
        <v>15031.22</v>
      </c>
      <c r="K103" s="35">
        <v>11982.89</v>
      </c>
      <c r="L103" s="34">
        <v>0</v>
      </c>
    </row>
    <row r="104" spans="1:12" x14ac:dyDescent="0.25">
      <c r="A104" s="30" t="s">
        <v>149</v>
      </c>
      <c r="B104" s="30" t="s">
        <v>136</v>
      </c>
      <c r="C104" s="30" t="s">
        <v>140</v>
      </c>
      <c r="D104" s="34">
        <v>58</v>
      </c>
      <c r="E104" s="34">
        <v>117</v>
      </c>
      <c r="F104" s="35">
        <v>21310.63</v>
      </c>
      <c r="G104" s="35">
        <v>524.1</v>
      </c>
      <c r="H104" s="35">
        <v>820.43</v>
      </c>
      <c r="I104" s="35">
        <v>19966.099999999999</v>
      </c>
      <c r="J104" s="35">
        <v>8295.76</v>
      </c>
      <c r="K104" s="35">
        <v>11670.34</v>
      </c>
      <c r="L104" s="34">
        <v>2</v>
      </c>
    </row>
    <row r="105" spans="1:12" x14ac:dyDescent="0.25">
      <c r="A105" s="30" t="s">
        <v>149</v>
      </c>
      <c r="B105" s="30" t="s">
        <v>141</v>
      </c>
      <c r="C105" s="30" t="s">
        <v>137</v>
      </c>
      <c r="D105" s="34">
        <v>22</v>
      </c>
      <c r="E105" s="34">
        <v>48</v>
      </c>
      <c r="F105" s="35">
        <v>5970.22</v>
      </c>
      <c r="G105" s="35">
        <v>0</v>
      </c>
      <c r="H105" s="35">
        <v>723</v>
      </c>
      <c r="I105" s="35">
        <v>5247.22</v>
      </c>
      <c r="J105" s="35">
        <v>3089.79</v>
      </c>
      <c r="K105" s="35">
        <v>2157.4299999999998</v>
      </c>
      <c r="L105" s="34">
        <v>0</v>
      </c>
    </row>
    <row r="106" spans="1:12" x14ac:dyDescent="0.25">
      <c r="A106" s="30" t="s">
        <v>149</v>
      </c>
      <c r="B106" s="30" t="s">
        <v>141</v>
      </c>
      <c r="C106" s="30" t="s">
        <v>138</v>
      </c>
      <c r="D106" s="34">
        <v>26</v>
      </c>
      <c r="E106" s="34">
        <v>51</v>
      </c>
      <c r="F106" s="35">
        <v>5274.53</v>
      </c>
      <c r="G106" s="35">
        <v>0</v>
      </c>
      <c r="H106" s="35">
        <v>631.16999999999996</v>
      </c>
      <c r="I106" s="35">
        <v>4643.3599999999997</v>
      </c>
      <c r="J106" s="35">
        <v>2523.12</v>
      </c>
      <c r="K106" s="35">
        <v>2120.2399999999998</v>
      </c>
      <c r="L106" s="34">
        <v>0</v>
      </c>
    </row>
    <row r="107" spans="1:12" x14ac:dyDescent="0.25">
      <c r="A107" s="30" t="s">
        <v>149</v>
      </c>
      <c r="B107" s="30" t="s">
        <v>141</v>
      </c>
      <c r="C107" s="30" t="s">
        <v>139</v>
      </c>
      <c r="D107" s="34">
        <v>15</v>
      </c>
      <c r="E107" s="34">
        <v>28</v>
      </c>
      <c r="F107" s="35">
        <v>7412.14</v>
      </c>
      <c r="G107" s="35">
        <v>0</v>
      </c>
      <c r="H107" s="35">
        <v>888.37</v>
      </c>
      <c r="I107" s="35">
        <v>6523.77</v>
      </c>
      <c r="J107" s="35">
        <v>4144.79</v>
      </c>
      <c r="K107" s="35">
        <v>2378.98</v>
      </c>
      <c r="L107" s="34">
        <v>0</v>
      </c>
    </row>
    <row r="108" spans="1:12" x14ac:dyDescent="0.25">
      <c r="A108" s="30" t="s">
        <v>149</v>
      </c>
      <c r="B108" s="30" t="s">
        <v>141</v>
      </c>
      <c r="C108" s="30" t="s">
        <v>140</v>
      </c>
      <c r="D108" s="34">
        <v>22</v>
      </c>
      <c r="E108" s="34">
        <v>36</v>
      </c>
      <c r="F108" s="35">
        <v>6492.75</v>
      </c>
      <c r="G108" s="35">
        <v>0</v>
      </c>
      <c r="H108" s="35">
        <v>790.56</v>
      </c>
      <c r="I108" s="35">
        <v>5702.19</v>
      </c>
      <c r="J108" s="35">
        <v>2547.65</v>
      </c>
      <c r="K108" s="35">
        <v>3154.54</v>
      </c>
      <c r="L108" s="34">
        <v>0</v>
      </c>
    </row>
    <row r="109" spans="1:12" x14ac:dyDescent="0.25">
      <c r="A109" s="30" t="s">
        <v>149</v>
      </c>
      <c r="B109" s="30" t="s">
        <v>142</v>
      </c>
      <c r="C109" s="30" t="s">
        <v>137</v>
      </c>
      <c r="D109" s="34">
        <v>11</v>
      </c>
      <c r="E109" s="34">
        <v>15</v>
      </c>
      <c r="F109" s="35">
        <v>1972.43</v>
      </c>
      <c r="G109" s="35">
        <v>0</v>
      </c>
      <c r="H109" s="35">
        <v>8.59</v>
      </c>
      <c r="I109" s="35">
        <v>1963.84</v>
      </c>
      <c r="J109" s="35">
        <v>1040.8900000000001</v>
      </c>
      <c r="K109" s="35">
        <v>922.95</v>
      </c>
      <c r="L109" s="34">
        <v>0</v>
      </c>
    </row>
    <row r="110" spans="1:12" x14ac:dyDescent="0.25">
      <c r="A110" s="30" t="s">
        <v>149</v>
      </c>
      <c r="B110" s="30" t="s">
        <v>142</v>
      </c>
      <c r="C110" s="30" t="s">
        <v>138</v>
      </c>
      <c r="D110" s="34">
        <v>24</v>
      </c>
      <c r="E110" s="34">
        <v>37</v>
      </c>
      <c r="F110" s="35">
        <v>3437.04</v>
      </c>
      <c r="G110" s="35">
        <v>279.13</v>
      </c>
      <c r="H110" s="35">
        <v>-1.56</v>
      </c>
      <c r="I110" s="35">
        <v>3159.47</v>
      </c>
      <c r="J110" s="35">
        <v>1654.33</v>
      </c>
      <c r="K110" s="35">
        <v>1505.14</v>
      </c>
      <c r="L110" s="34">
        <v>2</v>
      </c>
    </row>
    <row r="111" spans="1:12" x14ac:dyDescent="0.25">
      <c r="A111" s="30" t="s">
        <v>149</v>
      </c>
      <c r="B111" s="30" t="s">
        <v>142</v>
      </c>
      <c r="C111" s="30" t="s">
        <v>139</v>
      </c>
      <c r="D111" s="34">
        <v>20</v>
      </c>
      <c r="E111" s="34">
        <v>27</v>
      </c>
      <c r="F111" s="35">
        <v>7278.02</v>
      </c>
      <c r="G111" s="35">
        <v>218.94</v>
      </c>
      <c r="H111" s="35">
        <v>4.29</v>
      </c>
      <c r="I111" s="35">
        <v>7054.79</v>
      </c>
      <c r="J111" s="35">
        <v>3863.3</v>
      </c>
      <c r="K111" s="35">
        <v>3191.49</v>
      </c>
      <c r="L111" s="34">
        <v>1</v>
      </c>
    </row>
    <row r="112" spans="1:12" x14ac:dyDescent="0.25">
      <c r="A112" s="30" t="s">
        <v>149</v>
      </c>
      <c r="B112" s="30" t="s">
        <v>142</v>
      </c>
      <c r="C112" s="30" t="s">
        <v>140</v>
      </c>
      <c r="D112" s="34">
        <v>12</v>
      </c>
      <c r="E112" s="34">
        <v>21</v>
      </c>
      <c r="F112" s="35">
        <v>4080.04</v>
      </c>
      <c r="G112" s="35">
        <v>0</v>
      </c>
      <c r="H112" s="35">
        <v>-15.52</v>
      </c>
      <c r="I112" s="35">
        <v>4095.56</v>
      </c>
      <c r="J112" s="35">
        <v>1586.14</v>
      </c>
      <c r="K112" s="35">
        <v>2509.42</v>
      </c>
      <c r="L112" s="34">
        <v>0</v>
      </c>
    </row>
    <row r="113" spans="1:12" x14ac:dyDescent="0.25">
      <c r="A113" s="30" t="s">
        <v>149</v>
      </c>
      <c r="B113" s="30" t="s">
        <v>143</v>
      </c>
      <c r="C113" s="30" t="s">
        <v>137</v>
      </c>
      <c r="D113" s="34">
        <v>24</v>
      </c>
      <c r="E113" s="34">
        <v>40</v>
      </c>
      <c r="F113" s="35">
        <v>5069</v>
      </c>
      <c r="G113" s="35">
        <v>0</v>
      </c>
      <c r="H113" s="35">
        <v>861.73</v>
      </c>
      <c r="I113" s="35">
        <v>4207.2700000000004</v>
      </c>
      <c r="J113" s="35">
        <v>2639.14</v>
      </c>
      <c r="K113" s="35">
        <v>1568.13</v>
      </c>
      <c r="L113" s="34">
        <v>0</v>
      </c>
    </row>
    <row r="114" spans="1:12" x14ac:dyDescent="0.25">
      <c r="A114" s="30" t="s">
        <v>149</v>
      </c>
      <c r="B114" s="30" t="s">
        <v>143</v>
      </c>
      <c r="C114" s="30" t="s">
        <v>138</v>
      </c>
      <c r="D114" s="34">
        <v>45</v>
      </c>
      <c r="E114" s="34">
        <v>77</v>
      </c>
      <c r="F114" s="35">
        <v>7058.47</v>
      </c>
      <c r="G114" s="35">
        <v>673.88</v>
      </c>
      <c r="H114" s="35">
        <v>1208.68</v>
      </c>
      <c r="I114" s="35">
        <v>5175.91</v>
      </c>
      <c r="J114" s="35">
        <v>3375.29</v>
      </c>
      <c r="K114" s="35">
        <v>1800.62</v>
      </c>
      <c r="L114" s="34">
        <v>5</v>
      </c>
    </row>
    <row r="115" spans="1:12" x14ac:dyDescent="0.25">
      <c r="A115" s="30" t="s">
        <v>149</v>
      </c>
      <c r="B115" s="30" t="s">
        <v>143</v>
      </c>
      <c r="C115" s="30" t="s">
        <v>139</v>
      </c>
      <c r="D115" s="34">
        <v>23</v>
      </c>
      <c r="E115" s="34">
        <v>40</v>
      </c>
      <c r="F115" s="35">
        <v>12274.61</v>
      </c>
      <c r="G115" s="35">
        <v>900.1</v>
      </c>
      <c r="H115" s="35">
        <v>2059.0500000000002</v>
      </c>
      <c r="I115" s="35">
        <v>9315.4599999999991</v>
      </c>
      <c r="J115" s="35">
        <v>6782.9</v>
      </c>
      <c r="K115" s="35">
        <v>2532.56</v>
      </c>
      <c r="L115" s="34">
        <v>2</v>
      </c>
    </row>
    <row r="116" spans="1:12" x14ac:dyDescent="0.25">
      <c r="A116" s="30" t="s">
        <v>149</v>
      </c>
      <c r="B116" s="30" t="s">
        <v>143</v>
      </c>
      <c r="C116" s="30" t="s">
        <v>140</v>
      </c>
      <c r="D116" s="34">
        <v>37</v>
      </c>
      <c r="E116" s="34">
        <v>68</v>
      </c>
      <c r="F116" s="35">
        <v>12519.58</v>
      </c>
      <c r="G116" s="35">
        <v>1490.78</v>
      </c>
      <c r="H116" s="35">
        <v>2125.21</v>
      </c>
      <c r="I116" s="35">
        <v>8903.59</v>
      </c>
      <c r="J116" s="35">
        <v>4946.58</v>
      </c>
      <c r="K116" s="35">
        <v>3957.01</v>
      </c>
      <c r="L116" s="34">
        <v>3</v>
      </c>
    </row>
    <row r="117" spans="1:12" x14ac:dyDescent="0.25">
      <c r="A117" s="30" t="s">
        <v>150</v>
      </c>
      <c r="B117" s="30" t="s">
        <v>136</v>
      </c>
      <c r="C117" s="30" t="s">
        <v>137</v>
      </c>
      <c r="D117" s="34">
        <v>36</v>
      </c>
      <c r="E117" s="34">
        <v>72</v>
      </c>
      <c r="F117" s="35">
        <v>9753.5</v>
      </c>
      <c r="G117" s="35">
        <v>537.23</v>
      </c>
      <c r="H117" s="35">
        <v>384.26</v>
      </c>
      <c r="I117" s="35">
        <v>8832.01</v>
      </c>
      <c r="J117" s="35">
        <v>5082.09</v>
      </c>
      <c r="K117" s="35">
        <v>3749.92</v>
      </c>
      <c r="L117" s="34">
        <v>3</v>
      </c>
    </row>
    <row r="118" spans="1:12" x14ac:dyDescent="0.25">
      <c r="A118" s="30" t="s">
        <v>150</v>
      </c>
      <c r="B118" s="30" t="s">
        <v>136</v>
      </c>
      <c r="C118" s="30" t="s">
        <v>138</v>
      </c>
      <c r="D118" s="34">
        <v>60</v>
      </c>
      <c r="E118" s="34">
        <v>104</v>
      </c>
      <c r="F118" s="35">
        <v>9651.8700000000008</v>
      </c>
      <c r="G118" s="35">
        <v>0</v>
      </c>
      <c r="H118" s="35">
        <v>383.22</v>
      </c>
      <c r="I118" s="35">
        <v>9268.65</v>
      </c>
      <c r="J118" s="35">
        <v>4635.3500000000004</v>
      </c>
      <c r="K118" s="35">
        <v>4633.3</v>
      </c>
      <c r="L118" s="34">
        <v>0</v>
      </c>
    </row>
    <row r="119" spans="1:12" x14ac:dyDescent="0.25">
      <c r="A119" s="30" t="s">
        <v>150</v>
      </c>
      <c r="B119" s="30" t="s">
        <v>136</v>
      </c>
      <c r="C119" s="30" t="s">
        <v>139</v>
      </c>
      <c r="D119" s="34">
        <v>49</v>
      </c>
      <c r="E119" s="34">
        <v>82</v>
      </c>
      <c r="F119" s="35">
        <v>23636.55</v>
      </c>
      <c r="G119" s="35">
        <v>1185.99</v>
      </c>
      <c r="H119" s="35">
        <v>906.3</v>
      </c>
      <c r="I119" s="35">
        <v>21544.26</v>
      </c>
      <c r="J119" s="35">
        <v>12746.13</v>
      </c>
      <c r="K119" s="35">
        <v>8798.1299999999992</v>
      </c>
      <c r="L119" s="34">
        <v>4</v>
      </c>
    </row>
    <row r="120" spans="1:12" x14ac:dyDescent="0.25">
      <c r="A120" s="30" t="s">
        <v>150</v>
      </c>
      <c r="B120" s="30" t="s">
        <v>136</v>
      </c>
      <c r="C120" s="30" t="s">
        <v>140</v>
      </c>
      <c r="D120" s="34">
        <v>62</v>
      </c>
      <c r="E120" s="34">
        <v>111</v>
      </c>
      <c r="F120" s="35">
        <v>21162.09</v>
      </c>
      <c r="G120" s="35">
        <v>291.42</v>
      </c>
      <c r="H120" s="35">
        <v>849.26</v>
      </c>
      <c r="I120" s="35">
        <v>20021.41</v>
      </c>
      <c r="J120" s="35">
        <v>8274.43</v>
      </c>
      <c r="K120" s="35">
        <v>11746.98</v>
      </c>
      <c r="L120" s="34">
        <v>1</v>
      </c>
    </row>
    <row r="121" spans="1:12" x14ac:dyDescent="0.25">
      <c r="A121" s="30" t="s">
        <v>150</v>
      </c>
      <c r="B121" s="30" t="s">
        <v>141</v>
      </c>
      <c r="C121" s="30" t="s">
        <v>137</v>
      </c>
      <c r="D121" s="34">
        <v>21</v>
      </c>
      <c r="E121" s="34">
        <v>34</v>
      </c>
      <c r="F121" s="35">
        <v>4096.0200000000004</v>
      </c>
      <c r="G121" s="35">
        <v>204.95</v>
      </c>
      <c r="H121" s="35">
        <v>500.44</v>
      </c>
      <c r="I121" s="35">
        <v>3390.63</v>
      </c>
      <c r="J121" s="35">
        <v>2151.23</v>
      </c>
      <c r="K121" s="35">
        <v>1239.4000000000001</v>
      </c>
      <c r="L121" s="34">
        <v>2</v>
      </c>
    </row>
    <row r="122" spans="1:12" x14ac:dyDescent="0.25">
      <c r="A122" s="30" t="s">
        <v>150</v>
      </c>
      <c r="B122" s="30" t="s">
        <v>141</v>
      </c>
      <c r="C122" s="30" t="s">
        <v>138</v>
      </c>
      <c r="D122" s="34">
        <v>19</v>
      </c>
      <c r="E122" s="34">
        <v>39</v>
      </c>
      <c r="F122" s="35">
        <v>4488.83</v>
      </c>
      <c r="G122" s="35">
        <v>0</v>
      </c>
      <c r="H122" s="35">
        <v>540.76</v>
      </c>
      <c r="I122" s="35">
        <v>3948.07</v>
      </c>
      <c r="J122" s="35">
        <v>2112.21</v>
      </c>
      <c r="K122" s="35">
        <v>1835.86</v>
      </c>
      <c r="L122" s="34">
        <v>0</v>
      </c>
    </row>
    <row r="123" spans="1:12" x14ac:dyDescent="0.25">
      <c r="A123" s="30" t="s">
        <v>150</v>
      </c>
      <c r="B123" s="30" t="s">
        <v>141</v>
      </c>
      <c r="C123" s="30" t="s">
        <v>139</v>
      </c>
      <c r="D123" s="34">
        <v>19</v>
      </c>
      <c r="E123" s="34">
        <v>28</v>
      </c>
      <c r="F123" s="35">
        <v>8613.08</v>
      </c>
      <c r="G123" s="35">
        <v>709.17</v>
      </c>
      <c r="H123" s="35">
        <v>1038.77</v>
      </c>
      <c r="I123" s="35">
        <v>6865.14</v>
      </c>
      <c r="J123" s="35">
        <v>4638.96</v>
      </c>
      <c r="K123" s="35">
        <v>2226.1799999999998</v>
      </c>
      <c r="L123" s="34">
        <v>2</v>
      </c>
    </row>
    <row r="124" spans="1:12" x14ac:dyDescent="0.25">
      <c r="A124" s="30" t="s">
        <v>150</v>
      </c>
      <c r="B124" s="30" t="s">
        <v>141</v>
      </c>
      <c r="C124" s="30" t="s">
        <v>140</v>
      </c>
      <c r="D124" s="34">
        <v>38</v>
      </c>
      <c r="E124" s="34">
        <v>72</v>
      </c>
      <c r="F124" s="35">
        <v>13951.13</v>
      </c>
      <c r="G124" s="35">
        <v>233.58</v>
      </c>
      <c r="H124" s="35">
        <v>1659.35</v>
      </c>
      <c r="I124" s="35">
        <v>12058.2</v>
      </c>
      <c r="J124" s="35">
        <v>5543.24</v>
      </c>
      <c r="K124" s="35">
        <v>6514.96</v>
      </c>
      <c r="L124" s="34">
        <v>1</v>
      </c>
    </row>
    <row r="125" spans="1:12" x14ac:dyDescent="0.25">
      <c r="A125" s="30" t="s">
        <v>150</v>
      </c>
      <c r="B125" s="30" t="s">
        <v>142</v>
      </c>
      <c r="C125" s="30" t="s">
        <v>137</v>
      </c>
      <c r="D125" s="34">
        <v>13</v>
      </c>
      <c r="E125" s="34">
        <v>24</v>
      </c>
      <c r="F125" s="35">
        <v>3221.93</v>
      </c>
      <c r="G125" s="35">
        <v>263.36</v>
      </c>
      <c r="H125" s="35">
        <v>-3.6</v>
      </c>
      <c r="I125" s="35">
        <v>2962.17</v>
      </c>
      <c r="J125" s="35">
        <v>1661.16</v>
      </c>
      <c r="K125" s="35">
        <v>1301.01</v>
      </c>
      <c r="L125" s="34">
        <v>1</v>
      </c>
    </row>
    <row r="126" spans="1:12" x14ac:dyDescent="0.25">
      <c r="A126" s="30" t="s">
        <v>150</v>
      </c>
      <c r="B126" s="30" t="s">
        <v>142</v>
      </c>
      <c r="C126" s="30" t="s">
        <v>138</v>
      </c>
      <c r="D126" s="34">
        <v>15</v>
      </c>
      <c r="E126" s="34">
        <v>26</v>
      </c>
      <c r="F126" s="35">
        <v>2432.2800000000002</v>
      </c>
      <c r="G126" s="35">
        <v>0</v>
      </c>
      <c r="H126" s="35">
        <v>0.89</v>
      </c>
      <c r="I126" s="35">
        <v>2431.39</v>
      </c>
      <c r="J126" s="35">
        <v>1136.27</v>
      </c>
      <c r="K126" s="35">
        <v>1295.1199999999999</v>
      </c>
      <c r="L126" s="34">
        <v>0</v>
      </c>
    </row>
    <row r="127" spans="1:12" x14ac:dyDescent="0.25">
      <c r="A127" s="30" t="s">
        <v>150</v>
      </c>
      <c r="B127" s="30" t="s">
        <v>142</v>
      </c>
      <c r="C127" s="30" t="s">
        <v>139</v>
      </c>
      <c r="D127" s="34">
        <v>8</v>
      </c>
      <c r="E127" s="34">
        <v>17</v>
      </c>
      <c r="F127" s="35">
        <v>5746.06</v>
      </c>
      <c r="G127" s="35">
        <v>1049.17</v>
      </c>
      <c r="H127" s="35">
        <v>-22.38</v>
      </c>
      <c r="I127" s="35">
        <v>4719.2700000000004</v>
      </c>
      <c r="J127" s="35">
        <v>2999.62</v>
      </c>
      <c r="K127" s="35">
        <v>1719.65</v>
      </c>
      <c r="L127" s="34">
        <v>1</v>
      </c>
    </row>
    <row r="128" spans="1:12" x14ac:dyDescent="0.25">
      <c r="A128" s="30" t="s">
        <v>150</v>
      </c>
      <c r="B128" s="30" t="s">
        <v>142</v>
      </c>
      <c r="C128" s="30" t="s">
        <v>140</v>
      </c>
      <c r="D128" s="34">
        <v>22</v>
      </c>
      <c r="E128" s="34">
        <v>38</v>
      </c>
      <c r="F128" s="35">
        <v>7098.51</v>
      </c>
      <c r="G128" s="35">
        <v>0</v>
      </c>
      <c r="H128" s="35">
        <v>-0.01</v>
      </c>
      <c r="I128" s="35">
        <v>7098.52</v>
      </c>
      <c r="J128" s="35">
        <v>2825.28</v>
      </c>
      <c r="K128" s="35">
        <v>4273.24</v>
      </c>
      <c r="L128" s="34">
        <v>0</v>
      </c>
    </row>
    <row r="129" spans="1:12" x14ac:dyDescent="0.25">
      <c r="A129" s="30" t="s">
        <v>150</v>
      </c>
      <c r="B129" s="30" t="s">
        <v>143</v>
      </c>
      <c r="C129" s="30" t="s">
        <v>137</v>
      </c>
      <c r="D129" s="34">
        <v>21</v>
      </c>
      <c r="E129" s="34">
        <v>30</v>
      </c>
      <c r="F129" s="35">
        <v>4126.9799999999996</v>
      </c>
      <c r="G129" s="35">
        <v>255.39</v>
      </c>
      <c r="H129" s="35">
        <v>689</v>
      </c>
      <c r="I129" s="35">
        <v>3182.59</v>
      </c>
      <c r="J129" s="35">
        <v>2088.14</v>
      </c>
      <c r="K129" s="35">
        <v>1094.45</v>
      </c>
      <c r="L129" s="34">
        <v>1</v>
      </c>
    </row>
    <row r="130" spans="1:12" x14ac:dyDescent="0.25">
      <c r="A130" s="30" t="s">
        <v>150</v>
      </c>
      <c r="B130" s="30" t="s">
        <v>143</v>
      </c>
      <c r="C130" s="30" t="s">
        <v>138</v>
      </c>
      <c r="D130" s="34">
        <v>43</v>
      </c>
      <c r="E130" s="34">
        <v>74</v>
      </c>
      <c r="F130" s="35">
        <v>6929.78</v>
      </c>
      <c r="G130" s="35">
        <v>954.88</v>
      </c>
      <c r="H130" s="35">
        <v>1178.47</v>
      </c>
      <c r="I130" s="35">
        <v>4796.43</v>
      </c>
      <c r="J130" s="35">
        <v>3427.29</v>
      </c>
      <c r="K130" s="35">
        <v>1369.14</v>
      </c>
      <c r="L130" s="34">
        <v>5</v>
      </c>
    </row>
    <row r="131" spans="1:12" x14ac:dyDescent="0.25">
      <c r="A131" s="30" t="s">
        <v>150</v>
      </c>
      <c r="B131" s="30" t="s">
        <v>143</v>
      </c>
      <c r="C131" s="30" t="s">
        <v>139</v>
      </c>
      <c r="D131" s="34">
        <v>17</v>
      </c>
      <c r="E131" s="34">
        <v>30</v>
      </c>
      <c r="F131" s="35">
        <v>10947.34</v>
      </c>
      <c r="G131" s="35">
        <v>1609.48</v>
      </c>
      <c r="H131" s="35">
        <v>1868.81</v>
      </c>
      <c r="I131" s="35">
        <v>7469.05</v>
      </c>
      <c r="J131" s="35">
        <v>5609.17</v>
      </c>
      <c r="K131" s="35">
        <v>1859.88</v>
      </c>
      <c r="L131" s="34">
        <v>4</v>
      </c>
    </row>
    <row r="132" spans="1:12" x14ac:dyDescent="0.25">
      <c r="A132" s="30" t="s">
        <v>150</v>
      </c>
      <c r="B132" s="30" t="s">
        <v>143</v>
      </c>
      <c r="C132" s="30" t="s">
        <v>140</v>
      </c>
      <c r="D132" s="34">
        <v>48</v>
      </c>
      <c r="E132" s="34">
        <v>78</v>
      </c>
      <c r="F132" s="35">
        <v>13549.44</v>
      </c>
      <c r="G132" s="35">
        <v>896.26</v>
      </c>
      <c r="H132" s="35">
        <v>2296.2600000000002</v>
      </c>
      <c r="I132" s="35">
        <v>10356.92</v>
      </c>
      <c r="J132" s="35">
        <v>5364.11</v>
      </c>
      <c r="K132" s="35">
        <v>4992.8100000000004</v>
      </c>
      <c r="L132" s="34">
        <v>4</v>
      </c>
    </row>
    <row r="133" spans="1:12" x14ac:dyDescent="0.25">
      <c r="A133" s="30" t="s">
        <v>151</v>
      </c>
      <c r="B133" s="30" t="s">
        <v>136</v>
      </c>
      <c r="C133" s="30" t="s">
        <v>137</v>
      </c>
      <c r="D133" s="34">
        <v>37</v>
      </c>
      <c r="E133" s="34">
        <v>60</v>
      </c>
      <c r="F133" s="35">
        <v>8447.69</v>
      </c>
      <c r="G133" s="35">
        <v>751.36</v>
      </c>
      <c r="H133" s="35">
        <v>327.66000000000003</v>
      </c>
      <c r="I133" s="35">
        <v>7368.67</v>
      </c>
      <c r="J133" s="35">
        <v>4369.88</v>
      </c>
      <c r="K133" s="35">
        <v>2998.79</v>
      </c>
      <c r="L133" s="34">
        <v>4</v>
      </c>
    </row>
    <row r="134" spans="1:12" x14ac:dyDescent="0.25">
      <c r="A134" s="30" t="s">
        <v>151</v>
      </c>
      <c r="B134" s="30" t="s">
        <v>136</v>
      </c>
      <c r="C134" s="30" t="s">
        <v>138</v>
      </c>
      <c r="D134" s="34">
        <v>73</v>
      </c>
      <c r="E134" s="34">
        <v>129</v>
      </c>
      <c r="F134" s="35">
        <v>12362.91</v>
      </c>
      <c r="G134" s="35">
        <v>75.02</v>
      </c>
      <c r="H134" s="35">
        <v>497.06</v>
      </c>
      <c r="I134" s="35">
        <v>11790.83</v>
      </c>
      <c r="J134" s="35">
        <v>6019.79</v>
      </c>
      <c r="K134" s="35">
        <v>5771.04</v>
      </c>
      <c r="L134" s="34">
        <v>1</v>
      </c>
    </row>
    <row r="135" spans="1:12" x14ac:dyDescent="0.25">
      <c r="A135" s="30" t="s">
        <v>151</v>
      </c>
      <c r="B135" s="30" t="s">
        <v>136</v>
      </c>
      <c r="C135" s="30" t="s">
        <v>139</v>
      </c>
      <c r="D135" s="34">
        <v>49</v>
      </c>
      <c r="E135" s="34">
        <v>91</v>
      </c>
      <c r="F135" s="35">
        <v>28454.45</v>
      </c>
      <c r="G135" s="35">
        <v>973.68</v>
      </c>
      <c r="H135" s="35">
        <v>1072.55</v>
      </c>
      <c r="I135" s="35">
        <v>26408.22</v>
      </c>
      <c r="J135" s="35">
        <v>15702.09</v>
      </c>
      <c r="K135" s="35">
        <v>10706.13</v>
      </c>
      <c r="L135" s="34">
        <v>3</v>
      </c>
    </row>
    <row r="136" spans="1:12" x14ac:dyDescent="0.25">
      <c r="A136" s="30" t="s">
        <v>151</v>
      </c>
      <c r="B136" s="30" t="s">
        <v>136</v>
      </c>
      <c r="C136" s="30" t="s">
        <v>140</v>
      </c>
      <c r="D136" s="34">
        <v>78</v>
      </c>
      <c r="E136" s="34">
        <v>125</v>
      </c>
      <c r="F136" s="35">
        <v>22557.4</v>
      </c>
      <c r="G136" s="35">
        <v>1082.49</v>
      </c>
      <c r="H136" s="35">
        <v>897.05</v>
      </c>
      <c r="I136" s="35">
        <v>20577.86</v>
      </c>
      <c r="J136" s="35">
        <v>8954.1</v>
      </c>
      <c r="K136" s="35">
        <v>11623.76</v>
      </c>
      <c r="L136" s="34">
        <v>3</v>
      </c>
    </row>
    <row r="137" spans="1:12" x14ac:dyDescent="0.25">
      <c r="A137" s="30" t="s">
        <v>151</v>
      </c>
      <c r="B137" s="30" t="s">
        <v>141</v>
      </c>
      <c r="C137" s="30" t="s">
        <v>137</v>
      </c>
      <c r="D137" s="34">
        <v>23</v>
      </c>
      <c r="E137" s="34">
        <v>34</v>
      </c>
      <c r="F137" s="35">
        <v>4330.1000000000004</v>
      </c>
      <c r="G137" s="35">
        <v>0</v>
      </c>
      <c r="H137" s="35">
        <v>522.59</v>
      </c>
      <c r="I137" s="35">
        <v>3807.51</v>
      </c>
      <c r="J137" s="35">
        <v>2195.25</v>
      </c>
      <c r="K137" s="35">
        <v>1612.26</v>
      </c>
      <c r="L137" s="34">
        <v>0</v>
      </c>
    </row>
    <row r="138" spans="1:12" x14ac:dyDescent="0.25">
      <c r="A138" s="30" t="s">
        <v>151</v>
      </c>
      <c r="B138" s="30" t="s">
        <v>141</v>
      </c>
      <c r="C138" s="30" t="s">
        <v>138</v>
      </c>
      <c r="D138" s="34">
        <v>13</v>
      </c>
      <c r="E138" s="34">
        <v>22</v>
      </c>
      <c r="F138" s="35">
        <v>1886.78</v>
      </c>
      <c r="G138" s="35">
        <v>71.349999999999994</v>
      </c>
      <c r="H138" s="35">
        <v>224.43</v>
      </c>
      <c r="I138" s="35">
        <v>1591</v>
      </c>
      <c r="J138" s="35">
        <v>911.4</v>
      </c>
      <c r="K138" s="35">
        <v>679.6</v>
      </c>
      <c r="L138" s="34">
        <v>1</v>
      </c>
    </row>
    <row r="139" spans="1:12" x14ac:dyDescent="0.25">
      <c r="A139" s="30" t="s">
        <v>151</v>
      </c>
      <c r="B139" s="30" t="s">
        <v>141</v>
      </c>
      <c r="C139" s="30" t="s">
        <v>139</v>
      </c>
      <c r="D139" s="34">
        <v>13</v>
      </c>
      <c r="E139" s="34">
        <v>27</v>
      </c>
      <c r="F139" s="35">
        <v>8491.36</v>
      </c>
      <c r="G139" s="35">
        <v>0</v>
      </c>
      <c r="H139" s="35">
        <v>1010.89</v>
      </c>
      <c r="I139" s="35">
        <v>7480.47</v>
      </c>
      <c r="J139" s="35">
        <v>4437.3599999999997</v>
      </c>
      <c r="K139" s="35">
        <v>3043.11</v>
      </c>
      <c r="L139" s="34">
        <v>0</v>
      </c>
    </row>
    <row r="140" spans="1:12" x14ac:dyDescent="0.25">
      <c r="A140" s="30" t="s">
        <v>151</v>
      </c>
      <c r="B140" s="30" t="s">
        <v>141</v>
      </c>
      <c r="C140" s="30" t="s">
        <v>140</v>
      </c>
      <c r="D140" s="34">
        <v>28</v>
      </c>
      <c r="E140" s="34">
        <v>47</v>
      </c>
      <c r="F140" s="35">
        <v>7906.11</v>
      </c>
      <c r="G140" s="35">
        <v>0</v>
      </c>
      <c r="H140" s="35">
        <v>932.68</v>
      </c>
      <c r="I140" s="35">
        <v>6973.43</v>
      </c>
      <c r="J140" s="35">
        <v>3135.18</v>
      </c>
      <c r="K140" s="35">
        <v>3838.25</v>
      </c>
      <c r="L140" s="34">
        <v>0</v>
      </c>
    </row>
    <row r="141" spans="1:12" x14ac:dyDescent="0.25">
      <c r="A141" s="30" t="s">
        <v>151</v>
      </c>
      <c r="B141" s="30" t="s">
        <v>142</v>
      </c>
      <c r="C141" s="30" t="s">
        <v>137</v>
      </c>
      <c r="D141" s="34">
        <v>13</v>
      </c>
      <c r="E141" s="34">
        <v>25</v>
      </c>
      <c r="F141" s="35">
        <v>3540.51</v>
      </c>
      <c r="G141" s="35">
        <v>0</v>
      </c>
      <c r="H141" s="35">
        <v>-5.07</v>
      </c>
      <c r="I141" s="35">
        <v>3545.58</v>
      </c>
      <c r="J141" s="35">
        <v>1917.95</v>
      </c>
      <c r="K141" s="35">
        <v>1627.63</v>
      </c>
      <c r="L141" s="34">
        <v>0</v>
      </c>
    </row>
    <row r="142" spans="1:12" x14ac:dyDescent="0.25">
      <c r="A142" s="30" t="s">
        <v>151</v>
      </c>
      <c r="B142" s="30" t="s">
        <v>142</v>
      </c>
      <c r="C142" s="30" t="s">
        <v>138</v>
      </c>
      <c r="D142" s="34">
        <v>21</v>
      </c>
      <c r="E142" s="34">
        <v>42</v>
      </c>
      <c r="F142" s="35">
        <v>3961.09</v>
      </c>
      <c r="G142" s="35">
        <v>0</v>
      </c>
      <c r="H142" s="35">
        <v>0.96</v>
      </c>
      <c r="I142" s="35">
        <v>3960.13</v>
      </c>
      <c r="J142" s="35">
        <v>1930.09</v>
      </c>
      <c r="K142" s="35">
        <v>2030.04</v>
      </c>
      <c r="L142" s="34">
        <v>0</v>
      </c>
    </row>
    <row r="143" spans="1:12" x14ac:dyDescent="0.25">
      <c r="A143" s="30" t="s">
        <v>151</v>
      </c>
      <c r="B143" s="30" t="s">
        <v>142</v>
      </c>
      <c r="C143" s="30" t="s">
        <v>139</v>
      </c>
      <c r="D143" s="34">
        <v>16</v>
      </c>
      <c r="E143" s="34">
        <v>21</v>
      </c>
      <c r="F143" s="35">
        <v>6021.22</v>
      </c>
      <c r="G143" s="35">
        <v>0</v>
      </c>
      <c r="H143" s="35">
        <v>10.9</v>
      </c>
      <c r="I143" s="35">
        <v>6010.32</v>
      </c>
      <c r="J143" s="35">
        <v>3113.94</v>
      </c>
      <c r="K143" s="35">
        <v>2896.38</v>
      </c>
      <c r="L143" s="34">
        <v>0</v>
      </c>
    </row>
    <row r="144" spans="1:12" x14ac:dyDescent="0.25">
      <c r="A144" s="30" t="s">
        <v>151</v>
      </c>
      <c r="B144" s="30" t="s">
        <v>142</v>
      </c>
      <c r="C144" s="30" t="s">
        <v>140</v>
      </c>
      <c r="D144" s="34">
        <v>17</v>
      </c>
      <c r="E144" s="34">
        <v>33</v>
      </c>
      <c r="F144" s="35">
        <v>5224.92</v>
      </c>
      <c r="G144" s="35">
        <v>899.68</v>
      </c>
      <c r="H144" s="35">
        <v>4.76</v>
      </c>
      <c r="I144" s="35">
        <v>4320.4799999999996</v>
      </c>
      <c r="J144" s="35">
        <v>2094.4499999999998</v>
      </c>
      <c r="K144" s="35">
        <v>2226.0300000000002</v>
      </c>
      <c r="L144" s="34">
        <v>2</v>
      </c>
    </row>
    <row r="145" spans="1:12" x14ac:dyDescent="0.25">
      <c r="A145" s="30" t="s">
        <v>151</v>
      </c>
      <c r="B145" s="30" t="s">
        <v>143</v>
      </c>
      <c r="C145" s="30" t="s">
        <v>137</v>
      </c>
      <c r="D145" s="34">
        <v>22</v>
      </c>
      <c r="E145" s="34">
        <v>39</v>
      </c>
      <c r="F145" s="35">
        <v>5121.83</v>
      </c>
      <c r="G145" s="35">
        <v>87.25</v>
      </c>
      <c r="H145" s="35">
        <v>862.75</v>
      </c>
      <c r="I145" s="35">
        <v>4171.83</v>
      </c>
      <c r="J145" s="35">
        <v>2626.99</v>
      </c>
      <c r="K145" s="35">
        <v>1544.84</v>
      </c>
      <c r="L145" s="34">
        <v>1</v>
      </c>
    </row>
    <row r="146" spans="1:12" x14ac:dyDescent="0.25">
      <c r="A146" s="30" t="s">
        <v>151</v>
      </c>
      <c r="B146" s="30" t="s">
        <v>143</v>
      </c>
      <c r="C146" s="30" t="s">
        <v>138</v>
      </c>
      <c r="D146" s="34">
        <v>44</v>
      </c>
      <c r="E146" s="34">
        <v>67</v>
      </c>
      <c r="F146" s="35">
        <v>6201.1</v>
      </c>
      <c r="G146" s="35">
        <v>361.35</v>
      </c>
      <c r="H146" s="35">
        <v>1057.83</v>
      </c>
      <c r="I146" s="35">
        <v>4781.92</v>
      </c>
      <c r="J146" s="35">
        <v>2910.54</v>
      </c>
      <c r="K146" s="35">
        <v>1871.38</v>
      </c>
      <c r="L146" s="34">
        <v>3</v>
      </c>
    </row>
    <row r="147" spans="1:12" x14ac:dyDescent="0.25">
      <c r="A147" s="30" t="s">
        <v>151</v>
      </c>
      <c r="B147" s="30" t="s">
        <v>143</v>
      </c>
      <c r="C147" s="30" t="s">
        <v>139</v>
      </c>
      <c r="D147" s="34">
        <v>25</v>
      </c>
      <c r="E147" s="34">
        <v>42</v>
      </c>
      <c r="F147" s="35">
        <v>12404.75</v>
      </c>
      <c r="G147" s="35">
        <v>736.64</v>
      </c>
      <c r="H147" s="35">
        <v>2111.81</v>
      </c>
      <c r="I147" s="35">
        <v>9556.2999999999993</v>
      </c>
      <c r="J147" s="35">
        <v>6597.68</v>
      </c>
      <c r="K147" s="35">
        <v>2958.62</v>
      </c>
      <c r="L147" s="34">
        <v>2</v>
      </c>
    </row>
    <row r="148" spans="1:12" x14ac:dyDescent="0.25">
      <c r="A148" s="30" t="s">
        <v>151</v>
      </c>
      <c r="B148" s="30" t="s">
        <v>143</v>
      </c>
      <c r="C148" s="30" t="s">
        <v>140</v>
      </c>
      <c r="D148" s="34">
        <v>50</v>
      </c>
      <c r="E148" s="34">
        <v>84</v>
      </c>
      <c r="F148" s="35">
        <v>16674.04</v>
      </c>
      <c r="G148" s="35">
        <v>1237.3699999999999</v>
      </c>
      <c r="H148" s="35">
        <v>2830.27</v>
      </c>
      <c r="I148" s="35">
        <v>12606.4</v>
      </c>
      <c r="J148" s="35">
        <v>6644.62</v>
      </c>
      <c r="K148" s="35">
        <v>5961.78</v>
      </c>
      <c r="L148" s="34">
        <v>3</v>
      </c>
    </row>
    <row r="149" spans="1:12" x14ac:dyDescent="0.25">
      <c r="A149" s="30" t="s">
        <v>152</v>
      </c>
      <c r="B149" s="30" t="s">
        <v>136</v>
      </c>
      <c r="C149" s="30" t="s">
        <v>137</v>
      </c>
      <c r="D149" s="34">
        <v>44</v>
      </c>
      <c r="E149" s="34">
        <v>77</v>
      </c>
      <c r="F149" s="35">
        <v>9888.34</v>
      </c>
      <c r="G149" s="35">
        <v>392.77</v>
      </c>
      <c r="H149" s="35">
        <v>396.16</v>
      </c>
      <c r="I149" s="35">
        <v>9099.41</v>
      </c>
      <c r="J149" s="35">
        <v>5141.95</v>
      </c>
      <c r="K149" s="35">
        <v>3957.46</v>
      </c>
      <c r="L149" s="34">
        <v>3</v>
      </c>
    </row>
    <row r="150" spans="1:12" x14ac:dyDescent="0.25">
      <c r="A150" s="30" t="s">
        <v>152</v>
      </c>
      <c r="B150" s="30" t="s">
        <v>136</v>
      </c>
      <c r="C150" s="30" t="s">
        <v>138</v>
      </c>
      <c r="D150" s="34">
        <v>67</v>
      </c>
      <c r="E150" s="34">
        <v>130</v>
      </c>
      <c r="F150" s="35">
        <v>13395.15</v>
      </c>
      <c r="G150" s="35">
        <v>947.33</v>
      </c>
      <c r="H150" s="35">
        <v>539.49</v>
      </c>
      <c r="I150" s="35">
        <v>11908.33</v>
      </c>
      <c r="J150" s="35">
        <v>6550.82</v>
      </c>
      <c r="K150" s="35">
        <v>5357.51</v>
      </c>
      <c r="L150" s="34">
        <v>3</v>
      </c>
    </row>
    <row r="151" spans="1:12" x14ac:dyDescent="0.25">
      <c r="A151" s="30" t="s">
        <v>152</v>
      </c>
      <c r="B151" s="30" t="s">
        <v>136</v>
      </c>
      <c r="C151" s="30" t="s">
        <v>139</v>
      </c>
      <c r="D151" s="34">
        <v>53</v>
      </c>
      <c r="E151" s="34">
        <v>83</v>
      </c>
      <c r="F151" s="35">
        <v>24259.07</v>
      </c>
      <c r="G151" s="35">
        <v>1537.35</v>
      </c>
      <c r="H151" s="35">
        <v>975.65</v>
      </c>
      <c r="I151" s="35">
        <v>21746.07</v>
      </c>
      <c r="J151" s="35">
        <v>13241.27</v>
      </c>
      <c r="K151" s="35">
        <v>8504.7999999999993</v>
      </c>
      <c r="L151" s="34">
        <v>2</v>
      </c>
    </row>
    <row r="152" spans="1:12" x14ac:dyDescent="0.25">
      <c r="A152" s="30" t="s">
        <v>152</v>
      </c>
      <c r="B152" s="30" t="s">
        <v>136</v>
      </c>
      <c r="C152" s="30" t="s">
        <v>140</v>
      </c>
      <c r="D152" s="34">
        <v>88</v>
      </c>
      <c r="E152" s="34">
        <v>153</v>
      </c>
      <c r="F152" s="35">
        <v>28788.12</v>
      </c>
      <c r="G152" s="35">
        <v>494.63</v>
      </c>
      <c r="H152" s="35">
        <v>1194.33</v>
      </c>
      <c r="I152" s="35">
        <v>27099.16</v>
      </c>
      <c r="J152" s="35">
        <v>11412.97</v>
      </c>
      <c r="K152" s="35">
        <v>15686.19</v>
      </c>
      <c r="L152" s="34">
        <v>1</v>
      </c>
    </row>
    <row r="153" spans="1:12" x14ac:dyDescent="0.25">
      <c r="A153" s="30" t="s">
        <v>152</v>
      </c>
      <c r="B153" s="30" t="s">
        <v>141</v>
      </c>
      <c r="C153" s="30" t="s">
        <v>137</v>
      </c>
      <c r="D153" s="34">
        <v>12</v>
      </c>
      <c r="E153" s="34">
        <v>16</v>
      </c>
      <c r="F153" s="35">
        <v>2122.3200000000002</v>
      </c>
      <c r="G153" s="35">
        <v>134.44</v>
      </c>
      <c r="H153" s="35">
        <v>255.34</v>
      </c>
      <c r="I153" s="35">
        <v>1732.54</v>
      </c>
      <c r="J153" s="35">
        <v>1130.5999999999999</v>
      </c>
      <c r="K153" s="35">
        <v>601.94000000000005</v>
      </c>
      <c r="L153" s="34">
        <v>1</v>
      </c>
    </row>
    <row r="154" spans="1:12" x14ac:dyDescent="0.25">
      <c r="A154" s="30" t="s">
        <v>152</v>
      </c>
      <c r="B154" s="30" t="s">
        <v>141</v>
      </c>
      <c r="C154" s="30" t="s">
        <v>138</v>
      </c>
      <c r="D154" s="34">
        <v>26</v>
      </c>
      <c r="E154" s="34">
        <v>42</v>
      </c>
      <c r="F154" s="35">
        <v>4521.46</v>
      </c>
      <c r="G154" s="35">
        <v>785.55</v>
      </c>
      <c r="H154" s="35">
        <v>527.19000000000005</v>
      </c>
      <c r="I154" s="35">
        <v>3208.72</v>
      </c>
      <c r="J154" s="35">
        <v>2183.4899999999998</v>
      </c>
      <c r="K154" s="35">
        <v>1025.23</v>
      </c>
      <c r="L154" s="34">
        <v>6</v>
      </c>
    </row>
    <row r="155" spans="1:12" x14ac:dyDescent="0.25">
      <c r="A155" s="30" t="s">
        <v>152</v>
      </c>
      <c r="B155" s="30" t="s">
        <v>141</v>
      </c>
      <c r="C155" s="30" t="s">
        <v>139</v>
      </c>
      <c r="D155" s="34">
        <v>27</v>
      </c>
      <c r="E155" s="34">
        <v>51</v>
      </c>
      <c r="F155" s="35">
        <v>16692.740000000002</v>
      </c>
      <c r="G155" s="35">
        <v>718.56</v>
      </c>
      <c r="H155" s="35">
        <v>1975.12</v>
      </c>
      <c r="I155" s="35">
        <v>13999.06</v>
      </c>
      <c r="J155" s="35">
        <v>8969.2199999999993</v>
      </c>
      <c r="K155" s="35">
        <v>5029.84</v>
      </c>
      <c r="L155" s="34">
        <v>1</v>
      </c>
    </row>
    <row r="156" spans="1:12" x14ac:dyDescent="0.25">
      <c r="A156" s="30" t="s">
        <v>152</v>
      </c>
      <c r="B156" s="30" t="s">
        <v>141</v>
      </c>
      <c r="C156" s="30" t="s">
        <v>140</v>
      </c>
      <c r="D156" s="34">
        <v>37</v>
      </c>
      <c r="E156" s="34">
        <v>64</v>
      </c>
      <c r="F156" s="35">
        <v>11555.5</v>
      </c>
      <c r="G156" s="35">
        <v>0</v>
      </c>
      <c r="H156" s="35">
        <v>1373.22</v>
      </c>
      <c r="I156" s="35">
        <v>10182.280000000001</v>
      </c>
      <c r="J156" s="35">
        <v>4541.18</v>
      </c>
      <c r="K156" s="35">
        <v>5641.1</v>
      </c>
      <c r="L156" s="34">
        <v>0</v>
      </c>
    </row>
    <row r="157" spans="1:12" x14ac:dyDescent="0.25">
      <c r="A157" s="30" t="s">
        <v>152</v>
      </c>
      <c r="B157" s="30" t="s">
        <v>142</v>
      </c>
      <c r="C157" s="30" t="s">
        <v>137</v>
      </c>
      <c r="D157" s="34">
        <v>8</v>
      </c>
      <c r="E157" s="34">
        <v>15</v>
      </c>
      <c r="F157" s="35">
        <v>1735.45</v>
      </c>
      <c r="G157" s="35">
        <v>0</v>
      </c>
      <c r="H157" s="35">
        <v>-5.18</v>
      </c>
      <c r="I157" s="35">
        <v>1740.63</v>
      </c>
      <c r="J157" s="35">
        <v>914.38</v>
      </c>
      <c r="K157" s="35">
        <v>826.25</v>
      </c>
      <c r="L157" s="34">
        <v>0</v>
      </c>
    </row>
    <row r="158" spans="1:12" x14ac:dyDescent="0.25">
      <c r="A158" s="30" t="s">
        <v>152</v>
      </c>
      <c r="B158" s="30" t="s">
        <v>142</v>
      </c>
      <c r="C158" s="30" t="s">
        <v>138</v>
      </c>
      <c r="D158" s="34">
        <v>14</v>
      </c>
      <c r="E158" s="34">
        <v>27</v>
      </c>
      <c r="F158" s="35">
        <v>2174.12</v>
      </c>
      <c r="G158" s="35">
        <v>0</v>
      </c>
      <c r="H158" s="35">
        <v>-0.56000000000000005</v>
      </c>
      <c r="I158" s="35">
        <v>2174.6799999999998</v>
      </c>
      <c r="J158" s="35">
        <v>1024.17</v>
      </c>
      <c r="K158" s="35">
        <v>1150.51</v>
      </c>
      <c r="L158" s="34">
        <v>0</v>
      </c>
    </row>
    <row r="159" spans="1:12" x14ac:dyDescent="0.25">
      <c r="A159" s="30" t="s">
        <v>152</v>
      </c>
      <c r="B159" s="30" t="s">
        <v>142</v>
      </c>
      <c r="C159" s="30" t="s">
        <v>139</v>
      </c>
      <c r="D159" s="34">
        <v>15</v>
      </c>
      <c r="E159" s="34">
        <v>18</v>
      </c>
      <c r="F159" s="35">
        <v>5354.57</v>
      </c>
      <c r="G159" s="35">
        <v>0</v>
      </c>
      <c r="H159" s="35">
        <v>-8.92</v>
      </c>
      <c r="I159" s="35">
        <v>5363.49</v>
      </c>
      <c r="J159" s="35">
        <v>2767.32</v>
      </c>
      <c r="K159" s="35">
        <v>2596.17</v>
      </c>
      <c r="L159" s="34">
        <v>0</v>
      </c>
    </row>
    <row r="160" spans="1:12" x14ac:dyDescent="0.25">
      <c r="A160" s="30" t="s">
        <v>152</v>
      </c>
      <c r="B160" s="30" t="s">
        <v>142</v>
      </c>
      <c r="C160" s="30" t="s">
        <v>140</v>
      </c>
      <c r="D160" s="34">
        <v>16</v>
      </c>
      <c r="E160" s="34">
        <v>29</v>
      </c>
      <c r="F160" s="35">
        <v>6369.82</v>
      </c>
      <c r="G160" s="35">
        <v>1189.45</v>
      </c>
      <c r="H160" s="35">
        <v>-1.25</v>
      </c>
      <c r="I160" s="35">
        <v>5181.62</v>
      </c>
      <c r="J160" s="35">
        <v>2534.86</v>
      </c>
      <c r="K160" s="35">
        <v>2646.76</v>
      </c>
      <c r="L160" s="34">
        <v>1</v>
      </c>
    </row>
    <row r="161" spans="1:12" x14ac:dyDescent="0.25">
      <c r="A161" s="30" t="s">
        <v>152</v>
      </c>
      <c r="B161" s="30" t="s">
        <v>143</v>
      </c>
      <c r="C161" s="30" t="s">
        <v>137</v>
      </c>
      <c r="D161" s="34">
        <v>28</v>
      </c>
      <c r="E161" s="34">
        <v>53</v>
      </c>
      <c r="F161" s="35">
        <v>6413.4</v>
      </c>
      <c r="G161" s="35">
        <v>205.18</v>
      </c>
      <c r="H161" s="35">
        <v>1098.3399999999999</v>
      </c>
      <c r="I161" s="35">
        <v>5109.88</v>
      </c>
      <c r="J161" s="35">
        <v>3353.13</v>
      </c>
      <c r="K161" s="35">
        <v>1756.75</v>
      </c>
      <c r="L161" s="34">
        <v>1</v>
      </c>
    </row>
    <row r="162" spans="1:12" x14ac:dyDescent="0.25">
      <c r="A162" s="30" t="s">
        <v>152</v>
      </c>
      <c r="B162" s="30" t="s">
        <v>143</v>
      </c>
      <c r="C162" s="30" t="s">
        <v>138</v>
      </c>
      <c r="D162" s="34">
        <v>45</v>
      </c>
      <c r="E162" s="34">
        <v>69</v>
      </c>
      <c r="F162" s="35">
        <v>6772.45</v>
      </c>
      <c r="G162" s="35">
        <v>589.11</v>
      </c>
      <c r="H162" s="35">
        <v>1156.19</v>
      </c>
      <c r="I162" s="35">
        <v>5027.1499999999996</v>
      </c>
      <c r="J162" s="35">
        <v>3251.21</v>
      </c>
      <c r="K162" s="35">
        <v>1775.94</v>
      </c>
      <c r="L162" s="34">
        <v>5</v>
      </c>
    </row>
    <row r="163" spans="1:12" x14ac:dyDescent="0.25">
      <c r="A163" s="30" t="s">
        <v>152</v>
      </c>
      <c r="B163" s="30" t="s">
        <v>143</v>
      </c>
      <c r="C163" s="30" t="s">
        <v>139</v>
      </c>
      <c r="D163" s="34">
        <v>34</v>
      </c>
      <c r="E163" s="34">
        <v>63</v>
      </c>
      <c r="F163" s="35">
        <v>17859.21</v>
      </c>
      <c r="G163" s="35">
        <v>1202.54</v>
      </c>
      <c r="H163" s="35">
        <v>3030.21</v>
      </c>
      <c r="I163" s="35">
        <v>13626.46</v>
      </c>
      <c r="J163" s="35">
        <v>9778.64</v>
      </c>
      <c r="K163" s="35">
        <v>3847.82</v>
      </c>
      <c r="L163" s="34">
        <v>2</v>
      </c>
    </row>
    <row r="164" spans="1:12" x14ac:dyDescent="0.25">
      <c r="A164" s="30" t="s">
        <v>152</v>
      </c>
      <c r="B164" s="30" t="s">
        <v>143</v>
      </c>
      <c r="C164" s="30" t="s">
        <v>140</v>
      </c>
      <c r="D164" s="34">
        <v>50</v>
      </c>
      <c r="E164" s="34">
        <v>79</v>
      </c>
      <c r="F164" s="35">
        <v>14312.15</v>
      </c>
      <c r="G164" s="35">
        <v>760.61</v>
      </c>
      <c r="H164" s="35">
        <v>2441.04</v>
      </c>
      <c r="I164" s="35">
        <v>11110.5</v>
      </c>
      <c r="J164" s="35">
        <v>5653.46</v>
      </c>
      <c r="K164" s="35">
        <v>5457.04</v>
      </c>
      <c r="L164" s="34">
        <v>4</v>
      </c>
    </row>
    <row r="165" spans="1:12" x14ac:dyDescent="0.25">
      <c r="A165" s="30" t="s">
        <v>153</v>
      </c>
      <c r="B165" s="30" t="s">
        <v>136</v>
      </c>
      <c r="C165" s="30" t="s">
        <v>137</v>
      </c>
      <c r="D165" s="34">
        <v>48</v>
      </c>
      <c r="E165" s="34">
        <v>77</v>
      </c>
      <c r="F165" s="35">
        <v>9819.41</v>
      </c>
      <c r="G165" s="35">
        <v>159.31</v>
      </c>
      <c r="H165" s="35">
        <v>394.56</v>
      </c>
      <c r="I165" s="35">
        <v>9265.5400000000009</v>
      </c>
      <c r="J165" s="35">
        <v>5124</v>
      </c>
      <c r="K165" s="35">
        <v>4141.54</v>
      </c>
      <c r="L165" s="34">
        <v>2</v>
      </c>
    </row>
    <row r="166" spans="1:12" x14ac:dyDescent="0.25">
      <c r="A166" s="30" t="s">
        <v>153</v>
      </c>
      <c r="B166" s="30" t="s">
        <v>136</v>
      </c>
      <c r="C166" s="30" t="s">
        <v>138</v>
      </c>
      <c r="D166" s="34">
        <v>99</v>
      </c>
      <c r="E166" s="34">
        <v>179</v>
      </c>
      <c r="F166" s="35">
        <v>18037.62</v>
      </c>
      <c r="G166" s="35">
        <v>236.51</v>
      </c>
      <c r="H166" s="35">
        <v>709.34</v>
      </c>
      <c r="I166" s="35">
        <v>17091.77</v>
      </c>
      <c r="J166" s="35">
        <v>8626.1</v>
      </c>
      <c r="K166" s="35">
        <v>8465.67</v>
      </c>
      <c r="L166" s="34">
        <v>1</v>
      </c>
    </row>
    <row r="167" spans="1:12" x14ac:dyDescent="0.25">
      <c r="A167" s="30" t="s">
        <v>153</v>
      </c>
      <c r="B167" s="30" t="s">
        <v>136</v>
      </c>
      <c r="C167" s="30" t="s">
        <v>139</v>
      </c>
      <c r="D167" s="34">
        <v>68</v>
      </c>
      <c r="E167" s="34">
        <v>107</v>
      </c>
      <c r="F167" s="35">
        <v>32667.06</v>
      </c>
      <c r="G167" s="35">
        <v>464.15</v>
      </c>
      <c r="H167" s="35">
        <v>1283.0899999999999</v>
      </c>
      <c r="I167" s="35">
        <v>30919.82</v>
      </c>
      <c r="J167" s="35">
        <v>17336.2</v>
      </c>
      <c r="K167" s="35">
        <v>13583.62</v>
      </c>
      <c r="L167" s="34">
        <v>2</v>
      </c>
    </row>
    <row r="168" spans="1:12" x14ac:dyDescent="0.25">
      <c r="A168" s="30" t="s">
        <v>153</v>
      </c>
      <c r="B168" s="30" t="s">
        <v>136</v>
      </c>
      <c r="C168" s="30" t="s">
        <v>140</v>
      </c>
      <c r="D168" s="34">
        <v>114</v>
      </c>
      <c r="E168" s="34">
        <v>230</v>
      </c>
      <c r="F168" s="35">
        <v>39680.230000000003</v>
      </c>
      <c r="G168" s="35">
        <v>1632.47</v>
      </c>
      <c r="H168" s="35">
        <v>1565.79</v>
      </c>
      <c r="I168" s="35">
        <v>36481.97</v>
      </c>
      <c r="J168" s="35">
        <v>15725.89</v>
      </c>
      <c r="K168" s="35">
        <v>20756.080000000002</v>
      </c>
      <c r="L168" s="34">
        <v>3</v>
      </c>
    </row>
    <row r="169" spans="1:12" x14ac:dyDescent="0.25">
      <c r="A169" s="30" t="s">
        <v>153</v>
      </c>
      <c r="B169" s="30" t="s">
        <v>141</v>
      </c>
      <c r="C169" s="30" t="s">
        <v>137</v>
      </c>
      <c r="D169" s="34">
        <v>22</v>
      </c>
      <c r="E169" s="34">
        <v>38</v>
      </c>
      <c r="F169" s="35">
        <v>5180.33</v>
      </c>
      <c r="G169" s="35">
        <v>534.66999999999996</v>
      </c>
      <c r="H169" s="35">
        <v>628.29999999999995</v>
      </c>
      <c r="I169" s="35">
        <v>4017.36</v>
      </c>
      <c r="J169" s="35">
        <v>2712.74</v>
      </c>
      <c r="K169" s="35">
        <v>1304.6199999999999</v>
      </c>
      <c r="L169" s="34">
        <v>1</v>
      </c>
    </row>
    <row r="170" spans="1:12" x14ac:dyDescent="0.25">
      <c r="A170" s="30" t="s">
        <v>153</v>
      </c>
      <c r="B170" s="30" t="s">
        <v>141</v>
      </c>
      <c r="C170" s="30" t="s">
        <v>138</v>
      </c>
      <c r="D170" s="34">
        <v>37</v>
      </c>
      <c r="E170" s="34">
        <v>68</v>
      </c>
      <c r="F170" s="35">
        <v>6652.99</v>
      </c>
      <c r="G170" s="35">
        <v>235.61</v>
      </c>
      <c r="H170" s="35">
        <v>789.18</v>
      </c>
      <c r="I170" s="35">
        <v>5628.2</v>
      </c>
      <c r="J170" s="35">
        <v>3277.06</v>
      </c>
      <c r="K170" s="35">
        <v>2351.14</v>
      </c>
      <c r="L170" s="34">
        <v>3</v>
      </c>
    </row>
    <row r="171" spans="1:12" x14ac:dyDescent="0.25">
      <c r="A171" s="30" t="s">
        <v>153</v>
      </c>
      <c r="B171" s="30" t="s">
        <v>141</v>
      </c>
      <c r="C171" s="30" t="s">
        <v>139</v>
      </c>
      <c r="D171" s="34">
        <v>29</v>
      </c>
      <c r="E171" s="34">
        <v>49</v>
      </c>
      <c r="F171" s="35">
        <v>15718.21</v>
      </c>
      <c r="G171" s="35">
        <v>986.36</v>
      </c>
      <c r="H171" s="35">
        <v>1866.93</v>
      </c>
      <c r="I171" s="35">
        <v>12864.92</v>
      </c>
      <c r="J171" s="35">
        <v>8571.16</v>
      </c>
      <c r="K171" s="35">
        <v>4293.76</v>
      </c>
      <c r="L171" s="34">
        <v>1</v>
      </c>
    </row>
    <row r="172" spans="1:12" x14ac:dyDescent="0.25">
      <c r="A172" s="30" t="s">
        <v>153</v>
      </c>
      <c r="B172" s="30" t="s">
        <v>141</v>
      </c>
      <c r="C172" s="30" t="s">
        <v>140</v>
      </c>
      <c r="D172" s="34">
        <v>46</v>
      </c>
      <c r="E172" s="34">
        <v>69</v>
      </c>
      <c r="F172" s="35">
        <v>13586.09</v>
      </c>
      <c r="G172" s="35">
        <v>431.56</v>
      </c>
      <c r="H172" s="35">
        <v>1640.8</v>
      </c>
      <c r="I172" s="35">
        <v>11513.73</v>
      </c>
      <c r="J172" s="35">
        <v>5256.87</v>
      </c>
      <c r="K172" s="35">
        <v>6256.86</v>
      </c>
      <c r="L172" s="34">
        <v>2</v>
      </c>
    </row>
    <row r="173" spans="1:12" x14ac:dyDescent="0.25">
      <c r="A173" s="30" t="s">
        <v>153</v>
      </c>
      <c r="B173" s="30" t="s">
        <v>142</v>
      </c>
      <c r="C173" s="30" t="s">
        <v>137</v>
      </c>
      <c r="D173" s="34">
        <v>15</v>
      </c>
      <c r="E173" s="34">
        <v>25</v>
      </c>
      <c r="F173" s="35">
        <v>3465.18</v>
      </c>
      <c r="G173" s="35">
        <v>178.42</v>
      </c>
      <c r="H173" s="35">
        <v>-7.11</v>
      </c>
      <c r="I173" s="35">
        <v>3293.87</v>
      </c>
      <c r="J173" s="35">
        <v>1832.81</v>
      </c>
      <c r="K173" s="35">
        <v>1461.06</v>
      </c>
      <c r="L173" s="34">
        <v>1</v>
      </c>
    </row>
    <row r="174" spans="1:12" x14ac:dyDescent="0.25">
      <c r="A174" s="30" t="s">
        <v>153</v>
      </c>
      <c r="B174" s="30" t="s">
        <v>142</v>
      </c>
      <c r="C174" s="30" t="s">
        <v>138</v>
      </c>
      <c r="D174" s="34">
        <v>36</v>
      </c>
      <c r="E174" s="34">
        <v>57</v>
      </c>
      <c r="F174" s="35">
        <v>4714.49</v>
      </c>
      <c r="G174" s="35">
        <v>58.97</v>
      </c>
      <c r="H174" s="35">
        <v>9.75</v>
      </c>
      <c r="I174" s="35">
        <v>4645.7700000000004</v>
      </c>
      <c r="J174" s="35">
        <v>2272.98</v>
      </c>
      <c r="K174" s="35">
        <v>2372.79</v>
      </c>
      <c r="L174" s="34">
        <v>1</v>
      </c>
    </row>
    <row r="175" spans="1:12" x14ac:dyDescent="0.25">
      <c r="A175" s="30" t="s">
        <v>153</v>
      </c>
      <c r="B175" s="30" t="s">
        <v>142</v>
      </c>
      <c r="C175" s="30" t="s">
        <v>139</v>
      </c>
      <c r="D175" s="34">
        <v>17</v>
      </c>
      <c r="E175" s="34">
        <v>28</v>
      </c>
      <c r="F175" s="35">
        <v>8563.42</v>
      </c>
      <c r="G175" s="35">
        <v>0</v>
      </c>
      <c r="H175" s="35">
        <v>9.0299999999999994</v>
      </c>
      <c r="I175" s="35">
        <v>8554.39</v>
      </c>
      <c r="J175" s="35">
        <v>4819.05</v>
      </c>
      <c r="K175" s="35">
        <v>3735.34</v>
      </c>
      <c r="L175" s="34">
        <v>0</v>
      </c>
    </row>
    <row r="176" spans="1:12" x14ac:dyDescent="0.25">
      <c r="A176" s="30" t="s">
        <v>153</v>
      </c>
      <c r="B176" s="30" t="s">
        <v>142</v>
      </c>
      <c r="C176" s="30" t="s">
        <v>140</v>
      </c>
      <c r="D176" s="34">
        <v>18</v>
      </c>
      <c r="E176" s="34">
        <v>31</v>
      </c>
      <c r="F176" s="35">
        <v>5977.92</v>
      </c>
      <c r="G176" s="35">
        <v>204.87</v>
      </c>
      <c r="H176" s="35">
        <v>-8.1199999999999992</v>
      </c>
      <c r="I176" s="35">
        <v>5781.17</v>
      </c>
      <c r="J176" s="35">
        <v>2427.14</v>
      </c>
      <c r="K176" s="35">
        <v>3354.03</v>
      </c>
      <c r="L176" s="34">
        <v>1</v>
      </c>
    </row>
    <row r="177" spans="1:12" x14ac:dyDescent="0.25">
      <c r="A177" s="30" t="s">
        <v>153</v>
      </c>
      <c r="B177" s="30" t="s">
        <v>143</v>
      </c>
      <c r="C177" s="30" t="s">
        <v>137</v>
      </c>
      <c r="D177" s="34">
        <v>40</v>
      </c>
      <c r="E177" s="34">
        <v>81</v>
      </c>
      <c r="F177" s="35">
        <v>10676.52</v>
      </c>
      <c r="G177" s="35">
        <v>2149.8000000000002</v>
      </c>
      <c r="H177" s="35">
        <v>1828.76</v>
      </c>
      <c r="I177" s="35">
        <v>6697.96</v>
      </c>
      <c r="J177" s="35">
        <v>5547.54</v>
      </c>
      <c r="K177" s="35">
        <v>1150.42</v>
      </c>
      <c r="L177" s="34">
        <v>6</v>
      </c>
    </row>
    <row r="178" spans="1:12" x14ac:dyDescent="0.25">
      <c r="A178" s="30" t="s">
        <v>153</v>
      </c>
      <c r="B178" s="30" t="s">
        <v>143</v>
      </c>
      <c r="C178" s="30" t="s">
        <v>138</v>
      </c>
      <c r="D178" s="34">
        <v>61</v>
      </c>
      <c r="E178" s="34">
        <v>104</v>
      </c>
      <c r="F178" s="35">
        <v>9410.23</v>
      </c>
      <c r="G178" s="35">
        <v>436.39</v>
      </c>
      <c r="H178" s="35">
        <v>1597.11</v>
      </c>
      <c r="I178" s="35">
        <v>7376.73</v>
      </c>
      <c r="J178" s="35">
        <v>4534.22</v>
      </c>
      <c r="K178" s="35">
        <v>2842.51</v>
      </c>
      <c r="L178" s="34">
        <v>3</v>
      </c>
    </row>
    <row r="179" spans="1:12" x14ac:dyDescent="0.25">
      <c r="A179" s="30" t="s">
        <v>153</v>
      </c>
      <c r="B179" s="30" t="s">
        <v>143</v>
      </c>
      <c r="C179" s="30" t="s">
        <v>139</v>
      </c>
      <c r="D179" s="34">
        <v>49</v>
      </c>
      <c r="E179" s="34">
        <v>88</v>
      </c>
      <c r="F179" s="35">
        <v>27486.55</v>
      </c>
      <c r="G179" s="35">
        <v>2415.3000000000002</v>
      </c>
      <c r="H179" s="35">
        <v>4643.5200000000004</v>
      </c>
      <c r="I179" s="35">
        <v>20427.73</v>
      </c>
      <c r="J179" s="35">
        <v>14683.46</v>
      </c>
      <c r="K179" s="35">
        <v>5744.27</v>
      </c>
      <c r="L179" s="34">
        <v>6</v>
      </c>
    </row>
    <row r="180" spans="1:12" x14ac:dyDescent="0.25">
      <c r="A180" s="30" t="s">
        <v>153</v>
      </c>
      <c r="B180" s="30" t="s">
        <v>143</v>
      </c>
      <c r="C180" s="30" t="s">
        <v>140</v>
      </c>
      <c r="D180" s="34">
        <v>69</v>
      </c>
      <c r="E180" s="34">
        <v>117</v>
      </c>
      <c r="F180" s="35">
        <v>23774.93</v>
      </c>
      <c r="G180" s="35">
        <v>1201.82</v>
      </c>
      <c r="H180" s="35">
        <v>4074.47</v>
      </c>
      <c r="I180" s="35">
        <v>18498.64</v>
      </c>
      <c r="J180" s="35">
        <v>9336.2800000000007</v>
      </c>
      <c r="K180" s="35">
        <v>9162.36</v>
      </c>
      <c r="L180" s="34">
        <v>7</v>
      </c>
    </row>
    <row r="181" spans="1:12" x14ac:dyDescent="0.25">
      <c r="A181" s="30" t="s">
        <v>154</v>
      </c>
      <c r="B181" s="30" t="s">
        <v>136</v>
      </c>
      <c r="C181" s="30" t="s">
        <v>137</v>
      </c>
      <c r="D181" s="34">
        <v>56</v>
      </c>
      <c r="E181" s="34">
        <v>99</v>
      </c>
      <c r="F181" s="35">
        <v>12922.84</v>
      </c>
      <c r="G181" s="35">
        <v>0</v>
      </c>
      <c r="H181" s="35">
        <v>523.53</v>
      </c>
      <c r="I181" s="35">
        <v>12399.31</v>
      </c>
      <c r="J181" s="35">
        <v>6971.09</v>
      </c>
      <c r="K181" s="35">
        <v>5428.22</v>
      </c>
      <c r="L181" s="34">
        <v>0</v>
      </c>
    </row>
    <row r="182" spans="1:12" x14ac:dyDescent="0.25">
      <c r="A182" s="30" t="s">
        <v>154</v>
      </c>
      <c r="B182" s="30" t="s">
        <v>136</v>
      </c>
      <c r="C182" s="30" t="s">
        <v>138</v>
      </c>
      <c r="D182" s="34">
        <v>75</v>
      </c>
      <c r="E182" s="34">
        <v>131</v>
      </c>
      <c r="F182" s="35">
        <v>13326.79</v>
      </c>
      <c r="G182" s="35">
        <v>370.84</v>
      </c>
      <c r="H182" s="35">
        <v>541.11</v>
      </c>
      <c r="I182" s="35">
        <v>12414.84</v>
      </c>
      <c r="J182" s="35">
        <v>6381.32</v>
      </c>
      <c r="K182" s="35">
        <v>6033.52</v>
      </c>
      <c r="L182" s="34">
        <v>5</v>
      </c>
    </row>
    <row r="183" spans="1:12" x14ac:dyDescent="0.25">
      <c r="A183" s="30" t="s">
        <v>154</v>
      </c>
      <c r="B183" s="30" t="s">
        <v>136</v>
      </c>
      <c r="C183" s="30" t="s">
        <v>139</v>
      </c>
      <c r="D183" s="34">
        <v>73</v>
      </c>
      <c r="E183" s="34">
        <v>127</v>
      </c>
      <c r="F183" s="35">
        <v>39398.239999999998</v>
      </c>
      <c r="G183" s="35">
        <v>824.02</v>
      </c>
      <c r="H183" s="35">
        <v>1570.42</v>
      </c>
      <c r="I183" s="35">
        <v>37003.800000000003</v>
      </c>
      <c r="J183" s="35">
        <v>20804.12</v>
      </c>
      <c r="K183" s="35">
        <v>16199.68</v>
      </c>
      <c r="L183" s="34">
        <v>2</v>
      </c>
    </row>
    <row r="184" spans="1:12" x14ac:dyDescent="0.25">
      <c r="A184" s="30" t="s">
        <v>154</v>
      </c>
      <c r="B184" s="30" t="s">
        <v>136</v>
      </c>
      <c r="C184" s="30" t="s">
        <v>140</v>
      </c>
      <c r="D184" s="34">
        <v>79</v>
      </c>
      <c r="E184" s="34">
        <v>148</v>
      </c>
      <c r="F184" s="35">
        <v>29521.69</v>
      </c>
      <c r="G184" s="35">
        <v>549.13</v>
      </c>
      <c r="H184" s="35">
        <v>1172.08</v>
      </c>
      <c r="I184" s="35">
        <v>27800.48</v>
      </c>
      <c r="J184" s="35">
        <v>11685.87</v>
      </c>
      <c r="K184" s="35">
        <v>16114.61</v>
      </c>
      <c r="L184" s="34">
        <v>2</v>
      </c>
    </row>
    <row r="185" spans="1:12" x14ac:dyDescent="0.25">
      <c r="A185" s="30" t="s">
        <v>154</v>
      </c>
      <c r="B185" s="30" t="s">
        <v>141</v>
      </c>
      <c r="C185" s="30" t="s">
        <v>137</v>
      </c>
      <c r="D185" s="34">
        <v>19</v>
      </c>
      <c r="E185" s="34">
        <v>34</v>
      </c>
      <c r="F185" s="35">
        <v>4358.1099999999997</v>
      </c>
      <c r="G185" s="35">
        <v>0</v>
      </c>
      <c r="H185" s="35">
        <v>538.96</v>
      </c>
      <c r="I185" s="35">
        <v>3819.15</v>
      </c>
      <c r="J185" s="35">
        <v>2372.2199999999998</v>
      </c>
      <c r="K185" s="35">
        <v>1446.93</v>
      </c>
      <c r="L185" s="34">
        <v>0</v>
      </c>
    </row>
    <row r="186" spans="1:12" x14ac:dyDescent="0.25">
      <c r="A186" s="30" t="s">
        <v>154</v>
      </c>
      <c r="B186" s="30" t="s">
        <v>141</v>
      </c>
      <c r="C186" s="30" t="s">
        <v>138</v>
      </c>
      <c r="D186" s="34">
        <v>40</v>
      </c>
      <c r="E186" s="34">
        <v>77</v>
      </c>
      <c r="F186" s="35">
        <v>7322.24</v>
      </c>
      <c r="G186" s="35">
        <v>270.64</v>
      </c>
      <c r="H186" s="35">
        <v>876.87</v>
      </c>
      <c r="I186" s="35">
        <v>6174.73</v>
      </c>
      <c r="J186" s="35">
        <v>3493.58</v>
      </c>
      <c r="K186" s="35">
        <v>2681.15</v>
      </c>
      <c r="L186" s="34">
        <v>3</v>
      </c>
    </row>
    <row r="187" spans="1:12" x14ac:dyDescent="0.25">
      <c r="A187" s="30" t="s">
        <v>154</v>
      </c>
      <c r="B187" s="30" t="s">
        <v>141</v>
      </c>
      <c r="C187" s="30" t="s">
        <v>139</v>
      </c>
      <c r="D187" s="34">
        <v>24</v>
      </c>
      <c r="E187" s="34">
        <v>50</v>
      </c>
      <c r="F187" s="35">
        <v>14454.23</v>
      </c>
      <c r="G187" s="35">
        <v>2022.51</v>
      </c>
      <c r="H187" s="35">
        <v>1726.83</v>
      </c>
      <c r="I187" s="35">
        <v>10704.89</v>
      </c>
      <c r="J187" s="35">
        <v>7815.39</v>
      </c>
      <c r="K187" s="35">
        <v>2889.5</v>
      </c>
      <c r="L187" s="34">
        <v>3</v>
      </c>
    </row>
    <row r="188" spans="1:12" x14ac:dyDescent="0.25">
      <c r="A188" s="30" t="s">
        <v>154</v>
      </c>
      <c r="B188" s="30" t="s">
        <v>141</v>
      </c>
      <c r="C188" s="30" t="s">
        <v>140</v>
      </c>
      <c r="D188" s="34">
        <v>47</v>
      </c>
      <c r="E188" s="34">
        <v>87</v>
      </c>
      <c r="F188" s="35">
        <v>15526.48</v>
      </c>
      <c r="G188" s="35">
        <v>545.36</v>
      </c>
      <c r="H188" s="35">
        <v>1857.51</v>
      </c>
      <c r="I188" s="35">
        <v>13123.61</v>
      </c>
      <c r="J188" s="35">
        <v>6182.14</v>
      </c>
      <c r="K188" s="35">
        <v>6941.47</v>
      </c>
      <c r="L188" s="34">
        <v>4</v>
      </c>
    </row>
    <row r="189" spans="1:12" x14ac:dyDescent="0.25">
      <c r="A189" s="30" t="s">
        <v>154</v>
      </c>
      <c r="B189" s="30" t="s">
        <v>142</v>
      </c>
      <c r="C189" s="30" t="s">
        <v>137</v>
      </c>
      <c r="D189" s="34">
        <v>15</v>
      </c>
      <c r="E189" s="34">
        <v>27</v>
      </c>
      <c r="F189" s="35">
        <v>3979.44</v>
      </c>
      <c r="G189" s="35">
        <v>0</v>
      </c>
      <c r="H189" s="35">
        <v>-15.44</v>
      </c>
      <c r="I189" s="35">
        <v>3994.88</v>
      </c>
      <c r="J189" s="35">
        <v>2096.4699999999998</v>
      </c>
      <c r="K189" s="35">
        <v>1898.41</v>
      </c>
      <c r="L189" s="34">
        <v>0</v>
      </c>
    </row>
    <row r="190" spans="1:12" x14ac:dyDescent="0.25">
      <c r="A190" s="30" t="s">
        <v>154</v>
      </c>
      <c r="B190" s="30" t="s">
        <v>142</v>
      </c>
      <c r="C190" s="30" t="s">
        <v>138</v>
      </c>
      <c r="D190" s="34">
        <v>27</v>
      </c>
      <c r="E190" s="34">
        <v>49</v>
      </c>
      <c r="F190" s="35">
        <v>4932.53</v>
      </c>
      <c r="G190" s="35">
        <v>0</v>
      </c>
      <c r="H190" s="35">
        <v>4.0199999999999996</v>
      </c>
      <c r="I190" s="35">
        <v>4928.51</v>
      </c>
      <c r="J190" s="35">
        <v>2332.94</v>
      </c>
      <c r="K190" s="35">
        <v>2595.5700000000002</v>
      </c>
      <c r="L190" s="34">
        <v>0</v>
      </c>
    </row>
    <row r="191" spans="1:12" x14ac:dyDescent="0.25">
      <c r="A191" s="30" t="s">
        <v>154</v>
      </c>
      <c r="B191" s="30" t="s">
        <v>142</v>
      </c>
      <c r="C191" s="30" t="s">
        <v>139</v>
      </c>
      <c r="D191" s="34">
        <v>14</v>
      </c>
      <c r="E191" s="34">
        <v>20</v>
      </c>
      <c r="F191" s="35">
        <v>6542.24</v>
      </c>
      <c r="G191" s="35">
        <v>0</v>
      </c>
      <c r="H191" s="35">
        <v>-0.28000000000000003</v>
      </c>
      <c r="I191" s="35">
        <v>6542.52</v>
      </c>
      <c r="J191" s="35">
        <v>3535.88</v>
      </c>
      <c r="K191" s="35">
        <v>3006.64</v>
      </c>
      <c r="L191" s="34">
        <v>0</v>
      </c>
    </row>
    <row r="192" spans="1:12" x14ac:dyDescent="0.25">
      <c r="A192" s="30" t="s">
        <v>154</v>
      </c>
      <c r="B192" s="30" t="s">
        <v>142</v>
      </c>
      <c r="C192" s="30" t="s">
        <v>140</v>
      </c>
      <c r="D192" s="34">
        <v>24</v>
      </c>
      <c r="E192" s="34">
        <v>39</v>
      </c>
      <c r="F192" s="35">
        <v>7376.41</v>
      </c>
      <c r="G192" s="35">
        <v>0</v>
      </c>
      <c r="H192" s="35">
        <v>-11.86</v>
      </c>
      <c r="I192" s="35">
        <v>7388.27</v>
      </c>
      <c r="J192" s="35">
        <v>2950.98</v>
      </c>
      <c r="K192" s="35">
        <v>4437.29</v>
      </c>
      <c r="L192" s="34">
        <v>0</v>
      </c>
    </row>
    <row r="193" spans="1:12" x14ac:dyDescent="0.25">
      <c r="A193" s="30" t="s">
        <v>154</v>
      </c>
      <c r="B193" s="30" t="s">
        <v>143</v>
      </c>
      <c r="C193" s="30" t="s">
        <v>137</v>
      </c>
      <c r="D193" s="34">
        <v>29</v>
      </c>
      <c r="E193" s="34">
        <v>50</v>
      </c>
      <c r="F193" s="35">
        <v>6269.99</v>
      </c>
      <c r="G193" s="35">
        <v>509.5</v>
      </c>
      <c r="H193" s="35">
        <v>1066.47</v>
      </c>
      <c r="I193" s="35">
        <v>4694.0200000000004</v>
      </c>
      <c r="J193" s="35">
        <v>3237.74</v>
      </c>
      <c r="K193" s="35">
        <v>1456.28</v>
      </c>
      <c r="L193" s="34">
        <v>2</v>
      </c>
    </row>
    <row r="194" spans="1:12" x14ac:dyDescent="0.25">
      <c r="A194" s="30" t="s">
        <v>154</v>
      </c>
      <c r="B194" s="30" t="s">
        <v>143</v>
      </c>
      <c r="C194" s="30" t="s">
        <v>138</v>
      </c>
      <c r="D194" s="34">
        <v>63</v>
      </c>
      <c r="E194" s="34">
        <v>112</v>
      </c>
      <c r="F194" s="35">
        <v>10320.64</v>
      </c>
      <c r="G194" s="35">
        <v>724.33</v>
      </c>
      <c r="H194" s="35">
        <v>1751.8</v>
      </c>
      <c r="I194" s="35">
        <v>7844.51</v>
      </c>
      <c r="J194" s="35">
        <v>5074.03</v>
      </c>
      <c r="K194" s="35">
        <v>2770.48</v>
      </c>
      <c r="L194" s="34">
        <v>5</v>
      </c>
    </row>
    <row r="195" spans="1:12" x14ac:dyDescent="0.25">
      <c r="A195" s="30" t="s">
        <v>154</v>
      </c>
      <c r="B195" s="30" t="s">
        <v>143</v>
      </c>
      <c r="C195" s="30" t="s">
        <v>139</v>
      </c>
      <c r="D195" s="34">
        <v>54</v>
      </c>
      <c r="E195" s="34">
        <v>88</v>
      </c>
      <c r="F195" s="35">
        <v>27011.31</v>
      </c>
      <c r="G195" s="35">
        <v>1600.05</v>
      </c>
      <c r="H195" s="35">
        <v>4582.3100000000004</v>
      </c>
      <c r="I195" s="35">
        <v>20828.95</v>
      </c>
      <c r="J195" s="35">
        <v>14543.42</v>
      </c>
      <c r="K195" s="35">
        <v>6285.53</v>
      </c>
      <c r="L195" s="34">
        <v>4</v>
      </c>
    </row>
    <row r="196" spans="1:12" x14ac:dyDescent="0.25">
      <c r="A196" s="30" t="s">
        <v>154</v>
      </c>
      <c r="B196" s="30" t="s">
        <v>143</v>
      </c>
      <c r="C196" s="30" t="s">
        <v>140</v>
      </c>
      <c r="D196" s="34">
        <v>59</v>
      </c>
      <c r="E196" s="34">
        <v>114</v>
      </c>
      <c r="F196" s="35">
        <v>21054.21</v>
      </c>
      <c r="G196" s="35">
        <v>277.86</v>
      </c>
      <c r="H196" s="35">
        <v>3564.03</v>
      </c>
      <c r="I196" s="35">
        <v>17212.32</v>
      </c>
      <c r="J196" s="35">
        <v>8198.41</v>
      </c>
      <c r="K196" s="35">
        <v>9013.91</v>
      </c>
      <c r="L196" s="34">
        <v>1</v>
      </c>
    </row>
    <row r="197" spans="1:12" x14ac:dyDescent="0.25">
      <c r="A197" s="30" t="s">
        <v>155</v>
      </c>
      <c r="B197" s="30" t="s">
        <v>136</v>
      </c>
      <c r="C197" s="30" t="s">
        <v>137</v>
      </c>
      <c r="D197" s="34">
        <v>46</v>
      </c>
      <c r="E197" s="34">
        <v>92</v>
      </c>
      <c r="F197" s="35">
        <v>12470.37</v>
      </c>
      <c r="G197" s="35">
        <v>82.04</v>
      </c>
      <c r="H197" s="35">
        <v>494.33</v>
      </c>
      <c r="I197" s="35">
        <v>11894</v>
      </c>
      <c r="J197" s="35">
        <v>6499.67</v>
      </c>
      <c r="K197" s="35">
        <v>5394.33</v>
      </c>
      <c r="L197" s="34">
        <v>1</v>
      </c>
    </row>
    <row r="198" spans="1:12" x14ac:dyDescent="0.25">
      <c r="A198" s="30" t="s">
        <v>155</v>
      </c>
      <c r="B198" s="30" t="s">
        <v>136</v>
      </c>
      <c r="C198" s="30" t="s">
        <v>138</v>
      </c>
      <c r="D198" s="34">
        <v>81</v>
      </c>
      <c r="E198" s="34">
        <v>151</v>
      </c>
      <c r="F198" s="35">
        <v>14775.5</v>
      </c>
      <c r="G198" s="35">
        <v>289.64999999999998</v>
      </c>
      <c r="H198" s="35">
        <v>594.95000000000005</v>
      </c>
      <c r="I198" s="35">
        <v>13890.9</v>
      </c>
      <c r="J198" s="35">
        <v>7151.82</v>
      </c>
      <c r="K198" s="35">
        <v>6739.08</v>
      </c>
      <c r="L198" s="34">
        <v>2</v>
      </c>
    </row>
    <row r="199" spans="1:12" x14ac:dyDescent="0.25">
      <c r="A199" s="30" t="s">
        <v>155</v>
      </c>
      <c r="B199" s="30" t="s">
        <v>136</v>
      </c>
      <c r="C199" s="30" t="s">
        <v>139</v>
      </c>
      <c r="D199" s="34">
        <v>58</v>
      </c>
      <c r="E199" s="34">
        <v>101</v>
      </c>
      <c r="F199" s="35">
        <v>30843.41</v>
      </c>
      <c r="G199" s="35">
        <v>1382.82</v>
      </c>
      <c r="H199" s="35">
        <v>1249.97</v>
      </c>
      <c r="I199" s="35">
        <v>28210.62</v>
      </c>
      <c r="J199" s="35">
        <v>16309.95</v>
      </c>
      <c r="K199" s="35">
        <v>11900.67</v>
      </c>
      <c r="L199" s="34">
        <v>2</v>
      </c>
    </row>
    <row r="200" spans="1:12" x14ac:dyDescent="0.25">
      <c r="A200" s="30" t="s">
        <v>155</v>
      </c>
      <c r="B200" s="30" t="s">
        <v>136</v>
      </c>
      <c r="C200" s="30" t="s">
        <v>140</v>
      </c>
      <c r="D200" s="34">
        <v>86</v>
      </c>
      <c r="E200" s="34">
        <v>153</v>
      </c>
      <c r="F200" s="35">
        <v>28837.62</v>
      </c>
      <c r="G200" s="35">
        <v>1038.75</v>
      </c>
      <c r="H200" s="35">
        <v>1166.07</v>
      </c>
      <c r="I200" s="35">
        <v>26632.799999999999</v>
      </c>
      <c r="J200" s="35">
        <v>11547.32</v>
      </c>
      <c r="K200" s="35">
        <v>15085.48</v>
      </c>
      <c r="L200" s="34">
        <v>2</v>
      </c>
    </row>
    <row r="201" spans="1:12" x14ac:dyDescent="0.25">
      <c r="A201" s="30" t="s">
        <v>155</v>
      </c>
      <c r="B201" s="30" t="s">
        <v>141</v>
      </c>
      <c r="C201" s="30" t="s">
        <v>137</v>
      </c>
      <c r="D201" s="34">
        <v>18</v>
      </c>
      <c r="E201" s="34">
        <v>29</v>
      </c>
      <c r="F201" s="35">
        <v>4211.38</v>
      </c>
      <c r="G201" s="35">
        <v>436.66</v>
      </c>
      <c r="H201" s="35">
        <v>515.58000000000004</v>
      </c>
      <c r="I201" s="35">
        <v>3259.14</v>
      </c>
      <c r="J201" s="35">
        <v>2266.83</v>
      </c>
      <c r="K201" s="35">
        <v>992.31</v>
      </c>
      <c r="L201" s="34">
        <v>2</v>
      </c>
    </row>
    <row r="202" spans="1:12" x14ac:dyDescent="0.25">
      <c r="A202" s="30" t="s">
        <v>155</v>
      </c>
      <c r="B202" s="30" t="s">
        <v>141</v>
      </c>
      <c r="C202" s="30" t="s">
        <v>138</v>
      </c>
      <c r="D202" s="34">
        <v>30</v>
      </c>
      <c r="E202" s="34">
        <v>42</v>
      </c>
      <c r="F202" s="35">
        <v>4098.0200000000004</v>
      </c>
      <c r="G202" s="35">
        <v>51.22</v>
      </c>
      <c r="H202" s="35">
        <v>480.78</v>
      </c>
      <c r="I202" s="35">
        <v>3566.02</v>
      </c>
      <c r="J202" s="35">
        <v>2015.85</v>
      </c>
      <c r="K202" s="35">
        <v>1550.17</v>
      </c>
      <c r="L202" s="34">
        <v>1</v>
      </c>
    </row>
    <row r="203" spans="1:12" x14ac:dyDescent="0.25">
      <c r="A203" s="30" t="s">
        <v>155</v>
      </c>
      <c r="B203" s="30" t="s">
        <v>141</v>
      </c>
      <c r="C203" s="30" t="s">
        <v>139</v>
      </c>
      <c r="D203" s="34">
        <v>25</v>
      </c>
      <c r="E203" s="34">
        <v>42</v>
      </c>
      <c r="F203" s="35">
        <v>12813.77</v>
      </c>
      <c r="G203" s="35">
        <v>672.66</v>
      </c>
      <c r="H203" s="35">
        <v>1542.71</v>
      </c>
      <c r="I203" s="35">
        <v>10598.4</v>
      </c>
      <c r="J203" s="35">
        <v>6991.82</v>
      </c>
      <c r="K203" s="35">
        <v>3606.58</v>
      </c>
      <c r="L203" s="34">
        <v>3</v>
      </c>
    </row>
    <row r="204" spans="1:12" x14ac:dyDescent="0.25">
      <c r="A204" s="30" t="s">
        <v>155</v>
      </c>
      <c r="B204" s="30" t="s">
        <v>141</v>
      </c>
      <c r="C204" s="30" t="s">
        <v>140</v>
      </c>
      <c r="D204" s="34">
        <v>31</v>
      </c>
      <c r="E204" s="34">
        <v>59</v>
      </c>
      <c r="F204" s="35">
        <v>10358.969999999999</v>
      </c>
      <c r="G204" s="35">
        <v>1223.7</v>
      </c>
      <c r="H204" s="35">
        <v>1230.53</v>
      </c>
      <c r="I204" s="35">
        <v>7904.74</v>
      </c>
      <c r="J204" s="35">
        <v>4100.21</v>
      </c>
      <c r="K204" s="35">
        <v>3804.53</v>
      </c>
      <c r="L204" s="34">
        <v>3</v>
      </c>
    </row>
    <row r="205" spans="1:12" x14ac:dyDescent="0.25">
      <c r="A205" s="30" t="s">
        <v>155</v>
      </c>
      <c r="B205" s="30" t="s">
        <v>142</v>
      </c>
      <c r="C205" s="30" t="s">
        <v>137</v>
      </c>
      <c r="D205" s="34">
        <v>13</v>
      </c>
      <c r="E205" s="34">
        <v>20</v>
      </c>
      <c r="F205" s="35">
        <v>2994.72</v>
      </c>
      <c r="G205" s="35">
        <v>0</v>
      </c>
      <c r="H205" s="35">
        <v>1.41</v>
      </c>
      <c r="I205" s="35">
        <v>2993.31</v>
      </c>
      <c r="J205" s="35">
        <v>1576.51</v>
      </c>
      <c r="K205" s="35">
        <v>1416.8</v>
      </c>
      <c r="L205" s="34">
        <v>0</v>
      </c>
    </row>
    <row r="206" spans="1:12" x14ac:dyDescent="0.25">
      <c r="A206" s="30" t="s">
        <v>155</v>
      </c>
      <c r="B206" s="30" t="s">
        <v>142</v>
      </c>
      <c r="C206" s="30" t="s">
        <v>138</v>
      </c>
      <c r="D206" s="34">
        <v>15</v>
      </c>
      <c r="E206" s="34">
        <v>29</v>
      </c>
      <c r="F206" s="35">
        <v>2294.15</v>
      </c>
      <c r="G206" s="35">
        <v>117.08</v>
      </c>
      <c r="H206" s="35">
        <v>-3.61</v>
      </c>
      <c r="I206" s="35">
        <v>2180.6799999999998</v>
      </c>
      <c r="J206" s="35">
        <v>1123.73</v>
      </c>
      <c r="K206" s="35">
        <v>1056.95</v>
      </c>
      <c r="L206" s="34">
        <v>1</v>
      </c>
    </row>
    <row r="207" spans="1:12" x14ac:dyDescent="0.25">
      <c r="A207" s="30" t="s">
        <v>155</v>
      </c>
      <c r="B207" s="30" t="s">
        <v>142</v>
      </c>
      <c r="C207" s="30" t="s">
        <v>139</v>
      </c>
      <c r="D207" s="34">
        <v>24</v>
      </c>
      <c r="E207" s="34">
        <v>40</v>
      </c>
      <c r="F207" s="35">
        <v>11658.68</v>
      </c>
      <c r="G207" s="35">
        <v>0</v>
      </c>
      <c r="H207" s="35">
        <v>22.8</v>
      </c>
      <c r="I207" s="35">
        <v>11635.88</v>
      </c>
      <c r="J207" s="35">
        <v>6421.54</v>
      </c>
      <c r="K207" s="35">
        <v>5214.34</v>
      </c>
      <c r="L207" s="34">
        <v>0</v>
      </c>
    </row>
    <row r="208" spans="1:12" x14ac:dyDescent="0.25">
      <c r="A208" s="30" t="s">
        <v>155</v>
      </c>
      <c r="B208" s="30" t="s">
        <v>142</v>
      </c>
      <c r="C208" s="30" t="s">
        <v>140</v>
      </c>
      <c r="D208" s="34">
        <v>21</v>
      </c>
      <c r="E208" s="34">
        <v>30</v>
      </c>
      <c r="F208" s="35">
        <v>5208.25</v>
      </c>
      <c r="G208" s="35">
        <v>119.28</v>
      </c>
      <c r="H208" s="35">
        <v>3.08</v>
      </c>
      <c r="I208" s="35">
        <v>5085.8900000000003</v>
      </c>
      <c r="J208" s="35">
        <v>2167.54</v>
      </c>
      <c r="K208" s="35">
        <v>2918.35</v>
      </c>
      <c r="L208" s="34">
        <v>1</v>
      </c>
    </row>
    <row r="209" spans="1:12" x14ac:dyDescent="0.25">
      <c r="A209" s="30" t="s">
        <v>155</v>
      </c>
      <c r="B209" s="30" t="s">
        <v>143</v>
      </c>
      <c r="C209" s="30" t="s">
        <v>137</v>
      </c>
      <c r="D209" s="34">
        <v>28</v>
      </c>
      <c r="E209" s="34">
        <v>60</v>
      </c>
      <c r="F209" s="35">
        <v>8199.34</v>
      </c>
      <c r="G209" s="35">
        <v>1195.6300000000001</v>
      </c>
      <c r="H209" s="35">
        <v>1411.82</v>
      </c>
      <c r="I209" s="35">
        <v>5591.89</v>
      </c>
      <c r="J209" s="35">
        <v>4180.8999999999996</v>
      </c>
      <c r="K209" s="35">
        <v>1410.99</v>
      </c>
      <c r="L209" s="34">
        <v>3</v>
      </c>
    </row>
    <row r="210" spans="1:12" x14ac:dyDescent="0.25">
      <c r="A210" s="30" t="s">
        <v>155</v>
      </c>
      <c r="B210" s="30" t="s">
        <v>143</v>
      </c>
      <c r="C210" s="30" t="s">
        <v>138</v>
      </c>
      <c r="D210" s="34">
        <v>57</v>
      </c>
      <c r="E210" s="34">
        <v>102</v>
      </c>
      <c r="F210" s="35">
        <v>9791.6200000000008</v>
      </c>
      <c r="G210" s="35">
        <v>135.44</v>
      </c>
      <c r="H210" s="35">
        <v>1658.8</v>
      </c>
      <c r="I210" s="35">
        <v>7997.38</v>
      </c>
      <c r="J210" s="35">
        <v>4765.04</v>
      </c>
      <c r="K210" s="35">
        <v>3232.34</v>
      </c>
      <c r="L210" s="34">
        <v>2</v>
      </c>
    </row>
    <row r="211" spans="1:12" x14ac:dyDescent="0.25">
      <c r="A211" s="30" t="s">
        <v>155</v>
      </c>
      <c r="B211" s="30" t="s">
        <v>143</v>
      </c>
      <c r="C211" s="30" t="s">
        <v>139</v>
      </c>
      <c r="D211" s="34">
        <v>35</v>
      </c>
      <c r="E211" s="34">
        <v>76</v>
      </c>
      <c r="F211" s="35">
        <v>24540.21</v>
      </c>
      <c r="G211" s="35">
        <v>0</v>
      </c>
      <c r="H211" s="35">
        <v>4170.47</v>
      </c>
      <c r="I211" s="35">
        <v>20369.740000000002</v>
      </c>
      <c r="J211" s="35">
        <v>13447.44</v>
      </c>
      <c r="K211" s="35">
        <v>6922.3</v>
      </c>
      <c r="L211" s="34">
        <v>0</v>
      </c>
    </row>
    <row r="212" spans="1:12" x14ac:dyDescent="0.25">
      <c r="A212" s="30" t="s">
        <v>155</v>
      </c>
      <c r="B212" s="30" t="s">
        <v>143</v>
      </c>
      <c r="C212" s="30" t="s">
        <v>140</v>
      </c>
      <c r="D212" s="34">
        <v>64</v>
      </c>
      <c r="E212" s="34">
        <v>112</v>
      </c>
      <c r="F212" s="35">
        <v>18837.53</v>
      </c>
      <c r="G212" s="35">
        <v>1681.78</v>
      </c>
      <c r="H212" s="35">
        <v>3226.69</v>
      </c>
      <c r="I212" s="35">
        <v>13929.06</v>
      </c>
      <c r="J212" s="35">
        <v>7570.03</v>
      </c>
      <c r="K212" s="35">
        <v>6359.03</v>
      </c>
      <c r="L212" s="34">
        <v>6</v>
      </c>
    </row>
    <row r="213" spans="1:12" x14ac:dyDescent="0.25">
      <c r="A213" s="30" t="s">
        <v>156</v>
      </c>
      <c r="B213" s="30" t="s">
        <v>136</v>
      </c>
      <c r="C213" s="30" t="s">
        <v>137</v>
      </c>
      <c r="D213" s="34">
        <v>40</v>
      </c>
      <c r="E213" s="34">
        <v>62</v>
      </c>
      <c r="F213" s="35">
        <v>8106.91</v>
      </c>
      <c r="G213" s="35">
        <v>0</v>
      </c>
      <c r="H213" s="35">
        <v>305.19</v>
      </c>
      <c r="I213" s="35">
        <v>7801.72</v>
      </c>
      <c r="J213" s="35">
        <v>4219.95</v>
      </c>
      <c r="K213" s="35">
        <v>3581.77</v>
      </c>
      <c r="L213" s="34">
        <v>0</v>
      </c>
    </row>
    <row r="214" spans="1:12" x14ac:dyDescent="0.25">
      <c r="A214" s="30" t="s">
        <v>156</v>
      </c>
      <c r="B214" s="30" t="s">
        <v>136</v>
      </c>
      <c r="C214" s="30" t="s">
        <v>138</v>
      </c>
      <c r="D214" s="34">
        <v>59</v>
      </c>
      <c r="E214" s="34">
        <v>101</v>
      </c>
      <c r="F214" s="35">
        <v>8611.7999999999993</v>
      </c>
      <c r="G214" s="35">
        <v>524.5</v>
      </c>
      <c r="H214" s="35">
        <v>334.02</v>
      </c>
      <c r="I214" s="35">
        <v>7753.28</v>
      </c>
      <c r="J214" s="35">
        <v>4079.48</v>
      </c>
      <c r="K214" s="35">
        <v>3673.8</v>
      </c>
      <c r="L214" s="34">
        <v>3</v>
      </c>
    </row>
    <row r="215" spans="1:12" x14ac:dyDescent="0.25">
      <c r="A215" s="30" t="s">
        <v>156</v>
      </c>
      <c r="B215" s="30" t="s">
        <v>136</v>
      </c>
      <c r="C215" s="30" t="s">
        <v>139</v>
      </c>
      <c r="D215" s="34">
        <v>51</v>
      </c>
      <c r="E215" s="34">
        <v>105</v>
      </c>
      <c r="F215" s="35">
        <v>31230.33</v>
      </c>
      <c r="G215" s="35">
        <v>0</v>
      </c>
      <c r="H215" s="35">
        <v>1247.8499999999999</v>
      </c>
      <c r="I215" s="35">
        <v>29982.48</v>
      </c>
      <c r="J215" s="35">
        <v>17017.759999999998</v>
      </c>
      <c r="K215" s="35">
        <v>12964.72</v>
      </c>
      <c r="L215" s="34">
        <v>0</v>
      </c>
    </row>
    <row r="216" spans="1:12" x14ac:dyDescent="0.25">
      <c r="A216" s="30" t="s">
        <v>156</v>
      </c>
      <c r="B216" s="30" t="s">
        <v>136</v>
      </c>
      <c r="C216" s="30" t="s">
        <v>140</v>
      </c>
      <c r="D216" s="34">
        <v>63</v>
      </c>
      <c r="E216" s="34">
        <v>107</v>
      </c>
      <c r="F216" s="35">
        <v>20027.2</v>
      </c>
      <c r="G216" s="35">
        <v>0</v>
      </c>
      <c r="H216" s="35">
        <v>813.16</v>
      </c>
      <c r="I216" s="35">
        <v>19214.04</v>
      </c>
      <c r="J216" s="35">
        <v>7850.09</v>
      </c>
      <c r="K216" s="35">
        <v>11363.95</v>
      </c>
      <c r="L216" s="34">
        <v>0</v>
      </c>
    </row>
    <row r="217" spans="1:12" x14ac:dyDescent="0.25">
      <c r="A217" s="30" t="s">
        <v>156</v>
      </c>
      <c r="B217" s="30" t="s">
        <v>141</v>
      </c>
      <c r="C217" s="30" t="s">
        <v>137</v>
      </c>
      <c r="D217" s="34">
        <v>14</v>
      </c>
      <c r="E217" s="34">
        <v>29</v>
      </c>
      <c r="F217" s="35">
        <v>3827.24</v>
      </c>
      <c r="G217" s="35">
        <v>0</v>
      </c>
      <c r="H217" s="35">
        <v>454.66</v>
      </c>
      <c r="I217" s="35">
        <v>3372.58</v>
      </c>
      <c r="J217" s="35">
        <v>1968.59</v>
      </c>
      <c r="K217" s="35">
        <v>1403.99</v>
      </c>
      <c r="L217" s="34">
        <v>0</v>
      </c>
    </row>
    <row r="218" spans="1:12" x14ac:dyDescent="0.25">
      <c r="A218" s="30" t="s">
        <v>156</v>
      </c>
      <c r="B218" s="30" t="s">
        <v>141</v>
      </c>
      <c r="C218" s="30" t="s">
        <v>138</v>
      </c>
      <c r="D218" s="34">
        <v>26</v>
      </c>
      <c r="E218" s="34">
        <v>55</v>
      </c>
      <c r="F218" s="35">
        <v>5016.24</v>
      </c>
      <c r="G218" s="35">
        <v>496.22</v>
      </c>
      <c r="H218" s="35">
        <v>603.46</v>
      </c>
      <c r="I218" s="35">
        <v>3916.56</v>
      </c>
      <c r="J218" s="35">
        <v>2419.54</v>
      </c>
      <c r="K218" s="35">
        <v>1497.02</v>
      </c>
      <c r="L218" s="34">
        <v>2</v>
      </c>
    </row>
    <row r="219" spans="1:12" x14ac:dyDescent="0.25">
      <c r="A219" s="30" t="s">
        <v>156</v>
      </c>
      <c r="B219" s="30" t="s">
        <v>141</v>
      </c>
      <c r="C219" s="30" t="s">
        <v>139</v>
      </c>
      <c r="D219" s="34">
        <v>24</v>
      </c>
      <c r="E219" s="34">
        <v>44</v>
      </c>
      <c r="F219" s="35">
        <v>13874.58</v>
      </c>
      <c r="G219" s="35">
        <v>0</v>
      </c>
      <c r="H219" s="35">
        <v>1672.45</v>
      </c>
      <c r="I219" s="35">
        <v>12202.13</v>
      </c>
      <c r="J219" s="35">
        <v>7586.73</v>
      </c>
      <c r="K219" s="35">
        <v>4615.3999999999996</v>
      </c>
      <c r="L219" s="34">
        <v>0</v>
      </c>
    </row>
    <row r="220" spans="1:12" x14ac:dyDescent="0.25">
      <c r="A220" s="30" t="s">
        <v>156</v>
      </c>
      <c r="B220" s="30" t="s">
        <v>141</v>
      </c>
      <c r="C220" s="30" t="s">
        <v>140</v>
      </c>
      <c r="D220" s="34">
        <v>24</v>
      </c>
      <c r="E220" s="34">
        <v>42</v>
      </c>
      <c r="F220" s="35">
        <v>8212.91</v>
      </c>
      <c r="G220" s="35">
        <v>1039.23</v>
      </c>
      <c r="H220" s="35">
        <v>979.43</v>
      </c>
      <c r="I220" s="35">
        <v>6194.25</v>
      </c>
      <c r="J220" s="35">
        <v>3185.83</v>
      </c>
      <c r="K220" s="35">
        <v>3008.42</v>
      </c>
      <c r="L220" s="34">
        <v>3</v>
      </c>
    </row>
    <row r="221" spans="1:12" x14ac:dyDescent="0.25">
      <c r="A221" s="30" t="s">
        <v>156</v>
      </c>
      <c r="B221" s="30" t="s">
        <v>142</v>
      </c>
      <c r="C221" s="30" t="s">
        <v>137</v>
      </c>
      <c r="D221" s="34">
        <v>6</v>
      </c>
      <c r="E221" s="34">
        <v>13</v>
      </c>
      <c r="F221" s="35">
        <v>2028.65</v>
      </c>
      <c r="G221" s="35">
        <v>0</v>
      </c>
      <c r="H221" s="35">
        <v>1.1299999999999999</v>
      </c>
      <c r="I221" s="35">
        <v>2027.52</v>
      </c>
      <c r="J221" s="35">
        <v>1073.29</v>
      </c>
      <c r="K221" s="35">
        <v>954.23</v>
      </c>
      <c r="L221" s="34">
        <v>0</v>
      </c>
    </row>
    <row r="222" spans="1:12" x14ac:dyDescent="0.25">
      <c r="A222" s="30" t="s">
        <v>156</v>
      </c>
      <c r="B222" s="30" t="s">
        <v>142</v>
      </c>
      <c r="C222" s="30" t="s">
        <v>138</v>
      </c>
      <c r="D222" s="34">
        <v>22</v>
      </c>
      <c r="E222" s="34">
        <v>47</v>
      </c>
      <c r="F222" s="35">
        <v>4285.72</v>
      </c>
      <c r="G222" s="35">
        <v>131.32</v>
      </c>
      <c r="H222" s="35">
        <v>4.62</v>
      </c>
      <c r="I222" s="35">
        <v>4149.78</v>
      </c>
      <c r="J222" s="35">
        <v>2020.53</v>
      </c>
      <c r="K222" s="35">
        <v>2129.25</v>
      </c>
      <c r="L222" s="34">
        <v>1</v>
      </c>
    </row>
    <row r="223" spans="1:12" x14ac:dyDescent="0.25">
      <c r="A223" s="30" t="s">
        <v>156</v>
      </c>
      <c r="B223" s="30" t="s">
        <v>142</v>
      </c>
      <c r="C223" s="30" t="s">
        <v>139</v>
      </c>
      <c r="D223" s="34">
        <v>7</v>
      </c>
      <c r="E223" s="34">
        <v>13</v>
      </c>
      <c r="F223" s="35">
        <v>4088.89</v>
      </c>
      <c r="G223" s="35">
        <v>0</v>
      </c>
      <c r="H223" s="35">
        <v>-9.0500000000000007</v>
      </c>
      <c r="I223" s="35">
        <v>4097.9399999999996</v>
      </c>
      <c r="J223" s="35">
        <v>2317.3200000000002</v>
      </c>
      <c r="K223" s="35">
        <v>1780.62</v>
      </c>
      <c r="L223" s="34">
        <v>0</v>
      </c>
    </row>
    <row r="224" spans="1:12" x14ac:dyDescent="0.25">
      <c r="A224" s="30" t="s">
        <v>156</v>
      </c>
      <c r="B224" s="30" t="s">
        <v>142</v>
      </c>
      <c r="C224" s="30" t="s">
        <v>140</v>
      </c>
      <c r="D224" s="34">
        <v>22</v>
      </c>
      <c r="E224" s="34">
        <v>31</v>
      </c>
      <c r="F224" s="35">
        <v>5602.12</v>
      </c>
      <c r="G224" s="35">
        <v>0</v>
      </c>
      <c r="H224" s="35">
        <v>15.56</v>
      </c>
      <c r="I224" s="35">
        <v>5586.56</v>
      </c>
      <c r="J224" s="35">
        <v>2254.73</v>
      </c>
      <c r="K224" s="35">
        <v>3331.83</v>
      </c>
      <c r="L224" s="34">
        <v>0</v>
      </c>
    </row>
    <row r="225" spans="1:12" x14ac:dyDescent="0.25">
      <c r="A225" s="30" t="s">
        <v>156</v>
      </c>
      <c r="B225" s="30" t="s">
        <v>143</v>
      </c>
      <c r="C225" s="30" t="s">
        <v>137</v>
      </c>
      <c r="D225" s="34">
        <v>31</v>
      </c>
      <c r="E225" s="34">
        <v>56</v>
      </c>
      <c r="F225" s="35">
        <v>7462.01</v>
      </c>
      <c r="G225" s="35">
        <v>350.78</v>
      </c>
      <c r="H225" s="35">
        <v>1269.2</v>
      </c>
      <c r="I225" s="35">
        <v>5842.03</v>
      </c>
      <c r="J225" s="35">
        <v>3875.64</v>
      </c>
      <c r="K225" s="35">
        <v>1966.39</v>
      </c>
      <c r="L225" s="34">
        <v>3</v>
      </c>
    </row>
    <row r="226" spans="1:12" x14ac:dyDescent="0.25">
      <c r="A226" s="30" t="s">
        <v>156</v>
      </c>
      <c r="B226" s="30" t="s">
        <v>143</v>
      </c>
      <c r="C226" s="30" t="s">
        <v>138</v>
      </c>
      <c r="D226" s="34">
        <v>37</v>
      </c>
      <c r="E226" s="34">
        <v>55</v>
      </c>
      <c r="F226" s="35">
        <v>5600.25</v>
      </c>
      <c r="G226" s="35">
        <v>252.84</v>
      </c>
      <c r="H226" s="35">
        <v>949.36</v>
      </c>
      <c r="I226" s="35">
        <v>4398.05</v>
      </c>
      <c r="J226" s="35">
        <v>2587.85</v>
      </c>
      <c r="K226" s="35">
        <v>1810.2</v>
      </c>
      <c r="L226" s="34">
        <v>3</v>
      </c>
    </row>
    <row r="227" spans="1:12" x14ac:dyDescent="0.25">
      <c r="A227" s="30" t="s">
        <v>156</v>
      </c>
      <c r="B227" s="30" t="s">
        <v>143</v>
      </c>
      <c r="C227" s="30" t="s">
        <v>139</v>
      </c>
      <c r="D227" s="34">
        <v>39</v>
      </c>
      <c r="E227" s="34">
        <v>72</v>
      </c>
      <c r="F227" s="35">
        <v>22792.76</v>
      </c>
      <c r="G227" s="35">
        <v>727.18</v>
      </c>
      <c r="H227" s="35">
        <v>3861.26</v>
      </c>
      <c r="I227" s="35">
        <v>18204.32</v>
      </c>
      <c r="J227" s="35">
        <v>12367.77</v>
      </c>
      <c r="K227" s="35">
        <v>5836.55</v>
      </c>
      <c r="L227" s="34">
        <v>2</v>
      </c>
    </row>
    <row r="228" spans="1:12" x14ac:dyDescent="0.25">
      <c r="A228" s="30" t="s">
        <v>156</v>
      </c>
      <c r="B228" s="30" t="s">
        <v>143</v>
      </c>
      <c r="C228" s="30" t="s">
        <v>140</v>
      </c>
      <c r="D228" s="34">
        <v>45</v>
      </c>
      <c r="E228" s="34">
        <v>75</v>
      </c>
      <c r="F228" s="35">
        <v>15005.33</v>
      </c>
      <c r="G228" s="35">
        <v>2053.81</v>
      </c>
      <c r="H228" s="35">
        <v>2561.4</v>
      </c>
      <c r="I228" s="35">
        <v>10390.120000000001</v>
      </c>
      <c r="J228" s="35">
        <v>5960.65</v>
      </c>
      <c r="K228" s="35">
        <v>4429.47</v>
      </c>
      <c r="L228" s="34">
        <v>7</v>
      </c>
    </row>
    <row r="229" spans="1:12" x14ac:dyDescent="0.25">
      <c r="A229" s="30" t="s">
        <v>157</v>
      </c>
      <c r="B229" s="30" t="s">
        <v>136</v>
      </c>
      <c r="C229" s="30" t="s">
        <v>137</v>
      </c>
      <c r="D229" s="34">
        <v>54</v>
      </c>
      <c r="E229" s="34">
        <v>94</v>
      </c>
      <c r="F229" s="35">
        <v>12327.34</v>
      </c>
      <c r="G229" s="35">
        <v>77.94</v>
      </c>
      <c r="H229" s="35">
        <v>483.93</v>
      </c>
      <c r="I229" s="35">
        <v>11765.47</v>
      </c>
      <c r="J229" s="35">
        <v>6595.81</v>
      </c>
      <c r="K229" s="35">
        <v>5169.66</v>
      </c>
      <c r="L229" s="34">
        <v>1</v>
      </c>
    </row>
    <row r="230" spans="1:12" x14ac:dyDescent="0.25">
      <c r="A230" s="30" t="s">
        <v>157</v>
      </c>
      <c r="B230" s="30" t="s">
        <v>136</v>
      </c>
      <c r="C230" s="30" t="s">
        <v>138</v>
      </c>
      <c r="D230" s="34">
        <v>56</v>
      </c>
      <c r="E230" s="34">
        <v>104</v>
      </c>
      <c r="F230" s="35">
        <v>11188.1</v>
      </c>
      <c r="G230" s="35">
        <v>0</v>
      </c>
      <c r="H230" s="35">
        <v>452.32</v>
      </c>
      <c r="I230" s="35">
        <v>10735.78</v>
      </c>
      <c r="J230" s="35">
        <v>5368.35</v>
      </c>
      <c r="K230" s="35">
        <v>5367.43</v>
      </c>
      <c r="L230" s="34">
        <v>0</v>
      </c>
    </row>
    <row r="231" spans="1:12" x14ac:dyDescent="0.25">
      <c r="A231" s="30" t="s">
        <v>157</v>
      </c>
      <c r="B231" s="30" t="s">
        <v>136</v>
      </c>
      <c r="C231" s="30" t="s">
        <v>139</v>
      </c>
      <c r="D231" s="34">
        <v>67</v>
      </c>
      <c r="E231" s="34">
        <v>105</v>
      </c>
      <c r="F231" s="35">
        <v>32526.92</v>
      </c>
      <c r="G231" s="35">
        <v>2391.9499999999998</v>
      </c>
      <c r="H231" s="35">
        <v>1270.77</v>
      </c>
      <c r="I231" s="35">
        <v>28864.2</v>
      </c>
      <c r="J231" s="35">
        <v>16975.68</v>
      </c>
      <c r="K231" s="35">
        <v>11888.52</v>
      </c>
      <c r="L231" s="34">
        <v>4</v>
      </c>
    </row>
    <row r="232" spans="1:12" x14ac:dyDescent="0.25">
      <c r="A232" s="30" t="s">
        <v>157</v>
      </c>
      <c r="B232" s="30" t="s">
        <v>136</v>
      </c>
      <c r="C232" s="30" t="s">
        <v>140</v>
      </c>
      <c r="D232" s="34">
        <v>75</v>
      </c>
      <c r="E232" s="34">
        <v>145</v>
      </c>
      <c r="F232" s="35">
        <v>26423.25</v>
      </c>
      <c r="G232" s="35">
        <v>1000.61</v>
      </c>
      <c r="H232" s="35">
        <v>1046.6300000000001</v>
      </c>
      <c r="I232" s="35">
        <v>24376.01</v>
      </c>
      <c r="J232" s="35">
        <v>10284.129999999999</v>
      </c>
      <c r="K232" s="35">
        <v>14091.88</v>
      </c>
      <c r="L232" s="34">
        <v>3</v>
      </c>
    </row>
    <row r="233" spans="1:12" x14ac:dyDescent="0.25">
      <c r="A233" s="30" t="s">
        <v>157</v>
      </c>
      <c r="B233" s="30" t="s">
        <v>141</v>
      </c>
      <c r="C233" s="30" t="s">
        <v>137</v>
      </c>
      <c r="D233" s="34">
        <v>14</v>
      </c>
      <c r="E233" s="34">
        <v>29</v>
      </c>
      <c r="F233" s="35">
        <v>3321.64</v>
      </c>
      <c r="G233" s="35">
        <v>73.16</v>
      </c>
      <c r="H233" s="35">
        <v>397.62</v>
      </c>
      <c r="I233" s="35">
        <v>2850.86</v>
      </c>
      <c r="J233" s="35">
        <v>1717.43</v>
      </c>
      <c r="K233" s="35">
        <v>1133.43</v>
      </c>
      <c r="L233" s="34">
        <v>1</v>
      </c>
    </row>
    <row r="234" spans="1:12" x14ac:dyDescent="0.25">
      <c r="A234" s="30" t="s">
        <v>157</v>
      </c>
      <c r="B234" s="30" t="s">
        <v>141</v>
      </c>
      <c r="C234" s="30" t="s">
        <v>138</v>
      </c>
      <c r="D234" s="34">
        <v>24</v>
      </c>
      <c r="E234" s="34">
        <v>40</v>
      </c>
      <c r="F234" s="35">
        <v>3972.13</v>
      </c>
      <c r="G234" s="35">
        <v>597.61</v>
      </c>
      <c r="H234" s="35">
        <v>477.63</v>
      </c>
      <c r="I234" s="35">
        <v>2896.89</v>
      </c>
      <c r="J234" s="35">
        <v>1908.86</v>
      </c>
      <c r="K234" s="35">
        <v>988.03</v>
      </c>
      <c r="L234" s="34">
        <v>2</v>
      </c>
    </row>
    <row r="235" spans="1:12" x14ac:dyDescent="0.25">
      <c r="A235" s="30" t="s">
        <v>157</v>
      </c>
      <c r="B235" s="30" t="s">
        <v>141</v>
      </c>
      <c r="C235" s="30" t="s">
        <v>139</v>
      </c>
      <c r="D235" s="34">
        <v>24</v>
      </c>
      <c r="E235" s="34">
        <v>49</v>
      </c>
      <c r="F235" s="35">
        <v>14089.53</v>
      </c>
      <c r="G235" s="35">
        <v>301.44</v>
      </c>
      <c r="H235" s="35">
        <v>1661.31</v>
      </c>
      <c r="I235" s="35">
        <v>12126.78</v>
      </c>
      <c r="J235" s="35">
        <v>7690.33</v>
      </c>
      <c r="K235" s="35">
        <v>4436.45</v>
      </c>
      <c r="L235" s="34">
        <v>1</v>
      </c>
    </row>
    <row r="236" spans="1:12" x14ac:dyDescent="0.25">
      <c r="A236" s="30" t="s">
        <v>157</v>
      </c>
      <c r="B236" s="30" t="s">
        <v>141</v>
      </c>
      <c r="C236" s="30" t="s">
        <v>140</v>
      </c>
      <c r="D236" s="34">
        <v>37</v>
      </c>
      <c r="E236" s="34">
        <v>65</v>
      </c>
      <c r="F236" s="35">
        <v>11678.48</v>
      </c>
      <c r="G236" s="35">
        <v>1004.68</v>
      </c>
      <c r="H236" s="35">
        <v>1378.89</v>
      </c>
      <c r="I236" s="35">
        <v>9294.91</v>
      </c>
      <c r="J236" s="35">
        <v>4639.3100000000004</v>
      </c>
      <c r="K236" s="35">
        <v>4655.6000000000004</v>
      </c>
      <c r="L236" s="34">
        <v>2</v>
      </c>
    </row>
    <row r="237" spans="1:12" x14ac:dyDescent="0.25">
      <c r="A237" s="30" t="s">
        <v>157</v>
      </c>
      <c r="B237" s="30" t="s">
        <v>142</v>
      </c>
      <c r="C237" s="30" t="s">
        <v>137</v>
      </c>
      <c r="D237" s="34">
        <v>15</v>
      </c>
      <c r="E237" s="34">
        <v>33</v>
      </c>
      <c r="F237" s="35">
        <v>4146.32</v>
      </c>
      <c r="G237" s="35">
        <v>0</v>
      </c>
      <c r="H237" s="35">
        <v>3.17</v>
      </c>
      <c r="I237" s="35">
        <v>4143.1499999999996</v>
      </c>
      <c r="J237" s="35">
        <v>2192.39</v>
      </c>
      <c r="K237" s="35">
        <v>1950.76</v>
      </c>
      <c r="L237" s="34">
        <v>0</v>
      </c>
    </row>
    <row r="238" spans="1:12" x14ac:dyDescent="0.25">
      <c r="A238" s="30" t="s">
        <v>157</v>
      </c>
      <c r="B238" s="30" t="s">
        <v>142</v>
      </c>
      <c r="C238" s="30" t="s">
        <v>138</v>
      </c>
      <c r="D238" s="34">
        <v>32</v>
      </c>
      <c r="E238" s="34">
        <v>55</v>
      </c>
      <c r="F238" s="35">
        <v>6073.05</v>
      </c>
      <c r="G238" s="35">
        <v>0</v>
      </c>
      <c r="H238" s="35">
        <v>-5.08</v>
      </c>
      <c r="I238" s="35">
        <v>6078.13</v>
      </c>
      <c r="J238" s="35">
        <v>2965.35</v>
      </c>
      <c r="K238" s="35">
        <v>3112.78</v>
      </c>
      <c r="L238" s="34">
        <v>0</v>
      </c>
    </row>
    <row r="239" spans="1:12" x14ac:dyDescent="0.25">
      <c r="A239" s="30" t="s">
        <v>157</v>
      </c>
      <c r="B239" s="30" t="s">
        <v>142</v>
      </c>
      <c r="C239" s="30" t="s">
        <v>139</v>
      </c>
      <c r="D239" s="34">
        <v>20</v>
      </c>
      <c r="E239" s="34">
        <v>33</v>
      </c>
      <c r="F239" s="35">
        <v>9198.98</v>
      </c>
      <c r="G239" s="35">
        <v>135.58000000000001</v>
      </c>
      <c r="H239" s="35">
        <v>-1.2</v>
      </c>
      <c r="I239" s="35">
        <v>9064.6</v>
      </c>
      <c r="J239" s="35">
        <v>5156.87</v>
      </c>
      <c r="K239" s="35">
        <v>3907.73</v>
      </c>
      <c r="L239" s="34">
        <v>1</v>
      </c>
    </row>
    <row r="240" spans="1:12" x14ac:dyDescent="0.25">
      <c r="A240" s="30" t="s">
        <v>157</v>
      </c>
      <c r="B240" s="30" t="s">
        <v>142</v>
      </c>
      <c r="C240" s="30" t="s">
        <v>140</v>
      </c>
      <c r="D240" s="34">
        <v>17</v>
      </c>
      <c r="E240" s="34">
        <v>28</v>
      </c>
      <c r="F240" s="35">
        <v>5129.42</v>
      </c>
      <c r="G240" s="35">
        <v>0</v>
      </c>
      <c r="H240" s="35">
        <v>-5.1100000000000003</v>
      </c>
      <c r="I240" s="35">
        <v>5134.53</v>
      </c>
      <c r="J240" s="35">
        <v>2061.89</v>
      </c>
      <c r="K240" s="35">
        <v>3072.64</v>
      </c>
      <c r="L240" s="34">
        <v>0</v>
      </c>
    </row>
    <row r="241" spans="1:12" x14ac:dyDescent="0.25">
      <c r="A241" s="30" t="s">
        <v>157</v>
      </c>
      <c r="B241" s="30" t="s">
        <v>143</v>
      </c>
      <c r="C241" s="30" t="s">
        <v>137</v>
      </c>
      <c r="D241" s="34">
        <v>22</v>
      </c>
      <c r="E241" s="34">
        <v>36</v>
      </c>
      <c r="F241" s="35">
        <v>4489.74</v>
      </c>
      <c r="G241" s="35">
        <v>299.33</v>
      </c>
      <c r="H241" s="35">
        <v>761.6</v>
      </c>
      <c r="I241" s="35">
        <v>3428.81</v>
      </c>
      <c r="J241" s="35">
        <v>2297.34</v>
      </c>
      <c r="K241" s="35">
        <v>1131.47</v>
      </c>
      <c r="L241" s="34">
        <v>2</v>
      </c>
    </row>
    <row r="242" spans="1:12" x14ac:dyDescent="0.25">
      <c r="A242" s="30" t="s">
        <v>157</v>
      </c>
      <c r="B242" s="30" t="s">
        <v>143</v>
      </c>
      <c r="C242" s="30" t="s">
        <v>138</v>
      </c>
      <c r="D242" s="34">
        <v>51</v>
      </c>
      <c r="E242" s="34">
        <v>87</v>
      </c>
      <c r="F242" s="35">
        <v>9602.15</v>
      </c>
      <c r="G242" s="35">
        <v>577.86</v>
      </c>
      <c r="H242" s="35">
        <v>1636.32</v>
      </c>
      <c r="I242" s="35">
        <v>7387.97</v>
      </c>
      <c r="J242" s="35">
        <v>4619.5600000000004</v>
      </c>
      <c r="K242" s="35">
        <v>2768.41</v>
      </c>
      <c r="L242" s="34">
        <v>5</v>
      </c>
    </row>
    <row r="243" spans="1:12" x14ac:dyDescent="0.25">
      <c r="A243" s="30" t="s">
        <v>157</v>
      </c>
      <c r="B243" s="30" t="s">
        <v>143</v>
      </c>
      <c r="C243" s="30" t="s">
        <v>139</v>
      </c>
      <c r="D243" s="34">
        <v>40</v>
      </c>
      <c r="E243" s="34">
        <v>68</v>
      </c>
      <c r="F243" s="35">
        <v>21242.03</v>
      </c>
      <c r="G243" s="35">
        <v>221.62</v>
      </c>
      <c r="H243" s="35">
        <v>3587.66</v>
      </c>
      <c r="I243" s="35">
        <v>17432.75</v>
      </c>
      <c r="J243" s="35">
        <v>11553.55</v>
      </c>
      <c r="K243" s="35">
        <v>5879.2</v>
      </c>
      <c r="L243" s="34">
        <v>1</v>
      </c>
    </row>
    <row r="244" spans="1:12" x14ac:dyDescent="0.25">
      <c r="A244" s="30" t="s">
        <v>157</v>
      </c>
      <c r="B244" s="30" t="s">
        <v>143</v>
      </c>
      <c r="C244" s="30" t="s">
        <v>140</v>
      </c>
      <c r="D244" s="34">
        <v>55</v>
      </c>
      <c r="E244" s="34">
        <v>103</v>
      </c>
      <c r="F244" s="35">
        <v>19386.740000000002</v>
      </c>
      <c r="G244" s="35">
        <v>839.57</v>
      </c>
      <c r="H244" s="35">
        <v>3273.82</v>
      </c>
      <c r="I244" s="35">
        <v>15273.35</v>
      </c>
      <c r="J244" s="35">
        <v>7749.47</v>
      </c>
      <c r="K244" s="35">
        <v>7523.88</v>
      </c>
      <c r="L244" s="34">
        <v>4</v>
      </c>
    </row>
    <row r="245" spans="1:12" x14ac:dyDescent="0.25">
      <c r="A245" s="30" t="s">
        <v>158</v>
      </c>
      <c r="B245" s="30" t="s">
        <v>136</v>
      </c>
      <c r="C245" s="30" t="s">
        <v>137</v>
      </c>
      <c r="D245" s="34">
        <v>44</v>
      </c>
      <c r="E245" s="34">
        <v>78</v>
      </c>
      <c r="F245" s="35">
        <v>8995.31</v>
      </c>
      <c r="G245" s="35">
        <v>55.45</v>
      </c>
      <c r="H245" s="35">
        <v>361.88</v>
      </c>
      <c r="I245" s="35">
        <v>8577.98</v>
      </c>
      <c r="J245" s="35">
        <v>4692.96</v>
      </c>
      <c r="K245" s="35">
        <v>3885.02</v>
      </c>
      <c r="L245" s="34">
        <v>1</v>
      </c>
    </row>
    <row r="246" spans="1:12" x14ac:dyDescent="0.25">
      <c r="A246" s="30" t="s">
        <v>158</v>
      </c>
      <c r="B246" s="30" t="s">
        <v>136</v>
      </c>
      <c r="C246" s="30" t="s">
        <v>138</v>
      </c>
      <c r="D246" s="34">
        <v>66</v>
      </c>
      <c r="E246" s="34">
        <v>114</v>
      </c>
      <c r="F246" s="35">
        <v>11095.38</v>
      </c>
      <c r="G246" s="35">
        <v>329.96</v>
      </c>
      <c r="H246" s="35">
        <v>451.96</v>
      </c>
      <c r="I246" s="35">
        <v>10313.459999999999</v>
      </c>
      <c r="J246" s="35">
        <v>5368.04</v>
      </c>
      <c r="K246" s="35">
        <v>4945.42</v>
      </c>
      <c r="L246" s="34">
        <v>1</v>
      </c>
    </row>
    <row r="247" spans="1:12" x14ac:dyDescent="0.25">
      <c r="A247" s="30" t="s">
        <v>158</v>
      </c>
      <c r="B247" s="30" t="s">
        <v>136</v>
      </c>
      <c r="C247" s="30" t="s">
        <v>139</v>
      </c>
      <c r="D247" s="34">
        <v>60</v>
      </c>
      <c r="E247" s="34">
        <v>105</v>
      </c>
      <c r="F247" s="35">
        <v>30214.06</v>
      </c>
      <c r="G247" s="35">
        <v>444.71</v>
      </c>
      <c r="H247" s="35">
        <v>1218.99</v>
      </c>
      <c r="I247" s="35">
        <v>28550.36</v>
      </c>
      <c r="J247" s="35">
        <v>15872.32</v>
      </c>
      <c r="K247" s="35">
        <v>12678.04</v>
      </c>
      <c r="L247" s="34">
        <v>1</v>
      </c>
    </row>
    <row r="248" spans="1:12" x14ac:dyDescent="0.25">
      <c r="A248" s="30" t="s">
        <v>158</v>
      </c>
      <c r="B248" s="30" t="s">
        <v>136</v>
      </c>
      <c r="C248" s="30" t="s">
        <v>140</v>
      </c>
      <c r="D248" s="34">
        <v>77</v>
      </c>
      <c r="E248" s="34">
        <v>146</v>
      </c>
      <c r="F248" s="35">
        <v>25620.01</v>
      </c>
      <c r="G248" s="35">
        <v>399.43</v>
      </c>
      <c r="H248" s="35">
        <v>1026.68</v>
      </c>
      <c r="I248" s="35">
        <v>24193.9</v>
      </c>
      <c r="J248" s="35">
        <v>10082.120000000001</v>
      </c>
      <c r="K248" s="35">
        <v>14111.78</v>
      </c>
      <c r="L248" s="34">
        <v>2</v>
      </c>
    </row>
    <row r="249" spans="1:12" x14ac:dyDescent="0.25">
      <c r="A249" s="30" t="s">
        <v>158</v>
      </c>
      <c r="B249" s="30" t="s">
        <v>141</v>
      </c>
      <c r="C249" s="30" t="s">
        <v>137</v>
      </c>
      <c r="D249" s="34">
        <v>18</v>
      </c>
      <c r="E249" s="34">
        <v>31</v>
      </c>
      <c r="F249" s="35">
        <v>3658.64</v>
      </c>
      <c r="G249" s="35">
        <v>0</v>
      </c>
      <c r="H249" s="35">
        <v>442.19</v>
      </c>
      <c r="I249" s="35">
        <v>3216.45</v>
      </c>
      <c r="J249" s="35">
        <v>1912.76</v>
      </c>
      <c r="K249" s="35">
        <v>1303.69</v>
      </c>
      <c r="L249" s="34">
        <v>0</v>
      </c>
    </row>
    <row r="250" spans="1:12" x14ac:dyDescent="0.25">
      <c r="A250" s="30" t="s">
        <v>158</v>
      </c>
      <c r="B250" s="30" t="s">
        <v>141</v>
      </c>
      <c r="C250" s="30" t="s">
        <v>138</v>
      </c>
      <c r="D250" s="34">
        <v>28</v>
      </c>
      <c r="E250" s="34">
        <v>46</v>
      </c>
      <c r="F250" s="35">
        <v>4394.6899999999996</v>
      </c>
      <c r="G250" s="35">
        <v>307.27</v>
      </c>
      <c r="H250" s="35">
        <v>534.49</v>
      </c>
      <c r="I250" s="35">
        <v>3552.93</v>
      </c>
      <c r="J250" s="35">
        <v>2074.15</v>
      </c>
      <c r="K250" s="35">
        <v>1478.78</v>
      </c>
      <c r="L250" s="34">
        <v>3</v>
      </c>
    </row>
    <row r="251" spans="1:12" x14ac:dyDescent="0.25">
      <c r="A251" s="30" t="s">
        <v>158</v>
      </c>
      <c r="B251" s="30" t="s">
        <v>141</v>
      </c>
      <c r="C251" s="30" t="s">
        <v>139</v>
      </c>
      <c r="D251" s="34">
        <v>17</v>
      </c>
      <c r="E251" s="34">
        <v>29</v>
      </c>
      <c r="F251" s="35">
        <v>8663.8799999999992</v>
      </c>
      <c r="G251" s="35">
        <v>693.91</v>
      </c>
      <c r="H251" s="35">
        <v>1021.38</v>
      </c>
      <c r="I251" s="35">
        <v>6948.59</v>
      </c>
      <c r="J251" s="35">
        <v>4746.3599999999997</v>
      </c>
      <c r="K251" s="35">
        <v>2202.23</v>
      </c>
      <c r="L251" s="34">
        <v>1</v>
      </c>
    </row>
    <row r="252" spans="1:12" x14ac:dyDescent="0.25">
      <c r="A252" s="30" t="s">
        <v>158</v>
      </c>
      <c r="B252" s="30" t="s">
        <v>141</v>
      </c>
      <c r="C252" s="30" t="s">
        <v>140</v>
      </c>
      <c r="D252" s="34">
        <v>25</v>
      </c>
      <c r="E252" s="34">
        <v>53</v>
      </c>
      <c r="F252" s="35">
        <v>9868.77</v>
      </c>
      <c r="G252" s="35">
        <v>651.03</v>
      </c>
      <c r="H252" s="35">
        <v>1201.72</v>
      </c>
      <c r="I252" s="35">
        <v>8016.02</v>
      </c>
      <c r="J252" s="35">
        <v>3988.48</v>
      </c>
      <c r="K252" s="35">
        <v>4027.54</v>
      </c>
      <c r="L252" s="34">
        <v>2</v>
      </c>
    </row>
    <row r="253" spans="1:12" x14ac:dyDescent="0.25">
      <c r="A253" s="30" t="s">
        <v>158</v>
      </c>
      <c r="B253" s="30" t="s">
        <v>142</v>
      </c>
      <c r="C253" s="30" t="s">
        <v>137</v>
      </c>
      <c r="D253" s="34">
        <v>11</v>
      </c>
      <c r="E253" s="34">
        <v>25</v>
      </c>
      <c r="F253" s="35">
        <v>3664.25</v>
      </c>
      <c r="G253" s="35">
        <v>69.58</v>
      </c>
      <c r="H253" s="35">
        <v>1.76</v>
      </c>
      <c r="I253" s="35">
        <v>3592.91</v>
      </c>
      <c r="J253" s="35">
        <v>1892.86</v>
      </c>
      <c r="K253" s="35">
        <v>1700.05</v>
      </c>
      <c r="L253" s="34">
        <v>1</v>
      </c>
    </row>
    <row r="254" spans="1:12" x14ac:dyDescent="0.25">
      <c r="A254" s="30" t="s">
        <v>158</v>
      </c>
      <c r="B254" s="30" t="s">
        <v>142</v>
      </c>
      <c r="C254" s="30" t="s">
        <v>138</v>
      </c>
      <c r="D254" s="34">
        <v>22</v>
      </c>
      <c r="E254" s="34">
        <v>29</v>
      </c>
      <c r="F254" s="35">
        <v>3442.17</v>
      </c>
      <c r="G254" s="35">
        <v>96.83</v>
      </c>
      <c r="H254" s="35">
        <v>1.55</v>
      </c>
      <c r="I254" s="35">
        <v>3343.79</v>
      </c>
      <c r="J254" s="35">
        <v>1636.61</v>
      </c>
      <c r="K254" s="35">
        <v>1707.18</v>
      </c>
      <c r="L254" s="34">
        <v>1</v>
      </c>
    </row>
    <row r="255" spans="1:12" x14ac:dyDescent="0.25">
      <c r="A255" s="30" t="s">
        <v>158</v>
      </c>
      <c r="B255" s="30" t="s">
        <v>142</v>
      </c>
      <c r="C255" s="30" t="s">
        <v>139</v>
      </c>
      <c r="D255" s="34">
        <v>13</v>
      </c>
      <c r="E255" s="34">
        <v>21</v>
      </c>
      <c r="F255" s="35">
        <v>6078.71</v>
      </c>
      <c r="G255" s="35">
        <v>0</v>
      </c>
      <c r="H255" s="35">
        <v>19.39</v>
      </c>
      <c r="I255" s="35">
        <v>6059.32</v>
      </c>
      <c r="J255" s="35">
        <v>3252.95</v>
      </c>
      <c r="K255" s="35">
        <v>2806.37</v>
      </c>
      <c r="L255" s="34">
        <v>0</v>
      </c>
    </row>
    <row r="256" spans="1:12" x14ac:dyDescent="0.25">
      <c r="A256" s="30" t="s">
        <v>158</v>
      </c>
      <c r="B256" s="30" t="s">
        <v>142</v>
      </c>
      <c r="C256" s="30" t="s">
        <v>140</v>
      </c>
      <c r="D256" s="34">
        <v>18</v>
      </c>
      <c r="E256" s="34">
        <v>29</v>
      </c>
      <c r="F256" s="35">
        <v>5944.23</v>
      </c>
      <c r="G256" s="35">
        <v>383.07</v>
      </c>
      <c r="H256" s="35">
        <v>-1.85</v>
      </c>
      <c r="I256" s="35">
        <v>5563.01</v>
      </c>
      <c r="J256" s="35">
        <v>2339.27</v>
      </c>
      <c r="K256" s="35">
        <v>3223.74</v>
      </c>
      <c r="L256" s="34">
        <v>2</v>
      </c>
    </row>
    <row r="257" spans="1:12" x14ac:dyDescent="0.25">
      <c r="A257" s="30" t="s">
        <v>158</v>
      </c>
      <c r="B257" s="30" t="s">
        <v>143</v>
      </c>
      <c r="C257" s="30" t="s">
        <v>137</v>
      </c>
      <c r="D257" s="34">
        <v>30</v>
      </c>
      <c r="E257" s="34">
        <v>50</v>
      </c>
      <c r="F257" s="35">
        <v>7173.66</v>
      </c>
      <c r="G257" s="35">
        <v>369.33</v>
      </c>
      <c r="H257" s="35">
        <v>1212.18</v>
      </c>
      <c r="I257" s="35">
        <v>5592.15</v>
      </c>
      <c r="J257" s="35">
        <v>3730.28</v>
      </c>
      <c r="K257" s="35">
        <v>1861.87</v>
      </c>
      <c r="L257" s="34">
        <v>3</v>
      </c>
    </row>
    <row r="258" spans="1:12" x14ac:dyDescent="0.25">
      <c r="A258" s="30" t="s">
        <v>158</v>
      </c>
      <c r="B258" s="30" t="s">
        <v>143</v>
      </c>
      <c r="C258" s="30" t="s">
        <v>138</v>
      </c>
      <c r="D258" s="34">
        <v>34</v>
      </c>
      <c r="E258" s="34">
        <v>66</v>
      </c>
      <c r="F258" s="35">
        <v>6480.4</v>
      </c>
      <c r="G258" s="35">
        <v>162.9</v>
      </c>
      <c r="H258" s="35">
        <v>1100.76</v>
      </c>
      <c r="I258" s="35">
        <v>5216.74</v>
      </c>
      <c r="J258" s="35">
        <v>3117.05</v>
      </c>
      <c r="K258" s="35">
        <v>2099.69</v>
      </c>
      <c r="L258" s="34">
        <v>3</v>
      </c>
    </row>
    <row r="259" spans="1:12" x14ac:dyDescent="0.25">
      <c r="A259" s="30" t="s">
        <v>158</v>
      </c>
      <c r="B259" s="30" t="s">
        <v>143</v>
      </c>
      <c r="C259" s="30" t="s">
        <v>139</v>
      </c>
      <c r="D259" s="34">
        <v>30</v>
      </c>
      <c r="E259" s="34">
        <v>45</v>
      </c>
      <c r="F259" s="35">
        <v>14110.02</v>
      </c>
      <c r="G259" s="35">
        <v>641.44000000000005</v>
      </c>
      <c r="H259" s="35">
        <v>2406.35</v>
      </c>
      <c r="I259" s="35">
        <v>11062.23</v>
      </c>
      <c r="J259" s="35">
        <v>7317.26</v>
      </c>
      <c r="K259" s="35">
        <v>3744.97</v>
      </c>
      <c r="L259" s="34">
        <v>1</v>
      </c>
    </row>
    <row r="260" spans="1:12" x14ac:dyDescent="0.25">
      <c r="A260" s="30" t="s">
        <v>158</v>
      </c>
      <c r="B260" s="30" t="s">
        <v>143</v>
      </c>
      <c r="C260" s="30" t="s">
        <v>140</v>
      </c>
      <c r="D260" s="34">
        <v>42</v>
      </c>
      <c r="E260" s="34">
        <v>79</v>
      </c>
      <c r="F260" s="35">
        <v>15735</v>
      </c>
      <c r="G260" s="35">
        <v>1899.18</v>
      </c>
      <c r="H260" s="35">
        <v>2721.21</v>
      </c>
      <c r="I260" s="35">
        <v>11114.61</v>
      </c>
      <c r="J260" s="35">
        <v>6079.24</v>
      </c>
      <c r="K260" s="35">
        <v>5035.37</v>
      </c>
      <c r="L260" s="34">
        <v>6</v>
      </c>
    </row>
    <row r="261" spans="1:12" x14ac:dyDescent="0.25">
      <c r="A261" s="30" t="s">
        <v>159</v>
      </c>
      <c r="B261" s="30" t="s">
        <v>136</v>
      </c>
      <c r="C261" s="30" t="s">
        <v>137</v>
      </c>
      <c r="D261" s="34">
        <v>58</v>
      </c>
      <c r="E261" s="34">
        <v>116</v>
      </c>
      <c r="F261" s="35">
        <v>13482.27</v>
      </c>
      <c r="G261" s="35">
        <v>187.44</v>
      </c>
      <c r="H261" s="35">
        <v>538.27</v>
      </c>
      <c r="I261" s="35">
        <v>12756.56</v>
      </c>
      <c r="J261" s="35">
        <v>6903.98</v>
      </c>
      <c r="K261" s="35">
        <v>5852.58</v>
      </c>
      <c r="L261" s="34">
        <v>2</v>
      </c>
    </row>
    <row r="262" spans="1:12" x14ac:dyDescent="0.25">
      <c r="A262" s="30" t="s">
        <v>159</v>
      </c>
      <c r="B262" s="30" t="s">
        <v>136</v>
      </c>
      <c r="C262" s="30" t="s">
        <v>138</v>
      </c>
      <c r="D262" s="34">
        <v>81</v>
      </c>
      <c r="E262" s="34">
        <v>130</v>
      </c>
      <c r="F262" s="35">
        <v>12042.22</v>
      </c>
      <c r="G262" s="35">
        <v>498.6</v>
      </c>
      <c r="H262" s="35">
        <v>478.41</v>
      </c>
      <c r="I262" s="35">
        <v>11065.21</v>
      </c>
      <c r="J262" s="35">
        <v>5889.19</v>
      </c>
      <c r="K262" s="35">
        <v>5176.0200000000004</v>
      </c>
      <c r="L262" s="34">
        <v>4</v>
      </c>
    </row>
    <row r="263" spans="1:12" x14ac:dyDescent="0.25">
      <c r="A263" s="30" t="s">
        <v>159</v>
      </c>
      <c r="B263" s="30" t="s">
        <v>136</v>
      </c>
      <c r="C263" s="30" t="s">
        <v>139</v>
      </c>
      <c r="D263" s="34">
        <v>76</v>
      </c>
      <c r="E263" s="34">
        <v>119</v>
      </c>
      <c r="F263" s="35">
        <v>35962.31</v>
      </c>
      <c r="G263" s="35">
        <v>2592.19</v>
      </c>
      <c r="H263" s="35">
        <v>1458.07</v>
      </c>
      <c r="I263" s="35">
        <v>31912.05</v>
      </c>
      <c r="J263" s="35">
        <v>19389.71</v>
      </c>
      <c r="K263" s="35">
        <v>12522.34</v>
      </c>
      <c r="L263" s="34">
        <v>6</v>
      </c>
    </row>
    <row r="264" spans="1:12" x14ac:dyDescent="0.25">
      <c r="A264" s="30" t="s">
        <v>159</v>
      </c>
      <c r="B264" s="30" t="s">
        <v>136</v>
      </c>
      <c r="C264" s="30" t="s">
        <v>140</v>
      </c>
      <c r="D264" s="34">
        <v>112</v>
      </c>
      <c r="E264" s="34">
        <v>195</v>
      </c>
      <c r="F264" s="35">
        <v>36914.699999999997</v>
      </c>
      <c r="G264" s="35">
        <v>318.49</v>
      </c>
      <c r="H264" s="35">
        <v>1498.9</v>
      </c>
      <c r="I264" s="35">
        <v>35097.31</v>
      </c>
      <c r="J264" s="35">
        <v>14479.16</v>
      </c>
      <c r="K264" s="35">
        <v>20618.150000000001</v>
      </c>
      <c r="L264" s="34">
        <v>2</v>
      </c>
    </row>
    <row r="265" spans="1:12" x14ac:dyDescent="0.25">
      <c r="A265" s="30" t="s">
        <v>159</v>
      </c>
      <c r="B265" s="30" t="s">
        <v>141</v>
      </c>
      <c r="C265" s="30" t="s">
        <v>137</v>
      </c>
      <c r="D265" s="34">
        <v>33</v>
      </c>
      <c r="E265" s="34">
        <v>57</v>
      </c>
      <c r="F265" s="35">
        <v>7728.38</v>
      </c>
      <c r="G265" s="35">
        <v>100.35</v>
      </c>
      <c r="H265" s="35">
        <v>918.36</v>
      </c>
      <c r="I265" s="35">
        <v>6709.67</v>
      </c>
      <c r="J265" s="35">
        <v>4077.29</v>
      </c>
      <c r="K265" s="35">
        <v>2632.38</v>
      </c>
      <c r="L265" s="34">
        <v>1</v>
      </c>
    </row>
    <row r="266" spans="1:12" x14ac:dyDescent="0.25">
      <c r="A266" s="30" t="s">
        <v>159</v>
      </c>
      <c r="B266" s="30" t="s">
        <v>141</v>
      </c>
      <c r="C266" s="30" t="s">
        <v>138</v>
      </c>
      <c r="D266" s="34">
        <v>37</v>
      </c>
      <c r="E266" s="34">
        <v>65</v>
      </c>
      <c r="F266" s="35">
        <v>6439.6</v>
      </c>
      <c r="G266" s="35">
        <v>260.38</v>
      </c>
      <c r="H266" s="35">
        <v>779.44</v>
      </c>
      <c r="I266" s="35">
        <v>5399.78</v>
      </c>
      <c r="J266" s="35">
        <v>3119.49</v>
      </c>
      <c r="K266" s="35">
        <v>2280.29</v>
      </c>
      <c r="L266" s="34">
        <v>2</v>
      </c>
    </row>
    <row r="267" spans="1:12" x14ac:dyDescent="0.25">
      <c r="A267" s="30" t="s">
        <v>159</v>
      </c>
      <c r="B267" s="30" t="s">
        <v>141</v>
      </c>
      <c r="C267" s="30" t="s">
        <v>139</v>
      </c>
      <c r="D267" s="34">
        <v>20</v>
      </c>
      <c r="E267" s="34">
        <v>39</v>
      </c>
      <c r="F267" s="35">
        <v>11654.27</v>
      </c>
      <c r="G267" s="35">
        <v>0</v>
      </c>
      <c r="H267" s="35">
        <v>1402.14</v>
      </c>
      <c r="I267" s="35">
        <v>10252.129999999999</v>
      </c>
      <c r="J267" s="35">
        <v>6507.34</v>
      </c>
      <c r="K267" s="35">
        <v>3744.79</v>
      </c>
      <c r="L267" s="34">
        <v>0</v>
      </c>
    </row>
    <row r="268" spans="1:12" x14ac:dyDescent="0.25">
      <c r="A268" s="30" t="s">
        <v>159</v>
      </c>
      <c r="B268" s="30" t="s">
        <v>141</v>
      </c>
      <c r="C268" s="30" t="s">
        <v>140</v>
      </c>
      <c r="D268" s="34">
        <v>35</v>
      </c>
      <c r="E268" s="34">
        <v>52</v>
      </c>
      <c r="F268" s="35">
        <v>9327.4</v>
      </c>
      <c r="G268" s="35">
        <v>1140.58</v>
      </c>
      <c r="H268" s="35">
        <v>1114.51</v>
      </c>
      <c r="I268" s="35">
        <v>7072.31</v>
      </c>
      <c r="J268" s="35">
        <v>3795.98</v>
      </c>
      <c r="K268" s="35">
        <v>3276.33</v>
      </c>
      <c r="L268" s="34">
        <v>2</v>
      </c>
    </row>
    <row r="269" spans="1:12" x14ac:dyDescent="0.25">
      <c r="A269" s="30" t="s">
        <v>159</v>
      </c>
      <c r="B269" s="30" t="s">
        <v>142</v>
      </c>
      <c r="C269" s="30" t="s">
        <v>137</v>
      </c>
      <c r="D269" s="34">
        <v>14</v>
      </c>
      <c r="E269" s="34">
        <v>22</v>
      </c>
      <c r="F269" s="35">
        <v>2409.34</v>
      </c>
      <c r="G269" s="35">
        <v>0</v>
      </c>
      <c r="H269" s="35">
        <v>13.34</v>
      </c>
      <c r="I269" s="35">
        <v>2396</v>
      </c>
      <c r="J269" s="35">
        <v>1252.33</v>
      </c>
      <c r="K269" s="35">
        <v>1143.67</v>
      </c>
      <c r="L269" s="34">
        <v>0</v>
      </c>
    </row>
    <row r="270" spans="1:12" x14ac:dyDescent="0.25">
      <c r="A270" s="30" t="s">
        <v>159</v>
      </c>
      <c r="B270" s="30" t="s">
        <v>142</v>
      </c>
      <c r="C270" s="30" t="s">
        <v>138</v>
      </c>
      <c r="D270" s="34">
        <v>24</v>
      </c>
      <c r="E270" s="34">
        <v>34</v>
      </c>
      <c r="F270" s="35">
        <v>3138.39</v>
      </c>
      <c r="G270" s="35">
        <v>0</v>
      </c>
      <c r="H270" s="35">
        <v>2.0099999999999998</v>
      </c>
      <c r="I270" s="35">
        <v>3136.38</v>
      </c>
      <c r="J270" s="35">
        <v>1532.35</v>
      </c>
      <c r="K270" s="35">
        <v>1604.03</v>
      </c>
      <c r="L270" s="34">
        <v>0</v>
      </c>
    </row>
    <row r="271" spans="1:12" x14ac:dyDescent="0.25">
      <c r="A271" s="30" t="s">
        <v>159</v>
      </c>
      <c r="B271" s="30" t="s">
        <v>142</v>
      </c>
      <c r="C271" s="30" t="s">
        <v>139</v>
      </c>
      <c r="D271" s="34">
        <v>27</v>
      </c>
      <c r="E271" s="34">
        <v>52</v>
      </c>
      <c r="F271" s="35">
        <v>14108.17</v>
      </c>
      <c r="G271" s="35">
        <v>0</v>
      </c>
      <c r="H271" s="35">
        <v>-12.16</v>
      </c>
      <c r="I271" s="35">
        <v>14120.33</v>
      </c>
      <c r="J271" s="35">
        <v>7775.75</v>
      </c>
      <c r="K271" s="35">
        <v>6344.58</v>
      </c>
      <c r="L271" s="34">
        <v>0</v>
      </c>
    </row>
    <row r="272" spans="1:12" x14ac:dyDescent="0.25">
      <c r="A272" s="30" t="s">
        <v>159</v>
      </c>
      <c r="B272" s="30" t="s">
        <v>142</v>
      </c>
      <c r="C272" s="30" t="s">
        <v>140</v>
      </c>
      <c r="D272" s="34">
        <v>31</v>
      </c>
      <c r="E272" s="34">
        <v>51</v>
      </c>
      <c r="F272" s="35">
        <v>8989.07</v>
      </c>
      <c r="G272" s="35">
        <v>235.49</v>
      </c>
      <c r="H272" s="35">
        <v>-7.82</v>
      </c>
      <c r="I272" s="35">
        <v>8761.4</v>
      </c>
      <c r="J272" s="35">
        <v>3533.08</v>
      </c>
      <c r="K272" s="35">
        <v>5228.32</v>
      </c>
      <c r="L272" s="34">
        <v>1</v>
      </c>
    </row>
    <row r="273" spans="1:12" x14ac:dyDescent="0.25">
      <c r="A273" s="30" t="s">
        <v>159</v>
      </c>
      <c r="B273" s="30" t="s">
        <v>143</v>
      </c>
      <c r="C273" s="30" t="s">
        <v>137</v>
      </c>
      <c r="D273" s="34">
        <v>34</v>
      </c>
      <c r="E273" s="34">
        <v>63</v>
      </c>
      <c r="F273" s="35">
        <v>8565.02</v>
      </c>
      <c r="G273" s="35">
        <v>544.41</v>
      </c>
      <c r="H273" s="35">
        <v>1451.7</v>
      </c>
      <c r="I273" s="35">
        <v>6568.91</v>
      </c>
      <c r="J273" s="35">
        <v>4457.37</v>
      </c>
      <c r="K273" s="35">
        <v>2111.54</v>
      </c>
      <c r="L273" s="34">
        <v>1</v>
      </c>
    </row>
    <row r="274" spans="1:12" x14ac:dyDescent="0.25">
      <c r="A274" s="30" t="s">
        <v>159</v>
      </c>
      <c r="B274" s="30" t="s">
        <v>143</v>
      </c>
      <c r="C274" s="30" t="s">
        <v>138</v>
      </c>
      <c r="D274" s="34">
        <v>54</v>
      </c>
      <c r="E274" s="34">
        <v>83</v>
      </c>
      <c r="F274" s="35">
        <v>7901.72</v>
      </c>
      <c r="G274" s="35">
        <v>166.04</v>
      </c>
      <c r="H274" s="35">
        <v>1345.23</v>
      </c>
      <c r="I274" s="35">
        <v>6390.45</v>
      </c>
      <c r="J274" s="35">
        <v>3825.18</v>
      </c>
      <c r="K274" s="35">
        <v>2565.27</v>
      </c>
      <c r="L274" s="34">
        <v>1</v>
      </c>
    </row>
    <row r="275" spans="1:12" x14ac:dyDescent="0.25">
      <c r="A275" s="30" t="s">
        <v>159</v>
      </c>
      <c r="B275" s="30" t="s">
        <v>143</v>
      </c>
      <c r="C275" s="30" t="s">
        <v>139</v>
      </c>
      <c r="D275" s="34">
        <v>59</v>
      </c>
      <c r="E275" s="34">
        <v>110</v>
      </c>
      <c r="F275" s="35">
        <v>35592.36</v>
      </c>
      <c r="G275" s="35">
        <v>2437.61</v>
      </c>
      <c r="H275" s="35">
        <v>6091.29</v>
      </c>
      <c r="I275" s="35">
        <v>27063.46</v>
      </c>
      <c r="J275" s="35">
        <v>18949.41</v>
      </c>
      <c r="K275" s="35">
        <v>8114.05</v>
      </c>
      <c r="L275" s="34">
        <v>4</v>
      </c>
    </row>
    <row r="276" spans="1:12" x14ac:dyDescent="0.25">
      <c r="A276" s="30" t="s">
        <v>159</v>
      </c>
      <c r="B276" s="30" t="s">
        <v>143</v>
      </c>
      <c r="C276" s="30" t="s">
        <v>140</v>
      </c>
      <c r="D276" s="34">
        <v>71</v>
      </c>
      <c r="E276" s="34">
        <v>134</v>
      </c>
      <c r="F276" s="35">
        <v>26307.57</v>
      </c>
      <c r="G276" s="35">
        <v>1508.32</v>
      </c>
      <c r="H276" s="35">
        <v>4489.46</v>
      </c>
      <c r="I276" s="35">
        <v>20309.79</v>
      </c>
      <c r="J276" s="35">
        <v>10494.56</v>
      </c>
      <c r="K276" s="35">
        <v>9815.23</v>
      </c>
      <c r="L276" s="34">
        <v>6</v>
      </c>
    </row>
    <row r="277" spans="1:12" x14ac:dyDescent="0.25">
      <c r="A277" s="30" t="s">
        <v>160</v>
      </c>
      <c r="B277" s="30" t="s">
        <v>136</v>
      </c>
      <c r="C277" s="30" t="s">
        <v>137</v>
      </c>
      <c r="D277" s="34">
        <v>52</v>
      </c>
      <c r="E277" s="34">
        <v>101</v>
      </c>
      <c r="F277" s="35">
        <v>12849.94</v>
      </c>
      <c r="G277" s="35">
        <v>0</v>
      </c>
      <c r="H277" s="35">
        <v>497.8</v>
      </c>
      <c r="I277" s="35">
        <v>12352.14</v>
      </c>
      <c r="J277" s="35">
        <v>6635.52</v>
      </c>
      <c r="K277" s="35">
        <v>5716.62</v>
      </c>
      <c r="L277" s="34">
        <v>0</v>
      </c>
    </row>
    <row r="278" spans="1:12" x14ac:dyDescent="0.25">
      <c r="A278" s="30" t="s">
        <v>160</v>
      </c>
      <c r="B278" s="30" t="s">
        <v>136</v>
      </c>
      <c r="C278" s="30" t="s">
        <v>138</v>
      </c>
      <c r="D278" s="34">
        <v>89</v>
      </c>
      <c r="E278" s="34">
        <v>174</v>
      </c>
      <c r="F278" s="35">
        <v>16448.099999999999</v>
      </c>
      <c r="G278" s="35">
        <v>978.41</v>
      </c>
      <c r="H278" s="35">
        <v>676.4</v>
      </c>
      <c r="I278" s="35">
        <v>14793.29</v>
      </c>
      <c r="J278" s="35">
        <v>8069.83</v>
      </c>
      <c r="K278" s="35">
        <v>6723.46</v>
      </c>
      <c r="L278" s="34">
        <v>3</v>
      </c>
    </row>
    <row r="279" spans="1:12" x14ac:dyDescent="0.25">
      <c r="A279" s="30" t="s">
        <v>160</v>
      </c>
      <c r="B279" s="30" t="s">
        <v>136</v>
      </c>
      <c r="C279" s="30" t="s">
        <v>139</v>
      </c>
      <c r="D279" s="34">
        <v>61</v>
      </c>
      <c r="E279" s="34">
        <v>110</v>
      </c>
      <c r="F279" s="35">
        <v>35322.14</v>
      </c>
      <c r="G279" s="35">
        <v>762.74</v>
      </c>
      <c r="H279" s="35">
        <v>1348.96</v>
      </c>
      <c r="I279" s="35">
        <v>33210.44</v>
      </c>
      <c r="J279" s="35">
        <v>18988.61</v>
      </c>
      <c r="K279" s="35">
        <v>14221.83</v>
      </c>
      <c r="L279" s="34">
        <v>1</v>
      </c>
    </row>
    <row r="280" spans="1:12" x14ac:dyDescent="0.25">
      <c r="A280" s="30" t="s">
        <v>160</v>
      </c>
      <c r="B280" s="30" t="s">
        <v>136</v>
      </c>
      <c r="C280" s="30" t="s">
        <v>140</v>
      </c>
      <c r="D280" s="34">
        <v>91</v>
      </c>
      <c r="E280" s="34">
        <v>152</v>
      </c>
      <c r="F280" s="35">
        <v>27442.92</v>
      </c>
      <c r="G280" s="35">
        <v>2137.5700000000002</v>
      </c>
      <c r="H280" s="35">
        <v>1100.5999999999999</v>
      </c>
      <c r="I280" s="35">
        <v>24204.75</v>
      </c>
      <c r="J280" s="35">
        <v>10918.77</v>
      </c>
      <c r="K280" s="35">
        <v>13285.98</v>
      </c>
      <c r="L280" s="34">
        <v>6</v>
      </c>
    </row>
    <row r="281" spans="1:12" x14ac:dyDescent="0.25">
      <c r="A281" s="30" t="s">
        <v>160</v>
      </c>
      <c r="B281" s="30" t="s">
        <v>141</v>
      </c>
      <c r="C281" s="30" t="s">
        <v>137</v>
      </c>
      <c r="D281" s="34">
        <v>19</v>
      </c>
      <c r="E281" s="34">
        <v>35</v>
      </c>
      <c r="F281" s="35">
        <v>4896.6499999999996</v>
      </c>
      <c r="G281" s="35">
        <v>127.26</v>
      </c>
      <c r="H281" s="35">
        <v>591.82000000000005</v>
      </c>
      <c r="I281" s="35">
        <v>4177.57</v>
      </c>
      <c r="J281" s="35">
        <v>2561.29</v>
      </c>
      <c r="K281" s="35">
        <v>1616.28</v>
      </c>
      <c r="L281" s="34">
        <v>1</v>
      </c>
    </row>
    <row r="282" spans="1:12" x14ac:dyDescent="0.25">
      <c r="A282" s="30" t="s">
        <v>160</v>
      </c>
      <c r="B282" s="30" t="s">
        <v>141</v>
      </c>
      <c r="C282" s="30" t="s">
        <v>138</v>
      </c>
      <c r="D282" s="34">
        <v>30</v>
      </c>
      <c r="E282" s="34">
        <v>53</v>
      </c>
      <c r="F282" s="35">
        <v>4730.37</v>
      </c>
      <c r="G282" s="35">
        <v>258.94</v>
      </c>
      <c r="H282" s="35">
        <v>577.99</v>
      </c>
      <c r="I282" s="35">
        <v>3893.44</v>
      </c>
      <c r="J282" s="35">
        <v>2274.81</v>
      </c>
      <c r="K282" s="35">
        <v>1618.63</v>
      </c>
      <c r="L282" s="34">
        <v>2</v>
      </c>
    </row>
    <row r="283" spans="1:12" x14ac:dyDescent="0.25">
      <c r="A283" s="30" t="s">
        <v>160</v>
      </c>
      <c r="B283" s="30" t="s">
        <v>141</v>
      </c>
      <c r="C283" s="30" t="s">
        <v>139</v>
      </c>
      <c r="D283" s="34">
        <v>25</v>
      </c>
      <c r="E283" s="34">
        <v>44</v>
      </c>
      <c r="F283" s="35">
        <v>13371.02</v>
      </c>
      <c r="G283" s="35">
        <v>296.91000000000003</v>
      </c>
      <c r="H283" s="35">
        <v>1608.78</v>
      </c>
      <c r="I283" s="35">
        <v>11465.33</v>
      </c>
      <c r="J283" s="35">
        <v>7200.03</v>
      </c>
      <c r="K283" s="35">
        <v>4265.3</v>
      </c>
      <c r="L283" s="34">
        <v>1</v>
      </c>
    </row>
    <row r="284" spans="1:12" x14ac:dyDescent="0.25">
      <c r="A284" s="30" t="s">
        <v>160</v>
      </c>
      <c r="B284" s="30" t="s">
        <v>141</v>
      </c>
      <c r="C284" s="30" t="s">
        <v>140</v>
      </c>
      <c r="D284" s="34">
        <v>41</v>
      </c>
      <c r="E284" s="34">
        <v>71</v>
      </c>
      <c r="F284" s="35">
        <v>13961.85</v>
      </c>
      <c r="G284" s="35">
        <v>1061.03</v>
      </c>
      <c r="H284" s="35">
        <v>1678.36</v>
      </c>
      <c r="I284" s="35">
        <v>11222.46</v>
      </c>
      <c r="J284" s="35">
        <v>5479.42</v>
      </c>
      <c r="K284" s="35">
        <v>5743.04</v>
      </c>
      <c r="L284" s="34">
        <v>4</v>
      </c>
    </row>
    <row r="285" spans="1:12" x14ac:dyDescent="0.25">
      <c r="A285" s="30" t="s">
        <v>160</v>
      </c>
      <c r="B285" s="30" t="s">
        <v>142</v>
      </c>
      <c r="C285" s="30" t="s">
        <v>137</v>
      </c>
      <c r="D285" s="34">
        <v>14</v>
      </c>
      <c r="E285" s="34">
        <v>25</v>
      </c>
      <c r="F285" s="35">
        <v>2635.66</v>
      </c>
      <c r="G285" s="35">
        <v>0</v>
      </c>
      <c r="H285" s="35">
        <v>-5.49</v>
      </c>
      <c r="I285" s="35">
        <v>2641.15</v>
      </c>
      <c r="J285" s="35">
        <v>1431.27</v>
      </c>
      <c r="K285" s="35">
        <v>1209.8800000000001</v>
      </c>
      <c r="L285" s="34">
        <v>0</v>
      </c>
    </row>
    <row r="286" spans="1:12" x14ac:dyDescent="0.25">
      <c r="A286" s="30" t="s">
        <v>160</v>
      </c>
      <c r="B286" s="30" t="s">
        <v>142</v>
      </c>
      <c r="C286" s="30" t="s">
        <v>138</v>
      </c>
      <c r="D286" s="34">
        <v>22</v>
      </c>
      <c r="E286" s="34">
        <v>43</v>
      </c>
      <c r="F286" s="35">
        <v>4273.46</v>
      </c>
      <c r="G286" s="35">
        <v>687.42</v>
      </c>
      <c r="H286" s="35">
        <v>5.78</v>
      </c>
      <c r="I286" s="35">
        <v>3580.26</v>
      </c>
      <c r="J286" s="35">
        <v>2052.56</v>
      </c>
      <c r="K286" s="35">
        <v>1527.7</v>
      </c>
      <c r="L286" s="34">
        <v>2</v>
      </c>
    </row>
    <row r="287" spans="1:12" x14ac:dyDescent="0.25">
      <c r="A287" s="30" t="s">
        <v>160</v>
      </c>
      <c r="B287" s="30" t="s">
        <v>142</v>
      </c>
      <c r="C287" s="30" t="s">
        <v>139</v>
      </c>
      <c r="D287" s="34">
        <v>18</v>
      </c>
      <c r="E287" s="34">
        <v>31</v>
      </c>
      <c r="F287" s="35">
        <v>10637.52</v>
      </c>
      <c r="G287" s="35">
        <v>0</v>
      </c>
      <c r="H287" s="35">
        <v>-7.42</v>
      </c>
      <c r="I287" s="35">
        <v>10644.94</v>
      </c>
      <c r="J287" s="35">
        <v>5541.09</v>
      </c>
      <c r="K287" s="35">
        <v>5103.8500000000004</v>
      </c>
      <c r="L287" s="34">
        <v>0</v>
      </c>
    </row>
    <row r="288" spans="1:12" x14ac:dyDescent="0.25">
      <c r="A288" s="30" t="s">
        <v>160</v>
      </c>
      <c r="B288" s="30" t="s">
        <v>142</v>
      </c>
      <c r="C288" s="30" t="s">
        <v>140</v>
      </c>
      <c r="D288" s="34">
        <v>23</v>
      </c>
      <c r="E288" s="34">
        <v>44</v>
      </c>
      <c r="F288" s="35">
        <v>9034.82</v>
      </c>
      <c r="G288" s="35">
        <v>168.29</v>
      </c>
      <c r="H288" s="35">
        <v>-17.04</v>
      </c>
      <c r="I288" s="35">
        <v>8883.57</v>
      </c>
      <c r="J288" s="35">
        <v>3519.2</v>
      </c>
      <c r="K288" s="35">
        <v>5364.37</v>
      </c>
      <c r="L288" s="34">
        <v>1</v>
      </c>
    </row>
    <row r="289" spans="1:12" x14ac:dyDescent="0.25">
      <c r="A289" s="30" t="s">
        <v>160</v>
      </c>
      <c r="B289" s="30" t="s">
        <v>143</v>
      </c>
      <c r="C289" s="30" t="s">
        <v>137</v>
      </c>
      <c r="D289" s="34">
        <v>46</v>
      </c>
      <c r="E289" s="34">
        <v>78</v>
      </c>
      <c r="F289" s="35">
        <v>10193.709999999999</v>
      </c>
      <c r="G289" s="35">
        <v>522.53</v>
      </c>
      <c r="H289" s="35">
        <v>1720.72</v>
      </c>
      <c r="I289" s="35">
        <v>7950.46</v>
      </c>
      <c r="J289" s="35">
        <v>5355.29</v>
      </c>
      <c r="K289" s="35">
        <v>2595.17</v>
      </c>
      <c r="L289" s="34">
        <v>3</v>
      </c>
    </row>
    <row r="290" spans="1:12" x14ac:dyDescent="0.25">
      <c r="A290" s="30" t="s">
        <v>160</v>
      </c>
      <c r="B290" s="30" t="s">
        <v>143</v>
      </c>
      <c r="C290" s="30" t="s">
        <v>138</v>
      </c>
      <c r="D290" s="34">
        <v>55</v>
      </c>
      <c r="E290" s="34">
        <v>89</v>
      </c>
      <c r="F290" s="35">
        <v>8709.77</v>
      </c>
      <c r="G290" s="35">
        <v>736.14</v>
      </c>
      <c r="H290" s="35">
        <v>1480.77</v>
      </c>
      <c r="I290" s="35">
        <v>6492.86</v>
      </c>
      <c r="J290" s="35">
        <v>4150.13</v>
      </c>
      <c r="K290" s="35">
        <v>2342.73</v>
      </c>
      <c r="L290" s="34">
        <v>3</v>
      </c>
    </row>
    <row r="291" spans="1:12" x14ac:dyDescent="0.25">
      <c r="A291" s="30" t="s">
        <v>160</v>
      </c>
      <c r="B291" s="30" t="s">
        <v>143</v>
      </c>
      <c r="C291" s="30" t="s">
        <v>139</v>
      </c>
      <c r="D291" s="34">
        <v>42</v>
      </c>
      <c r="E291" s="34">
        <v>81</v>
      </c>
      <c r="F291" s="35">
        <v>23680.25</v>
      </c>
      <c r="G291" s="35">
        <v>980.64</v>
      </c>
      <c r="H291" s="35">
        <v>4027.82</v>
      </c>
      <c r="I291" s="35">
        <v>18671.79</v>
      </c>
      <c r="J291" s="35">
        <v>12512.26</v>
      </c>
      <c r="K291" s="35">
        <v>6159.53</v>
      </c>
      <c r="L291" s="34">
        <v>4</v>
      </c>
    </row>
    <row r="292" spans="1:12" x14ac:dyDescent="0.25">
      <c r="A292" s="30" t="s">
        <v>160</v>
      </c>
      <c r="B292" s="30" t="s">
        <v>143</v>
      </c>
      <c r="C292" s="30" t="s">
        <v>140</v>
      </c>
      <c r="D292" s="34">
        <v>47</v>
      </c>
      <c r="E292" s="34">
        <v>74</v>
      </c>
      <c r="F292" s="35">
        <v>13947.1</v>
      </c>
      <c r="G292" s="35">
        <v>1154.29</v>
      </c>
      <c r="H292" s="35">
        <v>2384.39</v>
      </c>
      <c r="I292" s="35">
        <v>10408.42</v>
      </c>
      <c r="J292" s="35">
        <v>5557.28</v>
      </c>
      <c r="K292" s="35">
        <v>4851.1400000000003</v>
      </c>
      <c r="L292" s="34">
        <v>4</v>
      </c>
    </row>
    <row r="293" spans="1:12" x14ac:dyDescent="0.25">
      <c r="A293" s="30" t="s">
        <v>161</v>
      </c>
      <c r="B293" s="30" t="s">
        <v>136</v>
      </c>
      <c r="C293" s="30" t="s">
        <v>137</v>
      </c>
      <c r="D293" s="34">
        <v>42</v>
      </c>
      <c r="E293" s="34">
        <v>81</v>
      </c>
      <c r="F293" s="35">
        <v>11133.71</v>
      </c>
      <c r="G293" s="35">
        <v>636.55999999999995</v>
      </c>
      <c r="H293" s="35">
        <v>458.13</v>
      </c>
      <c r="I293" s="35">
        <v>10039.02</v>
      </c>
      <c r="J293" s="35">
        <v>5813.75</v>
      </c>
      <c r="K293" s="35">
        <v>4225.2700000000004</v>
      </c>
      <c r="L293" s="34">
        <v>1</v>
      </c>
    </row>
    <row r="294" spans="1:12" x14ac:dyDescent="0.25">
      <c r="A294" s="30" t="s">
        <v>161</v>
      </c>
      <c r="B294" s="30" t="s">
        <v>136</v>
      </c>
      <c r="C294" s="30" t="s">
        <v>138</v>
      </c>
      <c r="D294" s="34">
        <v>61</v>
      </c>
      <c r="E294" s="34">
        <v>111</v>
      </c>
      <c r="F294" s="35">
        <v>10532.6</v>
      </c>
      <c r="G294" s="35">
        <v>132.69</v>
      </c>
      <c r="H294" s="35">
        <v>398.64</v>
      </c>
      <c r="I294" s="35">
        <v>10001.27</v>
      </c>
      <c r="J294" s="35">
        <v>5098.28</v>
      </c>
      <c r="K294" s="35">
        <v>4902.99</v>
      </c>
      <c r="L294" s="34">
        <v>1</v>
      </c>
    </row>
    <row r="295" spans="1:12" x14ac:dyDescent="0.25">
      <c r="A295" s="30" t="s">
        <v>161</v>
      </c>
      <c r="B295" s="30" t="s">
        <v>136</v>
      </c>
      <c r="C295" s="30" t="s">
        <v>139</v>
      </c>
      <c r="D295" s="34">
        <v>58</v>
      </c>
      <c r="E295" s="34">
        <v>103</v>
      </c>
      <c r="F295" s="35">
        <v>32085.26</v>
      </c>
      <c r="G295" s="35">
        <v>817.56</v>
      </c>
      <c r="H295" s="35">
        <v>1260.8599999999999</v>
      </c>
      <c r="I295" s="35">
        <v>30006.84</v>
      </c>
      <c r="J295" s="35">
        <v>16968.39</v>
      </c>
      <c r="K295" s="35">
        <v>13038.45</v>
      </c>
      <c r="L295" s="34">
        <v>2</v>
      </c>
    </row>
    <row r="296" spans="1:12" x14ac:dyDescent="0.25">
      <c r="A296" s="30" t="s">
        <v>161</v>
      </c>
      <c r="B296" s="30" t="s">
        <v>136</v>
      </c>
      <c r="C296" s="30" t="s">
        <v>140</v>
      </c>
      <c r="D296" s="34">
        <v>54</v>
      </c>
      <c r="E296" s="34">
        <v>95</v>
      </c>
      <c r="F296" s="35">
        <v>17090.22</v>
      </c>
      <c r="G296" s="35">
        <v>1085.68</v>
      </c>
      <c r="H296" s="35">
        <v>671.43</v>
      </c>
      <c r="I296" s="35">
        <v>15333.11</v>
      </c>
      <c r="J296" s="35">
        <v>6743.86</v>
      </c>
      <c r="K296" s="35">
        <v>8589.25</v>
      </c>
      <c r="L296" s="34">
        <v>3</v>
      </c>
    </row>
    <row r="297" spans="1:12" x14ac:dyDescent="0.25">
      <c r="A297" s="30" t="s">
        <v>161</v>
      </c>
      <c r="B297" s="30" t="s">
        <v>141</v>
      </c>
      <c r="C297" s="30" t="s">
        <v>137</v>
      </c>
      <c r="D297" s="34">
        <v>19</v>
      </c>
      <c r="E297" s="34">
        <v>33</v>
      </c>
      <c r="F297" s="35">
        <v>4117.95</v>
      </c>
      <c r="G297" s="35">
        <v>0</v>
      </c>
      <c r="H297" s="35">
        <v>488.81</v>
      </c>
      <c r="I297" s="35">
        <v>3629.14</v>
      </c>
      <c r="J297" s="35">
        <v>2098.11</v>
      </c>
      <c r="K297" s="35">
        <v>1531.03</v>
      </c>
      <c r="L297" s="34">
        <v>0</v>
      </c>
    </row>
    <row r="298" spans="1:12" x14ac:dyDescent="0.25">
      <c r="A298" s="30" t="s">
        <v>161</v>
      </c>
      <c r="B298" s="30" t="s">
        <v>141</v>
      </c>
      <c r="C298" s="30" t="s">
        <v>138</v>
      </c>
      <c r="D298" s="34">
        <v>23</v>
      </c>
      <c r="E298" s="34">
        <v>40</v>
      </c>
      <c r="F298" s="35">
        <v>3925.18</v>
      </c>
      <c r="G298" s="35">
        <v>0</v>
      </c>
      <c r="H298" s="35">
        <v>472.94</v>
      </c>
      <c r="I298" s="35">
        <v>3452.24</v>
      </c>
      <c r="J298" s="35">
        <v>1817.48</v>
      </c>
      <c r="K298" s="35">
        <v>1634.76</v>
      </c>
      <c r="L298" s="34">
        <v>0</v>
      </c>
    </row>
    <row r="299" spans="1:12" x14ac:dyDescent="0.25">
      <c r="A299" s="30" t="s">
        <v>161</v>
      </c>
      <c r="B299" s="30" t="s">
        <v>141</v>
      </c>
      <c r="C299" s="30" t="s">
        <v>139</v>
      </c>
      <c r="D299" s="34">
        <v>25</v>
      </c>
      <c r="E299" s="34">
        <v>43</v>
      </c>
      <c r="F299" s="35">
        <v>14228.75</v>
      </c>
      <c r="G299" s="35">
        <v>564.79999999999995</v>
      </c>
      <c r="H299" s="35">
        <v>1687.21</v>
      </c>
      <c r="I299" s="35">
        <v>11976.74</v>
      </c>
      <c r="J299" s="35">
        <v>7846.31</v>
      </c>
      <c r="K299" s="35">
        <v>4130.43</v>
      </c>
      <c r="L299" s="34">
        <v>1</v>
      </c>
    </row>
    <row r="300" spans="1:12" x14ac:dyDescent="0.25">
      <c r="A300" s="30" t="s">
        <v>161</v>
      </c>
      <c r="B300" s="30" t="s">
        <v>141</v>
      </c>
      <c r="C300" s="30" t="s">
        <v>140</v>
      </c>
      <c r="D300" s="34">
        <v>22</v>
      </c>
      <c r="E300" s="34">
        <v>39</v>
      </c>
      <c r="F300" s="35">
        <v>6969.39</v>
      </c>
      <c r="G300" s="35">
        <v>0</v>
      </c>
      <c r="H300" s="35">
        <v>831.47</v>
      </c>
      <c r="I300" s="35">
        <v>6137.92</v>
      </c>
      <c r="J300" s="35">
        <v>2751.46</v>
      </c>
      <c r="K300" s="35">
        <v>3386.46</v>
      </c>
      <c r="L300" s="34">
        <v>0</v>
      </c>
    </row>
    <row r="301" spans="1:12" x14ac:dyDescent="0.25">
      <c r="A301" s="30" t="s">
        <v>161</v>
      </c>
      <c r="B301" s="30" t="s">
        <v>142</v>
      </c>
      <c r="C301" s="30" t="s">
        <v>137</v>
      </c>
      <c r="D301" s="34">
        <v>8</v>
      </c>
      <c r="E301" s="34">
        <v>12</v>
      </c>
      <c r="F301" s="35">
        <v>1697.47</v>
      </c>
      <c r="G301" s="35">
        <v>0</v>
      </c>
      <c r="H301" s="35">
        <v>-6.52</v>
      </c>
      <c r="I301" s="35">
        <v>1703.99</v>
      </c>
      <c r="J301" s="35">
        <v>880.95</v>
      </c>
      <c r="K301" s="35">
        <v>823.04</v>
      </c>
      <c r="L301" s="34">
        <v>0</v>
      </c>
    </row>
    <row r="302" spans="1:12" x14ac:dyDescent="0.25">
      <c r="A302" s="30" t="s">
        <v>161</v>
      </c>
      <c r="B302" s="30" t="s">
        <v>142</v>
      </c>
      <c r="C302" s="30" t="s">
        <v>138</v>
      </c>
      <c r="D302" s="34">
        <v>19</v>
      </c>
      <c r="E302" s="34">
        <v>37</v>
      </c>
      <c r="F302" s="35">
        <v>3336.73</v>
      </c>
      <c r="G302" s="35">
        <v>0</v>
      </c>
      <c r="H302" s="35">
        <v>9.73</v>
      </c>
      <c r="I302" s="35">
        <v>3327</v>
      </c>
      <c r="J302" s="35">
        <v>1631.7</v>
      </c>
      <c r="K302" s="35">
        <v>1695.3</v>
      </c>
      <c r="L302" s="34">
        <v>0</v>
      </c>
    </row>
    <row r="303" spans="1:12" x14ac:dyDescent="0.25">
      <c r="A303" s="30" t="s">
        <v>161</v>
      </c>
      <c r="B303" s="30" t="s">
        <v>142</v>
      </c>
      <c r="C303" s="30" t="s">
        <v>139</v>
      </c>
      <c r="D303" s="34">
        <v>14</v>
      </c>
      <c r="E303" s="34">
        <v>32</v>
      </c>
      <c r="F303" s="35">
        <v>10579.96</v>
      </c>
      <c r="G303" s="35">
        <v>396.96</v>
      </c>
      <c r="H303" s="35">
        <v>-23.48</v>
      </c>
      <c r="I303" s="35">
        <v>10206.48</v>
      </c>
      <c r="J303" s="35">
        <v>5580.09</v>
      </c>
      <c r="K303" s="35">
        <v>4626.3900000000003</v>
      </c>
      <c r="L303" s="34">
        <v>1</v>
      </c>
    </row>
    <row r="304" spans="1:12" x14ac:dyDescent="0.25">
      <c r="A304" s="30" t="s">
        <v>161</v>
      </c>
      <c r="B304" s="30" t="s">
        <v>142</v>
      </c>
      <c r="C304" s="30" t="s">
        <v>140</v>
      </c>
      <c r="D304" s="34">
        <v>16</v>
      </c>
      <c r="E304" s="34">
        <v>24</v>
      </c>
      <c r="F304" s="35">
        <v>4582.1400000000003</v>
      </c>
      <c r="G304" s="35">
        <v>0</v>
      </c>
      <c r="H304" s="35">
        <v>-7.93</v>
      </c>
      <c r="I304" s="35">
        <v>4590.07</v>
      </c>
      <c r="J304" s="35">
        <v>1778.21</v>
      </c>
      <c r="K304" s="35">
        <v>2811.86</v>
      </c>
      <c r="L304" s="34">
        <v>0</v>
      </c>
    </row>
    <row r="305" spans="1:12" x14ac:dyDescent="0.25">
      <c r="A305" s="30" t="s">
        <v>161</v>
      </c>
      <c r="B305" s="30" t="s">
        <v>143</v>
      </c>
      <c r="C305" s="30" t="s">
        <v>137</v>
      </c>
      <c r="D305" s="34">
        <v>23</v>
      </c>
      <c r="E305" s="34">
        <v>37</v>
      </c>
      <c r="F305" s="35">
        <v>5134.8599999999997</v>
      </c>
      <c r="G305" s="35">
        <v>554.39</v>
      </c>
      <c r="H305" s="35">
        <v>872.41</v>
      </c>
      <c r="I305" s="35">
        <v>3708.06</v>
      </c>
      <c r="J305" s="35">
        <v>2748.65</v>
      </c>
      <c r="K305" s="35">
        <v>959.41</v>
      </c>
      <c r="L305" s="34">
        <v>2</v>
      </c>
    </row>
    <row r="306" spans="1:12" x14ac:dyDescent="0.25">
      <c r="A306" s="30" t="s">
        <v>161</v>
      </c>
      <c r="B306" s="30" t="s">
        <v>143</v>
      </c>
      <c r="C306" s="30" t="s">
        <v>138</v>
      </c>
      <c r="D306" s="34">
        <v>51</v>
      </c>
      <c r="E306" s="34">
        <v>100</v>
      </c>
      <c r="F306" s="35">
        <v>10401.5</v>
      </c>
      <c r="G306" s="35">
        <v>1310.73</v>
      </c>
      <c r="H306" s="35">
        <v>1750.21</v>
      </c>
      <c r="I306" s="35">
        <v>7340.56</v>
      </c>
      <c r="J306" s="35">
        <v>4941.1899999999996</v>
      </c>
      <c r="K306" s="35">
        <v>2399.37</v>
      </c>
      <c r="L306" s="34">
        <v>7</v>
      </c>
    </row>
    <row r="307" spans="1:12" x14ac:dyDescent="0.25">
      <c r="A307" s="30" t="s">
        <v>161</v>
      </c>
      <c r="B307" s="30" t="s">
        <v>143</v>
      </c>
      <c r="C307" s="30" t="s">
        <v>139</v>
      </c>
      <c r="D307" s="34">
        <v>32</v>
      </c>
      <c r="E307" s="34">
        <v>69</v>
      </c>
      <c r="F307" s="35">
        <v>22528.12</v>
      </c>
      <c r="G307" s="35">
        <v>2428.29</v>
      </c>
      <c r="H307" s="35">
        <v>3834.84</v>
      </c>
      <c r="I307" s="35">
        <v>16264.99</v>
      </c>
      <c r="J307" s="35">
        <v>12458.55</v>
      </c>
      <c r="K307" s="35">
        <v>3806.44</v>
      </c>
      <c r="L307" s="34">
        <v>3</v>
      </c>
    </row>
    <row r="308" spans="1:12" x14ac:dyDescent="0.25">
      <c r="A308" s="30" t="s">
        <v>161</v>
      </c>
      <c r="B308" s="30" t="s">
        <v>143</v>
      </c>
      <c r="C308" s="30" t="s">
        <v>140</v>
      </c>
      <c r="D308" s="34">
        <v>52</v>
      </c>
      <c r="E308" s="34">
        <v>107</v>
      </c>
      <c r="F308" s="35">
        <v>20924.79</v>
      </c>
      <c r="G308" s="35">
        <v>1369.48</v>
      </c>
      <c r="H308" s="35">
        <v>3560.99</v>
      </c>
      <c r="I308" s="35">
        <v>15994.32</v>
      </c>
      <c r="J308" s="35">
        <v>8352.81</v>
      </c>
      <c r="K308" s="35">
        <v>7641.51</v>
      </c>
      <c r="L308" s="34">
        <v>2</v>
      </c>
    </row>
    <row r="309" spans="1:12" x14ac:dyDescent="0.25">
      <c r="A309" s="30" t="s">
        <v>162</v>
      </c>
      <c r="B309" s="30" t="s">
        <v>136</v>
      </c>
      <c r="C309" s="30" t="s">
        <v>137</v>
      </c>
      <c r="D309" s="34">
        <v>46</v>
      </c>
      <c r="E309" s="34">
        <v>81</v>
      </c>
      <c r="F309" s="35">
        <v>9129.2999999999993</v>
      </c>
      <c r="G309" s="35">
        <v>202.73</v>
      </c>
      <c r="H309" s="35">
        <v>352.04</v>
      </c>
      <c r="I309" s="35">
        <v>8574.5300000000007</v>
      </c>
      <c r="J309" s="35">
        <v>4757.16</v>
      </c>
      <c r="K309" s="35">
        <v>3817.37</v>
      </c>
      <c r="L309" s="34">
        <v>1</v>
      </c>
    </row>
    <row r="310" spans="1:12" x14ac:dyDescent="0.25">
      <c r="A310" s="30" t="s">
        <v>162</v>
      </c>
      <c r="B310" s="30" t="s">
        <v>136</v>
      </c>
      <c r="C310" s="30" t="s">
        <v>138</v>
      </c>
      <c r="D310" s="34">
        <v>57</v>
      </c>
      <c r="E310" s="34">
        <v>114</v>
      </c>
      <c r="F310" s="35">
        <v>10296.85</v>
      </c>
      <c r="G310" s="35">
        <v>0</v>
      </c>
      <c r="H310" s="35">
        <v>413.96</v>
      </c>
      <c r="I310" s="35">
        <v>9882.89</v>
      </c>
      <c r="J310" s="35">
        <v>5013.6400000000003</v>
      </c>
      <c r="K310" s="35">
        <v>4869.25</v>
      </c>
      <c r="L310" s="34">
        <v>0</v>
      </c>
    </row>
    <row r="311" spans="1:12" x14ac:dyDescent="0.25">
      <c r="A311" s="30" t="s">
        <v>162</v>
      </c>
      <c r="B311" s="30" t="s">
        <v>136</v>
      </c>
      <c r="C311" s="30" t="s">
        <v>139</v>
      </c>
      <c r="D311" s="34">
        <v>43</v>
      </c>
      <c r="E311" s="34">
        <v>74</v>
      </c>
      <c r="F311" s="35">
        <v>24353.64</v>
      </c>
      <c r="G311" s="35">
        <v>1010.21</v>
      </c>
      <c r="H311" s="35">
        <v>936.9</v>
      </c>
      <c r="I311" s="35">
        <v>22406.53</v>
      </c>
      <c r="J311" s="35">
        <v>13109.22</v>
      </c>
      <c r="K311" s="35">
        <v>9297.31</v>
      </c>
      <c r="L311" s="34">
        <v>1</v>
      </c>
    </row>
    <row r="312" spans="1:12" x14ac:dyDescent="0.25">
      <c r="A312" s="30" t="s">
        <v>162</v>
      </c>
      <c r="B312" s="30" t="s">
        <v>136</v>
      </c>
      <c r="C312" s="30" t="s">
        <v>140</v>
      </c>
      <c r="D312" s="34">
        <v>59</v>
      </c>
      <c r="E312" s="34">
        <v>94</v>
      </c>
      <c r="F312" s="35">
        <v>17523.099999999999</v>
      </c>
      <c r="G312" s="35">
        <v>1024.6300000000001</v>
      </c>
      <c r="H312" s="35">
        <v>700.97</v>
      </c>
      <c r="I312" s="35">
        <v>15797.5</v>
      </c>
      <c r="J312" s="35">
        <v>6873.39</v>
      </c>
      <c r="K312" s="35">
        <v>8924.11</v>
      </c>
      <c r="L312" s="34">
        <v>1</v>
      </c>
    </row>
    <row r="313" spans="1:12" x14ac:dyDescent="0.25">
      <c r="A313" s="30" t="s">
        <v>162</v>
      </c>
      <c r="B313" s="30" t="s">
        <v>141</v>
      </c>
      <c r="C313" s="30" t="s">
        <v>137</v>
      </c>
      <c r="D313" s="34">
        <v>24</v>
      </c>
      <c r="E313" s="34">
        <v>45</v>
      </c>
      <c r="F313" s="35">
        <v>5356.33</v>
      </c>
      <c r="G313" s="35">
        <v>105.79</v>
      </c>
      <c r="H313" s="35">
        <v>642.29</v>
      </c>
      <c r="I313" s="35">
        <v>4608.25</v>
      </c>
      <c r="J313" s="35">
        <v>2866.07</v>
      </c>
      <c r="K313" s="35">
        <v>1742.18</v>
      </c>
      <c r="L313" s="34">
        <v>1</v>
      </c>
    </row>
    <row r="314" spans="1:12" x14ac:dyDescent="0.25">
      <c r="A314" s="30" t="s">
        <v>162</v>
      </c>
      <c r="B314" s="30" t="s">
        <v>141</v>
      </c>
      <c r="C314" s="30" t="s">
        <v>138</v>
      </c>
      <c r="D314" s="34">
        <v>24</v>
      </c>
      <c r="E314" s="34">
        <v>51</v>
      </c>
      <c r="F314" s="35">
        <v>4803.93</v>
      </c>
      <c r="G314" s="35">
        <v>212.6</v>
      </c>
      <c r="H314" s="35">
        <v>576.39</v>
      </c>
      <c r="I314" s="35">
        <v>4014.94</v>
      </c>
      <c r="J314" s="35">
        <v>2296.7600000000002</v>
      </c>
      <c r="K314" s="35">
        <v>1718.18</v>
      </c>
      <c r="L314" s="34">
        <v>3</v>
      </c>
    </row>
    <row r="315" spans="1:12" x14ac:dyDescent="0.25">
      <c r="A315" s="30" t="s">
        <v>162</v>
      </c>
      <c r="B315" s="30" t="s">
        <v>141</v>
      </c>
      <c r="C315" s="30" t="s">
        <v>139</v>
      </c>
      <c r="D315" s="34">
        <v>28</v>
      </c>
      <c r="E315" s="34">
        <v>56</v>
      </c>
      <c r="F315" s="35">
        <v>17973.78</v>
      </c>
      <c r="G315" s="35">
        <v>1060.78</v>
      </c>
      <c r="H315" s="35">
        <v>2186.89</v>
      </c>
      <c r="I315" s="35">
        <v>14726.11</v>
      </c>
      <c r="J315" s="35">
        <v>9410.66</v>
      </c>
      <c r="K315" s="35">
        <v>5315.45</v>
      </c>
      <c r="L315" s="34">
        <v>2</v>
      </c>
    </row>
    <row r="316" spans="1:12" x14ac:dyDescent="0.25">
      <c r="A316" s="30" t="s">
        <v>162</v>
      </c>
      <c r="B316" s="30" t="s">
        <v>141</v>
      </c>
      <c r="C316" s="30" t="s">
        <v>140</v>
      </c>
      <c r="D316" s="34">
        <v>28</v>
      </c>
      <c r="E316" s="34">
        <v>57</v>
      </c>
      <c r="F316" s="35">
        <v>11004.09</v>
      </c>
      <c r="G316" s="35">
        <v>229.8</v>
      </c>
      <c r="H316" s="35">
        <v>1324.58</v>
      </c>
      <c r="I316" s="35">
        <v>9449.7099999999991</v>
      </c>
      <c r="J316" s="35">
        <v>4176.54</v>
      </c>
      <c r="K316" s="35">
        <v>5273.17</v>
      </c>
      <c r="L316" s="34">
        <v>1</v>
      </c>
    </row>
    <row r="317" spans="1:12" x14ac:dyDescent="0.25">
      <c r="A317" s="30" t="s">
        <v>162</v>
      </c>
      <c r="B317" s="30" t="s">
        <v>142</v>
      </c>
      <c r="C317" s="30" t="s">
        <v>137</v>
      </c>
      <c r="D317" s="34">
        <v>16</v>
      </c>
      <c r="E317" s="34">
        <v>25</v>
      </c>
      <c r="F317" s="35">
        <v>3338.21</v>
      </c>
      <c r="G317" s="35">
        <v>0</v>
      </c>
      <c r="H317" s="35">
        <v>10.98</v>
      </c>
      <c r="I317" s="35">
        <v>3327.23</v>
      </c>
      <c r="J317" s="35">
        <v>1737.8</v>
      </c>
      <c r="K317" s="35">
        <v>1589.43</v>
      </c>
      <c r="L317" s="34">
        <v>0</v>
      </c>
    </row>
    <row r="318" spans="1:12" x14ac:dyDescent="0.25">
      <c r="A318" s="30" t="s">
        <v>162</v>
      </c>
      <c r="B318" s="30" t="s">
        <v>142</v>
      </c>
      <c r="C318" s="30" t="s">
        <v>138</v>
      </c>
      <c r="D318" s="34">
        <v>23</v>
      </c>
      <c r="E318" s="34">
        <v>30</v>
      </c>
      <c r="F318" s="35">
        <v>2962.7</v>
      </c>
      <c r="G318" s="35">
        <v>0</v>
      </c>
      <c r="H318" s="35">
        <v>-2.4900000000000002</v>
      </c>
      <c r="I318" s="35">
        <v>2965.19</v>
      </c>
      <c r="J318" s="35">
        <v>1423.01</v>
      </c>
      <c r="K318" s="35">
        <v>1542.18</v>
      </c>
      <c r="L318" s="34">
        <v>0</v>
      </c>
    </row>
    <row r="319" spans="1:12" x14ac:dyDescent="0.25">
      <c r="A319" s="30" t="s">
        <v>162</v>
      </c>
      <c r="B319" s="30" t="s">
        <v>142</v>
      </c>
      <c r="C319" s="30" t="s">
        <v>139</v>
      </c>
      <c r="D319" s="34">
        <v>18</v>
      </c>
      <c r="E319" s="34">
        <v>39</v>
      </c>
      <c r="F319" s="35">
        <v>11818.71</v>
      </c>
      <c r="G319" s="35">
        <v>0</v>
      </c>
      <c r="H319" s="35">
        <v>28.62</v>
      </c>
      <c r="I319" s="35">
        <v>11790.09</v>
      </c>
      <c r="J319" s="35">
        <v>6298.2</v>
      </c>
      <c r="K319" s="35">
        <v>5491.89</v>
      </c>
      <c r="L319" s="34">
        <v>0</v>
      </c>
    </row>
    <row r="320" spans="1:12" x14ac:dyDescent="0.25">
      <c r="A320" s="30" t="s">
        <v>162</v>
      </c>
      <c r="B320" s="30" t="s">
        <v>142</v>
      </c>
      <c r="C320" s="30" t="s">
        <v>140</v>
      </c>
      <c r="D320" s="34">
        <v>28</v>
      </c>
      <c r="E320" s="34">
        <v>39</v>
      </c>
      <c r="F320" s="35">
        <v>7636.15</v>
      </c>
      <c r="G320" s="35">
        <v>0</v>
      </c>
      <c r="H320" s="35">
        <v>7.95</v>
      </c>
      <c r="I320" s="35">
        <v>7628.2</v>
      </c>
      <c r="J320" s="35">
        <v>2972.18</v>
      </c>
      <c r="K320" s="35">
        <v>4656.0200000000004</v>
      </c>
      <c r="L320" s="34">
        <v>0</v>
      </c>
    </row>
    <row r="321" spans="1:12" x14ac:dyDescent="0.25">
      <c r="A321" s="30" t="s">
        <v>162</v>
      </c>
      <c r="B321" s="30" t="s">
        <v>143</v>
      </c>
      <c r="C321" s="30" t="s">
        <v>137</v>
      </c>
      <c r="D321" s="34">
        <v>21</v>
      </c>
      <c r="E321" s="34">
        <v>41</v>
      </c>
      <c r="F321" s="35">
        <v>5106.71</v>
      </c>
      <c r="G321" s="35">
        <v>775.29</v>
      </c>
      <c r="H321" s="35">
        <v>870.78</v>
      </c>
      <c r="I321" s="35">
        <v>3460.64</v>
      </c>
      <c r="J321" s="35">
        <v>2604.3000000000002</v>
      </c>
      <c r="K321" s="35">
        <v>856.34</v>
      </c>
      <c r="L321" s="34">
        <v>3</v>
      </c>
    </row>
    <row r="322" spans="1:12" x14ac:dyDescent="0.25">
      <c r="A322" s="30" t="s">
        <v>162</v>
      </c>
      <c r="B322" s="30" t="s">
        <v>143</v>
      </c>
      <c r="C322" s="30" t="s">
        <v>138</v>
      </c>
      <c r="D322" s="34">
        <v>43</v>
      </c>
      <c r="E322" s="34">
        <v>66</v>
      </c>
      <c r="F322" s="35">
        <v>6786.19</v>
      </c>
      <c r="G322" s="35">
        <v>115.7</v>
      </c>
      <c r="H322" s="35">
        <v>1153.8399999999999</v>
      </c>
      <c r="I322" s="35">
        <v>5516.65</v>
      </c>
      <c r="J322" s="35">
        <v>3327.78</v>
      </c>
      <c r="K322" s="35">
        <v>2188.87</v>
      </c>
      <c r="L322" s="34">
        <v>2</v>
      </c>
    </row>
    <row r="323" spans="1:12" x14ac:dyDescent="0.25">
      <c r="A323" s="30" t="s">
        <v>162</v>
      </c>
      <c r="B323" s="30" t="s">
        <v>143</v>
      </c>
      <c r="C323" s="30" t="s">
        <v>139</v>
      </c>
      <c r="D323" s="34">
        <v>27</v>
      </c>
      <c r="E323" s="34">
        <v>52</v>
      </c>
      <c r="F323" s="35">
        <v>15759.34</v>
      </c>
      <c r="G323" s="35">
        <v>318.70999999999998</v>
      </c>
      <c r="H323" s="35">
        <v>2673.7</v>
      </c>
      <c r="I323" s="35">
        <v>12766.93</v>
      </c>
      <c r="J323" s="35">
        <v>8421.3799999999992</v>
      </c>
      <c r="K323" s="35">
        <v>4345.55</v>
      </c>
      <c r="L323" s="34">
        <v>1</v>
      </c>
    </row>
    <row r="324" spans="1:12" x14ac:dyDescent="0.25">
      <c r="A324" s="30" t="s">
        <v>162</v>
      </c>
      <c r="B324" s="30" t="s">
        <v>143</v>
      </c>
      <c r="C324" s="30" t="s">
        <v>140</v>
      </c>
      <c r="D324" s="34">
        <v>56</v>
      </c>
      <c r="E324" s="34">
        <v>97</v>
      </c>
      <c r="F324" s="35">
        <v>18046.93</v>
      </c>
      <c r="G324" s="35">
        <v>766.2</v>
      </c>
      <c r="H324" s="35">
        <v>3062.47</v>
      </c>
      <c r="I324" s="35">
        <v>14218.26</v>
      </c>
      <c r="J324" s="35">
        <v>7062.63</v>
      </c>
      <c r="K324" s="35">
        <v>7155.63</v>
      </c>
      <c r="L324" s="34">
        <v>3</v>
      </c>
    </row>
    <row r="325" spans="1:12" x14ac:dyDescent="0.25">
      <c r="A325" s="30" t="s">
        <v>163</v>
      </c>
      <c r="B325" s="30" t="s">
        <v>136</v>
      </c>
      <c r="C325" s="30" t="s">
        <v>137</v>
      </c>
      <c r="D325" s="34">
        <v>55</v>
      </c>
      <c r="E325" s="34">
        <v>103</v>
      </c>
      <c r="F325" s="35">
        <v>12552.27</v>
      </c>
      <c r="G325" s="35">
        <v>0</v>
      </c>
      <c r="H325" s="35">
        <v>498.17</v>
      </c>
      <c r="I325" s="35">
        <v>12054.1</v>
      </c>
      <c r="J325" s="35">
        <v>6717.99</v>
      </c>
      <c r="K325" s="35">
        <v>5336.11</v>
      </c>
      <c r="L325" s="34">
        <v>0</v>
      </c>
    </row>
    <row r="326" spans="1:12" x14ac:dyDescent="0.25">
      <c r="A326" s="30" t="s">
        <v>163</v>
      </c>
      <c r="B326" s="30" t="s">
        <v>136</v>
      </c>
      <c r="C326" s="30" t="s">
        <v>138</v>
      </c>
      <c r="D326" s="34">
        <v>63</v>
      </c>
      <c r="E326" s="34">
        <v>114</v>
      </c>
      <c r="F326" s="35">
        <v>11708.26</v>
      </c>
      <c r="G326" s="35">
        <v>147.94999999999999</v>
      </c>
      <c r="H326" s="35">
        <v>468.88</v>
      </c>
      <c r="I326" s="35">
        <v>11091.43</v>
      </c>
      <c r="J326" s="35">
        <v>5582.73</v>
      </c>
      <c r="K326" s="35">
        <v>5508.7</v>
      </c>
      <c r="L326" s="34">
        <v>1</v>
      </c>
    </row>
    <row r="327" spans="1:12" x14ac:dyDescent="0.25">
      <c r="A327" s="30" t="s">
        <v>163</v>
      </c>
      <c r="B327" s="30" t="s">
        <v>136</v>
      </c>
      <c r="C327" s="30" t="s">
        <v>139</v>
      </c>
      <c r="D327" s="34">
        <v>40</v>
      </c>
      <c r="E327" s="34">
        <v>75</v>
      </c>
      <c r="F327" s="35">
        <v>23582.77</v>
      </c>
      <c r="G327" s="35">
        <v>945.78</v>
      </c>
      <c r="H327" s="35">
        <v>942.09</v>
      </c>
      <c r="I327" s="35">
        <v>21694.9</v>
      </c>
      <c r="J327" s="35">
        <v>12522.44</v>
      </c>
      <c r="K327" s="35">
        <v>9172.4599999999991</v>
      </c>
      <c r="L327" s="34">
        <v>2</v>
      </c>
    </row>
    <row r="328" spans="1:12" x14ac:dyDescent="0.25">
      <c r="A328" s="30" t="s">
        <v>163</v>
      </c>
      <c r="B328" s="30" t="s">
        <v>136</v>
      </c>
      <c r="C328" s="30" t="s">
        <v>140</v>
      </c>
      <c r="D328" s="34">
        <v>88</v>
      </c>
      <c r="E328" s="34">
        <v>152</v>
      </c>
      <c r="F328" s="35">
        <v>29397.48</v>
      </c>
      <c r="G328" s="35">
        <v>1383.79</v>
      </c>
      <c r="H328" s="35">
        <v>1172.78</v>
      </c>
      <c r="I328" s="35">
        <v>26840.91</v>
      </c>
      <c r="J328" s="35">
        <v>11602.83</v>
      </c>
      <c r="K328" s="35">
        <v>15238.08</v>
      </c>
      <c r="L328" s="34">
        <v>4</v>
      </c>
    </row>
    <row r="329" spans="1:12" x14ac:dyDescent="0.25">
      <c r="A329" s="30" t="s">
        <v>163</v>
      </c>
      <c r="B329" s="30" t="s">
        <v>141</v>
      </c>
      <c r="C329" s="30" t="s">
        <v>137</v>
      </c>
      <c r="D329" s="34">
        <v>22</v>
      </c>
      <c r="E329" s="34">
        <v>39</v>
      </c>
      <c r="F329" s="35">
        <v>4842.3100000000004</v>
      </c>
      <c r="G329" s="35">
        <v>0</v>
      </c>
      <c r="H329" s="35">
        <v>582.54999999999995</v>
      </c>
      <c r="I329" s="35">
        <v>4259.76</v>
      </c>
      <c r="J329" s="35">
        <v>2589.92</v>
      </c>
      <c r="K329" s="35">
        <v>1669.84</v>
      </c>
      <c r="L329" s="34">
        <v>0</v>
      </c>
    </row>
    <row r="330" spans="1:12" x14ac:dyDescent="0.25">
      <c r="A330" s="30" t="s">
        <v>163</v>
      </c>
      <c r="B330" s="30" t="s">
        <v>141</v>
      </c>
      <c r="C330" s="30" t="s">
        <v>138</v>
      </c>
      <c r="D330" s="34">
        <v>33</v>
      </c>
      <c r="E330" s="34">
        <v>63</v>
      </c>
      <c r="F330" s="35">
        <v>6233.72</v>
      </c>
      <c r="G330" s="35">
        <v>248.38</v>
      </c>
      <c r="H330" s="35">
        <v>740.32</v>
      </c>
      <c r="I330" s="35">
        <v>5245.02</v>
      </c>
      <c r="J330" s="35">
        <v>3011.26</v>
      </c>
      <c r="K330" s="35">
        <v>2233.7600000000002</v>
      </c>
      <c r="L330" s="34">
        <v>1</v>
      </c>
    </row>
    <row r="331" spans="1:12" x14ac:dyDescent="0.25">
      <c r="A331" s="30" t="s">
        <v>163</v>
      </c>
      <c r="B331" s="30" t="s">
        <v>141</v>
      </c>
      <c r="C331" s="30" t="s">
        <v>139</v>
      </c>
      <c r="D331" s="34">
        <v>23</v>
      </c>
      <c r="E331" s="34">
        <v>39</v>
      </c>
      <c r="F331" s="35">
        <v>11071.52</v>
      </c>
      <c r="G331" s="35">
        <v>0</v>
      </c>
      <c r="H331" s="35">
        <v>1334.24</v>
      </c>
      <c r="I331" s="35">
        <v>9737.2800000000007</v>
      </c>
      <c r="J331" s="35">
        <v>5903.81</v>
      </c>
      <c r="K331" s="35">
        <v>3833.47</v>
      </c>
      <c r="L331" s="34">
        <v>0</v>
      </c>
    </row>
    <row r="332" spans="1:12" x14ac:dyDescent="0.25">
      <c r="A332" s="30" t="s">
        <v>163</v>
      </c>
      <c r="B332" s="30" t="s">
        <v>141</v>
      </c>
      <c r="C332" s="30" t="s">
        <v>140</v>
      </c>
      <c r="D332" s="34">
        <v>33</v>
      </c>
      <c r="E332" s="34">
        <v>55</v>
      </c>
      <c r="F332" s="35">
        <v>9873.1200000000008</v>
      </c>
      <c r="G332" s="35">
        <v>1205.02</v>
      </c>
      <c r="H332" s="35">
        <v>1172.95</v>
      </c>
      <c r="I332" s="35">
        <v>7495.15</v>
      </c>
      <c r="J332" s="35">
        <v>3886.1</v>
      </c>
      <c r="K332" s="35">
        <v>3609.05</v>
      </c>
      <c r="L332" s="34">
        <v>4</v>
      </c>
    </row>
    <row r="333" spans="1:12" x14ac:dyDescent="0.25">
      <c r="A333" s="30" t="s">
        <v>163</v>
      </c>
      <c r="B333" s="30" t="s">
        <v>142</v>
      </c>
      <c r="C333" s="30" t="s">
        <v>137</v>
      </c>
      <c r="D333" s="34">
        <v>14</v>
      </c>
      <c r="E333" s="34">
        <v>19</v>
      </c>
      <c r="F333" s="35">
        <v>2355.7399999999998</v>
      </c>
      <c r="G333" s="35">
        <v>184.08</v>
      </c>
      <c r="H333" s="35">
        <v>4.91</v>
      </c>
      <c r="I333" s="35">
        <v>2166.75</v>
      </c>
      <c r="J333" s="35">
        <v>1260.99</v>
      </c>
      <c r="K333" s="35">
        <v>905.76</v>
      </c>
      <c r="L333" s="34">
        <v>1</v>
      </c>
    </row>
    <row r="334" spans="1:12" x14ac:dyDescent="0.25">
      <c r="A334" s="30" t="s">
        <v>163</v>
      </c>
      <c r="B334" s="30" t="s">
        <v>142</v>
      </c>
      <c r="C334" s="30" t="s">
        <v>138</v>
      </c>
      <c r="D334" s="34">
        <v>18</v>
      </c>
      <c r="E334" s="34">
        <v>32</v>
      </c>
      <c r="F334" s="35">
        <v>2657.72</v>
      </c>
      <c r="G334" s="35">
        <v>0</v>
      </c>
      <c r="H334" s="35">
        <v>1.96</v>
      </c>
      <c r="I334" s="35">
        <v>2655.76</v>
      </c>
      <c r="J334" s="35">
        <v>1294.93</v>
      </c>
      <c r="K334" s="35">
        <v>1360.83</v>
      </c>
      <c r="L334" s="34">
        <v>0</v>
      </c>
    </row>
    <row r="335" spans="1:12" x14ac:dyDescent="0.25">
      <c r="A335" s="30" t="s">
        <v>163</v>
      </c>
      <c r="B335" s="30" t="s">
        <v>142</v>
      </c>
      <c r="C335" s="30" t="s">
        <v>139</v>
      </c>
      <c r="D335" s="34">
        <v>14</v>
      </c>
      <c r="E335" s="34">
        <v>25</v>
      </c>
      <c r="F335" s="35">
        <v>7060.98</v>
      </c>
      <c r="G335" s="35">
        <v>0</v>
      </c>
      <c r="H335" s="35">
        <v>-9.6999999999999993</v>
      </c>
      <c r="I335" s="35">
        <v>7070.68</v>
      </c>
      <c r="J335" s="35">
        <v>3772.7</v>
      </c>
      <c r="K335" s="35">
        <v>3297.98</v>
      </c>
      <c r="L335" s="34">
        <v>0</v>
      </c>
    </row>
    <row r="336" spans="1:12" x14ac:dyDescent="0.25">
      <c r="A336" s="30" t="s">
        <v>163</v>
      </c>
      <c r="B336" s="30" t="s">
        <v>142</v>
      </c>
      <c r="C336" s="30" t="s">
        <v>140</v>
      </c>
      <c r="D336" s="34">
        <v>17</v>
      </c>
      <c r="E336" s="34">
        <v>27</v>
      </c>
      <c r="F336" s="35">
        <v>5117.9799999999996</v>
      </c>
      <c r="G336" s="35">
        <v>0</v>
      </c>
      <c r="H336" s="35">
        <v>-0.68</v>
      </c>
      <c r="I336" s="35">
        <v>5118.66</v>
      </c>
      <c r="J336" s="35">
        <v>2007.92</v>
      </c>
      <c r="K336" s="35">
        <v>3110.74</v>
      </c>
      <c r="L336" s="34">
        <v>0</v>
      </c>
    </row>
    <row r="337" spans="1:12" x14ac:dyDescent="0.25">
      <c r="A337" s="30" t="s">
        <v>163</v>
      </c>
      <c r="B337" s="30" t="s">
        <v>143</v>
      </c>
      <c r="C337" s="30" t="s">
        <v>137</v>
      </c>
      <c r="D337" s="34">
        <v>32</v>
      </c>
      <c r="E337" s="34">
        <v>63</v>
      </c>
      <c r="F337" s="35">
        <v>8435.5300000000007</v>
      </c>
      <c r="G337" s="35">
        <v>409.95</v>
      </c>
      <c r="H337" s="35">
        <v>1426.89</v>
      </c>
      <c r="I337" s="35">
        <v>6598.69</v>
      </c>
      <c r="J337" s="35">
        <v>4314.13</v>
      </c>
      <c r="K337" s="35">
        <v>2284.56</v>
      </c>
      <c r="L337" s="34">
        <v>3</v>
      </c>
    </row>
    <row r="338" spans="1:12" x14ac:dyDescent="0.25">
      <c r="A338" s="30" t="s">
        <v>163</v>
      </c>
      <c r="B338" s="30" t="s">
        <v>143</v>
      </c>
      <c r="C338" s="30" t="s">
        <v>138</v>
      </c>
      <c r="D338" s="34">
        <v>47</v>
      </c>
      <c r="E338" s="34">
        <v>75</v>
      </c>
      <c r="F338" s="35">
        <v>6955.7</v>
      </c>
      <c r="G338" s="35">
        <v>836.26</v>
      </c>
      <c r="H338" s="35">
        <v>1183</v>
      </c>
      <c r="I338" s="35">
        <v>4936.4399999999996</v>
      </c>
      <c r="J338" s="35">
        <v>3377.12</v>
      </c>
      <c r="K338" s="35">
        <v>1559.32</v>
      </c>
      <c r="L338" s="34">
        <v>5</v>
      </c>
    </row>
    <row r="339" spans="1:12" x14ac:dyDescent="0.25">
      <c r="A339" s="30" t="s">
        <v>163</v>
      </c>
      <c r="B339" s="30" t="s">
        <v>143</v>
      </c>
      <c r="C339" s="30" t="s">
        <v>139</v>
      </c>
      <c r="D339" s="34">
        <v>33</v>
      </c>
      <c r="E339" s="34">
        <v>77</v>
      </c>
      <c r="F339" s="35">
        <v>23668.23</v>
      </c>
      <c r="G339" s="35">
        <v>693.84</v>
      </c>
      <c r="H339" s="35">
        <v>4021.3</v>
      </c>
      <c r="I339" s="35">
        <v>18953.09</v>
      </c>
      <c r="J339" s="35">
        <v>12495.94</v>
      </c>
      <c r="K339" s="35">
        <v>6457.15</v>
      </c>
      <c r="L339" s="34">
        <v>2</v>
      </c>
    </row>
    <row r="340" spans="1:12" x14ac:dyDescent="0.25">
      <c r="A340" s="30" t="s">
        <v>163</v>
      </c>
      <c r="B340" s="30" t="s">
        <v>143</v>
      </c>
      <c r="C340" s="30" t="s">
        <v>140</v>
      </c>
      <c r="D340" s="34">
        <v>42</v>
      </c>
      <c r="E340" s="34">
        <v>74</v>
      </c>
      <c r="F340" s="35">
        <v>14492.3</v>
      </c>
      <c r="G340" s="35">
        <v>1638.33</v>
      </c>
      <c r="H340" s="35">
        <v>2450.4</v>
      </c>
      <c r="I340" s="35">
        <v>10403.57</v>
      </c>
      <c r="J340" s="35">
        <v>5755.27</v>
      </c>
      <c r="K340" s="35">
        <v>4648.3</v>
      </c>
      <c r="L340" s="34">
        <v>5</v>
      </c>
    </row>
    <row r="341" spans="1:12" x14ac:dyDescent="0.25">
      <c r="A341" s="30" t="s">
        <v>164</v>
      </c>
      <c r="B341" s="30" t="s">
        <v>136</v>
      </c>
      <c r="C341" s="30" t="s">
        <v>137</v>
      </c>
      <c r="D341" s="34">
        <v>43</v>
      </c>
      <c r="E341" s="34">
        <v>96</v>
      </c>
      <c r="F341" s="35">
        <v>12272.85</v>
      </c>
      <c r="G341" s="35">
        <v>0</v>
      </c>
      <c r="H341" s="35">
        <v>499.8</v>
      </c>
      <c r="I341" s="35">
        <v>11773.05</v>
      </c>
      <c r="J341" s="35">
        <v>6433.36</v>
      </c>
      <c r="K341" s="35">
        <v>5339.69</v>
      </c>
      <c r="L341" s="34">
        <v>0</v>
      </c>
    </row>
    <row r="342" spans="1:12" x14ac:dyDescent="0.25">
      <c r="A342" s="30" t="s">
        <v>164</v>
      </c>
      <c r="B342" s="30" t="s">
        <v>136</v>
      </c>
      <c r="C342" s="30" t="s">
        <v>138</v>
      </c>
      <c r="D342" s="34">
        <v>71</v>
      </c>
      <c r="E342" s="34">
        <v>121</v>
      </c>
      <c r="F342" s="35">
        <v>13110.9</v>
      </c>
      <c r="G342" s="35">
        <v>135.49</v>
      </c>
      <c r="H342" s="35">
        <v>521.73</v>
      </c>
      <c r="I342" s="35">
        <v>12453.68</v>
      </c>
      <c r="J342" s="35">
        <v>6274.42</v>
      </c>
      <c r="K342" s="35">
        <v>6179.26</v>
      </c>
      <c r="L342" s="34">
        <v>2</v>
      </c>
    </row>
    <row r="343" spans="1:12" x14ac:dyDescent="0.25">
      <c r="A343" s="30" t="s">
        <v>164</v>
      </c>
      <c r="B343" s="30" t="s">
        <v>136</v>
      </c>
      <c r="C343" s="30" t="s">
        <v>139</v>
      </c>
      <c r="D343" s="34">
        <v>41</v>
      </c>
      <c r="E343" s="34">
        <v>76</v>
      </c>
      <c r="F343" s="35">
        <v>22207.18</v>
      </c>
      <c r="G343" s="35">
        <v>1095.1199999999999</v>
      </c>
      <c r="H343" s="35">
        <v>878.76</v>
      </c>
      <c r="I343" s="35">
        <v>20233.3</v>
      </c>
      <c r="J343" s="35">
        <v>11666.05</v>
      </c>
      <c r="K343" s="35">
        <v>8567.25</v>
      </c>
      <c r="L343" s="34">
        <v>4</v>
      </c>
    </row>
    <row r="344" spans="1:12" x14ac:dyDescent="0.25">
      <c r="A344" s="30" t="s">
        <v>164</v>
      </c>
      <c r="B344" s="30" t="s">
        <v>136</v>
      </c>
      <c r="C344" s="30" t="s">
        <v>140</v>
      </c>
      <c r="D344" s="34">
        <v>96</v>
      </c>
      <c r="E344" s="34">
        <v>158</v>
      </c>
      <c r="F344" s="35">
        <v>29237.01</v>
      </c>
      <c r="G344" s="35">
        <v>885.83</v>
      </c>
      <c r="H344" s="35">
        <v>1165.77</v>
      </c>
      <c r="I344" s="35">
        <v>27185.41</v>
      </c>
      <c r="J344" s="35">
        <v>11675.62</v>
      </c>
      <c r="K344" s="35">
        <v>15509.79</v>
      </c>
      <c r="L344" s="34">
        <v>4</v>
      </c>
    </row>
    <row r="345" spans="1:12" x14ac:dyDescent="0.25">
      <c r="A345" s="30" t="s">
        <v>164</v>
      </c>
      <c r="B345" s="30" t="s">
        <v>141</v>
      </c>
      <c r="C345" s="30" t="s">
        <v>137</v>
      </c>
      <c r="D345" s="34">
        <v>28</v>
      </c>
      <c r="E345" s="34">
        <v>47</v>
      </c>
      <c r="F345" s="35">
        <v>6314.19</v>
      </c>
      <c r="G345" s="35">
        <v>424.88</v>
      </c>
      <c r="H345" s="35">
        <v>761.61</v>
      </c>
      <c r="I345" s="35">
        <v>5127.7</v>
      </c>
      <c r="J345" s="35">
        <v>3314.16</v>
      </c>
      <c r="K345" s="35">
        <v>1813.54</v>
      </c>
      <c r="L345" s="34">
        <v>2</v>
      </c>
    </row>
    <row r="346" spans="1:12" x14ac:dyDescent="0.25">
      <c r="A346" s="30" t="s">
        <v>164</v>
      </c>
      <c r="B346" s="30" t="s">
        <v>141</v>
      </c>
      <c r="C346" s="30" t="s">
        <v>138</v>
      </c>
      <c r="D346" s="34">
        <v>27</v>
      </c>
      <c r="E346" s="34">
        <v>53</v>
      </c>
      <c r="F346" s="35">
        <v>5499.8</v>
      </c>
      <c r="G346" s="35">
        <v>0</v>
      </c>
      <c r="H346" s="35">
        <v>656.06</v>
      </c>
      <c r="I346" s="35">
        <v>4843.74</v>
      </c>
      <c r="J346" s="35">
        <v>2676.27</v>
      </c>
      <c r="K346" s="35">
        <v>2167.4699999999998</v>
      </c>
      <c r="L346" s="34">
        <v>0</v>
      </c>
    </row>
    <row r="347" spans="1:12" x14ac:dyDescent="0.25">
      <c r="A347" s="30" t="s">
        <v>164</v>
      </c>
      <c r="B347" s="30" t="s">
        <v>141</v>
      </c>
      <c r="C347" s="30" t="s">
        <v>139</v>
      </c>
      <c r="D347" s="34">
        <v>26</v>
      </c>
      <c r="E347" s="34">
        <v>42</v>
      </c>
      <c r="F347" s="35">
        <v>13848.17</v>
      </c>
      <c r="G347" s="35">
        <v>261.22000000000003</v>
      </c>
      <c r="H347" s="35">
        <v>1636.07</v>
      </c>
      <c r="I347" s="35">
        <v>11950.88</v>
      </c>
      <c r="J347" s="35">
        <v>7500.58</v>
      </c>
      <c r="K347" s="35">
        <v>4450.3</v>
      </c>
      <c r="L347" s="34">
        <v>1</v>
      </c>
    </row>
    <row r="348" spans="1:12" x14ac:dyDescent="0.25">
      <c r="A348" s="30" t="s">
        <v>164</v>
      </c>
      <c r="B348" s="30" t="s">
        <v>141</v>
      </c>
      <c r="C348" s="30" t="s">
        <v>140</v>
      </c>
      <c r="D348" s="34">
        <v>32</v>
      </c>
      <c r="E348" s="34">
        <v>59</v>
      </c>
      <c r="F348" s="35">
        <v>10433.74</v>
      </c>
      <c r="G348" s="35">
        <v>1113.24</v>
      </c>
      <c r="H348" s="35">
        <v>1246.17</v>
      </c>
      <c r="I348" s="35">
        <v>8074.33</v>
      </c>
      <c r="J348" s="35">
        <v>4094.49</v>
      </c>
      <c r="K348" s="35">
        <v>3979.84</v>
      </c>
      <c r="L348" s="34">
        <v>3</v>
      </c>
    </row>
    <row r="349" spans="1:12" x14ac:dyDescent="0.25">
      <c r="A349" s="30" t="s">
        <v>164</v>
      </c>
      <c r="B349" s="30" t="s">
        <v>142</v>
      </c>
      <c r="C349" s="30" t="s">
        <v>137</v>
      </c>
      <c r="D349" s="34">
        <v>15</v>
      </c>
      <c r="E349" s="34">
        <v>24</v>
      </c>
      <c r="F349" s="35">
        <v>2970.74</v>
      </c>
      <c r="G349" s="35">
        <v>0</v>
      </c>
      <c r="H349" s="35">
        <v>-0.5</v>
      </c>
      <c r="I349" s="35">
        <v>2971.24</v>
      </c>
      <c r="J349" s="35">
        <v>1547.76</v>
      </c>
      <c r="K349" s="35">
        <v>1423.48</v>
      </c>
      <c r="L349" s="34">
        <v>0</v>
      </c>
    </row>
    <row r="350" spans="1:12" x14ac:dyDescent="0.25">
      <c r="A350" s="30" t="s">
        <v>164</v>
      </c>
      <c r="B350" s="30" t="s">
        <v>142</v>
      </c>
      <c r="C350" s="30" t="s">
        <v>138</v>
      </c>
      <c r="D350" s="34">
        <v>24</v>
      </c>
      <c r="E350" s="34">
        <v>51</v>
      </c>
      <c r="F350" s="35">
        <v>4582.5600000000004</v>
      </c>
      <c r="G350" s="35">
        <v>89.81</v>
      </c>
      <c r="H350" s="35">
        <v>-2.36</v>
      </c>
      <c r="I350" s="35">
        <v>4495.1099999999997</v>
      </c>
      <c r="J350" s="35">
        <v>2207.48</v>
      </c>
      <c r="K350" s="35">
        <v>2287.63</v>
      </c>
      <c r="L350" s="34">
        <v>1</v>
      </c>
    </row>
    <row r="351" spans="1:12" x14ac:dyDescent="0.25">
      <c r="A351" s="30" t="s">
        <v>164</v>
      </c>
      <c r="B351" s="30" t="s">
        <v>142</v>
      </c>
      <c r="C351" s="30" t="s">
        <v>139</v>
      </c>
      <c r="D351" s="34">
        <v>15</v>
      </c>
      <c r="E351" s="34">
        <v>26</v>
      </c>
      <c r="F351" s="35">
        <v>7876.91</v>
      </c>
      <c r="G351" s="35">
        <v>0</v>
      </c>
      <c r="H351" s="35">
        <v>-9.17</v>
      </c>
      <c r="I351" s="35">
        <v>7886.08</v>
      </c>
      <c r="J351" s="35">
        <v>4196.79</v>
      </c>
      <c r="K351" s="35">
        <v>3689.29</v>
      </c>
      <c r="L351" s="34">
        <v>0</v>
      </c>
    </row>
    <row r="352" spans="1:12" x14ac:dyDescent="0.25">
      <c r="A352" s="30" t="s">
        <v>164</v>
      </c>
      <c r="B352" s="30" t="s">
        <v>142</v>
      </c>
      <c r="C352" s="30" t="s">
        <v>140</v>
      </c>
      <c r="D352" s="34">
        <v>20</v>
      </c>
      <c r="E352" s="34">
        <v>35</v>
      </c>
      <c r="F352" s="35">
        <v>6549.37</v>
      </c>
      <c r="G352" s="35">
        <v>90.63</v>
      </c>
      <c r="H352" s="35">
        <v>-1.34</v>
      </c>
      <c r="I352" s="35">
        <v>6460.08</v>
      </c>
      <c r="J352" s="35">
        <v>2528.1</v>
      </c>
      <c r="K352" s="35">
        <v>3931.98</v>
      </c>
      <c r="L352" s="34">
        <v>1</v>
      </c>
    </row>
    <row r="353" spans="1:12" x14ac:dyDescent="0.25">
      <c r="A353" s="30" t="s">
        <v>164</v>
      </c>
      <c r="B353" s="30" t="s">
        <v>143</v>
      </c>
      <c r="C353" s="30" t="s">
        <v>137</v>
      </c>
      <c r="D353" s="34">
        <v>33</v>
      </c>
      <c r="E353" s="34">
        <v>45</v>
      </c>
      <c r="F353" s="35">
        <v>5481.64</v>
      </c>
      <c r="G353" s="35">
        <v>76.11</v>
      </c>
      <c r="H353" s="35">
        <v>929.89</v>
      </c>
      <c r="I353" s="35">
        <v>4475.6400000000003</v>
      </c>
      <c r="J353" s="35">
        <v>2861.15</v>
      </c>
      <c r="K353" s="35">
        <v>1614.49</v>
      </c>
      <c r="L353" s="34">
        <v>1</v>
      </c>
    </row>
    <row r="354" spans="1:12" x14ac:dyDescent="0.25">
      <c r="A354" s="30" t="s">
        <v>164</v>
      </c>
      <c r="B354" s="30" t="s">
        <v>143</v>
      </c>
      <c r="C354" s="30" t="s">
        <v>138</v>
      </c>
      <c r="D354" s="34">
        <v>52</v>
      </c>
      <c r="E354" s="34">
        <v>87</v>
      </c>
      <c r="F354" s="35">
        <v>8860.5499999999993</v>
      </c>
      <c r="G354" s="35">
        <v>143.41</v>
      </c>
      <c r="H354" s="35">
        <v>1516.72</v>
      </c>
      <c r="I354" s="35">
        <v>7200.42</v>
      </c>
      <c r="J354" s="35">
        <v>4356.72</v>
      </c>
      <c r="K354" s="35">
        <v>2843.7</v>
      </c>
      <c r="L354" s="34">
        <v>1</v>
      </c>
    </row>
    <row r="355" spans="1:12" x14ac:dyDescent="0.25">
      <c r="A355" s="30" t="s">
        <v>164</v>
      </c>
      <c r="B355" s="30" t="s">
        <v>143</v>
      </c>
      <c r="C355" s="30" t="s">
        <v>139</v>
      </c>
      <c r="D355" s="34">
        <v>39</v>
      </c>
      <c r="E355" s="34">
        <v>70</v>
      </c>
      <c r="F355" s="35">
        <v>22955.759999999998</v>
      </c>
      <c r="G355" s="35">
        <v>1205.5</v>
      </c>
      <c r="H355" s="35">
        <v>3923.46</v>
      </c>
      <c r="I355" s="35">
        <v>17826.8</v>
      </c>
      <c r="J355" s="35">
        <v>12427.12</v>
      </c>
      <c r="K355" s="35">
        <v>5399.68</v>
      </c>
      <c r="L355" s="34">
        <v>2</v>
      </c>
    </row>
    <row r="356" spans="1:12" x14ac:dyDescent="0.25">
      <c r="A356" s="30" t="s">
        <v>164</v>
      </c>
      <c r="B356" s="30" t="s">
        <v>143</v>
      </c>
      <c r="C356" s="30" t="s">
        <v>140</v>
      </c>
      <c r="D356" s="34">
        <v>58</v>
      </c>
      <c r="E356" s="34">
        <v>106</v>
      </c>
      <c r="F356" s="35">
        <v>19821.78</v>
      </c>
      <c r="G356" s="35">
        <v>1046.53</v>
      </c>
      <c r="H356" s="35">
        <v>3411</v>
      </c>
      <c r="I356" s="35">
        <v>15364.25</v>
      </c>
      <c r="J356" s="35">
        <v>8051.82</v>
      </c>
      <c r="K356" s="35">
        <v>7312.43</v>
      </c>
      <c r="L356" s="34">
        <v>3</v>
      </c>
    </row>
    <row r="357" spans="1:12" x14ac:dyDescent="0.25">
      <c r="A357" s="30" t="s">
        <v>165</v>
      </c>
      <c r="B357" s="30" t="s">
        <v>136</v>
      </c>
      <c r="C357" s="30" t="s">
        <v>137</v>
      </c>
      <c r="D357" s="34">
        <v>85</v>
      </c>
      <c r="E357" s="34">
        <v>162</v>
      </c>
      <c r="F357" s="35">
        <v>20133.310000000001</v>
      </c>
      <c r="G357" s="35">
        <v>147.69999999999999</v>
      </c>
      <c r="H357" s="35">
        <v>820.62</v>
      </c>
      <c r="I357" s="35">
        <v>19164.990000000002</v>
      </c>
      <c r="J357" s="35">
        <v>10548.06</v>
      </c>
      <c r="K357" s="35">
        <v>8616.93</v>
      </c>
      <c r="L357" s="34">
        <v>1</v>
      </c>
    </row>
    <row r="358" spans="1:12" x14ac:dyDescent="0.25">
      <c r="A358" s="30" t="s">
        <v>165</v>
      </c>
      <c r="B358" s="30" t="s">
        <v>136</v>
      </c>
      <c r="C358" s="30" t="s">
        <v>138</v>
      </c>
      <c r="D358" s="34">
        <v>86</v>
      </c>
      <c r="E358" s="34">
        <v>148</v>
      </c>
      <c r="F358" s="35">
        <v>14510.42</v>
      </c>
      <c r="G358" s="35">
        <v>635.34</v>
      </c>
      <c r="H358" s="35">
        <v>568.41999999999996</v>
      </c>
      <c r="I358" s="35">
        <v>13306.66</v>
      </c>
      <c r="J358" s="35">
        <v>6844.45</v>
      </c>
      <c r="K358" s="35">
        <v>6462.21</v>
      </c>
      <c r="L358" s="34">
        <v>2</v>
      </c>
    </row>
    <row r="359" spans="1:12" x14ac:dyDescent="0.25">
      <c r="A359" s="30" t="s">
        <v>165</v>
      </c>
      <c r="B359" s="30" t="s">
        <v>136</v>
      </c>
      <c r="C359" s="30" t="s">
        <v>139</v>
      </c>
      <c r="D359" s="34">
        <v>77</v>
      </c>
      <c r="E359" s="34">
        <v>139</v>
      </c>
      <c r="F359" s="35">
        <v>43119.56</v>
      </c>
      <c r="G359" s="35">
        <v>684.24</v>
      </c>
      <c r="H359" s="35">
        <v>1704.47</v>
      </c>
      <c r="I359" s="35">
        <v>40730.85</v>
      </c>
      <c r="J359" s="35">
        <v>23021.59</v>
      </c>
      <c r="K359" s="35">
        <v>17709.259999999998</v>
      </c>
      <c r="L359" s="34">
        <v>2</v>
      </c>
    </row>
    <row r="360" spans="1:12" x14ac:dyDescent="0.25">
      <c r="A360" s="30" t="s">
        <v>165</v>
      </c>
      <c r="B360" s="30" t="s">
        <v>136</v>
      </c>
      <c r="C360" s="30" t="s">
        <v>140</v>
      </c>
      <c r="D360" s="34">
        <v>107</v>
      </c>
      <c r="E360" s="34">
        <v>197</v>
      </c>
      <c r="F360" s="35">
        <v>36397.269999999997</v>
      </c>
      <c r="G360" s="35">
        <v>218.7</v>
      </c>
      <c r="H360" s="35">
        <v>1416.42</v>
      </c>
      <c r="I360" s="35">
        <v>34762.15</v>
      </c>
      <c r="J360" s="35">
        <v>14337.64</v>
      </c>
      <c r="K360" s="35">
        <v>20424.509999999998</v>
      </c>
      <c r="L360" s="34">
        <v>1</v>
      </c>
    </row>
    <row r="361" spans="1:12" x14ac:dyDescent="0.25">
      <c r="A361" s="30" t="s">
        <v>165</v>
      </c>
      <c r="B361" s="30" t="s">
        <v>141</v>
      </c>
      <c r="C361" s="30" t="s">
        <v>137</v>
      </c>
      <c r="D361" s="34">
        <v>26</v>
      </c>
      <c r="E361" s="34">
        <v>56</v>
      </c>
      <c r="F361" s="35">
        <v>7918.08</v>
      </c>
      <c r="G361" s="35">
        <v>106.73</v>
      </c>
      <c r="H361" s="35">
        <v>948.1</v>
      </c>
      <c r="I361" s="35">
        <v>6863.25</v>
      </c>
      <c r="J361" s="35">
        <v>4143.6899999999996</v>
      </c>
      <c r="K361" s="35">
        <v>2719.56</v>
      </c>
      <c r="L361" s="34">
        <v>1</v>
      </c>
    </row>
    <row r="362" spans="1:12" x14ac:dyDescent="0.25">
      <c r="A362" s="30" t="s">
        <v>165</v>
      </c>
      <c r="B362" s="30" t="s">
        <v>141</v>
      </c>
      <c r="C362" s="30" t="s">
        <v>138</v>
      </c>
      <c r="D362" s="34">
        <v>37</v>
      </c>
      <c r="E362" s="34">
        <v>57</v>
      </c>
      <c r="F362" s="35">
        <v>5511.63</v>
      </c>
      <c r="G362" s="35">
        <v>735.46</v>
      </c>
      <c r="H362" s="35">
        <v>652.70000000000005</v>
      </c>
      <c r="I362" s="35">
        <v>4123.47</v>
      </c>
      <c r="J362" s="35">
        <v>2545.04</v>
      </c>
      <c r="K362" s="35">
        <v>1578.43</v>
      </c>
      <c r="L362" s="34">
        <v>3</v>
      </c>
    </row>
    <row r="363" spans="1:12" x14ac:dyDescent="0.25">
      <c r="A363" s="30" t="s">
        <v>165</v>
      </c>
      <c r="B363" s="30" t="s">
        <v>141</v>
      </c>
      <c r="C363" s="30" t="s">
        <v>139</v>
      </c>
      <c r="D363" s="34">
        <v>34</v>
      </c>
      <c r="E363" s="34">
        <v>51</v>
      </c>
      <c r="F363" s="35">
        <v>16683.04</v>
      </c>
      <c r="G363" s="35">
        <v>793.78</v>
      </c>
      <c r="H363" s="35">
        <v>2023.58</v>
      </c>
      <c r="I363" s="35">
        <v>13865.68</v>
      </c>
      <c r="J363" s="35">
        <v>8898.36</v>
      </c>
      <c r="K363" s="35">
        <v>4967.32</v>
      </c>
      <c r="L363" s="34">
        <v>3</v>
      </c>
    </row>
    <row r="364" spans="1:12" x14ac:dyDescent="0.25">
      <c r="A364" s="30" t="s">
        <v>165</v>
      </c>
      <c r="B364" s="30" t="s">
        <v>141</v>
      </c>
      <c r="C364" s="30" t="s">
        <v>140</v>
      </c>
      <c r="D364" s="34">
        <v>51</v>
      </c>
      <c r="E364" s="34">
        <v>84</v>
      </c>
      <c r="F364" s="35">
        <v>16928.07</v>
      </c>
      <c r="G364" s="35">
        <v>297.72000000000003</v>
      </c>
      <c r="H364" s="35">
        <v>2062.38</v>
      </c>
      <c r="I364" s="35">
        <v>14567.97</v>
      </c>
      <c r="J364" s="35">
        <v>6723.3</v>
      </c>
      <c r="K364" s="35">
        <v>7844.67</v>
      </c>
      <c r="L364" s="34">
        <v>2</v>
      </c>
    </row>
    <row r="365" spans="1:12" x14ac:dyDescent="0.25">
      <c r="A365" s="30" t="s">
        <v>165</v>
      </c>
      <c r="B365" s="30" t="s">
        <v>142</v>
      </c>
      <c r="C365" s="30" t="s">
        <v>137</v>
      </c>
      <c r="D365" s="34">
        <v>18</v>
      </c>
      <c r="E365" s="34">
        <v>38</v>
      </c>
      <c r="F365" s="35">
        <v>5371.76</v>
      </c>
      <c r="G365" s="35">
        <v>0</v>
      </c>
      <c r="H365" s="35">
        <v>-1.22</v>
      </c>
      <c r="I365" s="35">
        <v>5372.98</v>
      </c>
      <c r="J365" s="35">
        <v>2737.41</v>
      </c>
      <c r="K365" s="35">
        <v>2635.57</v>
      </c>
      <c r="L365" s="34">
        <v>0</v>
      </c>
    </row>
    <row r="366" spans="1:12" x14ac:dyDescent="0.25">
      <c r="A366" s="30" t="s">
        <v>165</v>
      </c>
      <c r="B366" s="30" t="s">
        <v>142</v>
      </c>
      <c r="C366" s="30" t="s">
        <v>138</v>
      </c>
      <c r="D366" s="34">
        <v>28</v>
      </c>
      <c r="E366" s="34">
        <v>49</v>
      </c>
      <c r="F366" s="35">
        <v>4970.4399999999996</v>
      </c>
      <c r="G366" s="35">
        <v>0</v>
      </c>
      <c r="H366" s="35">
        <v>-5.13</v>
      </c>
      <c r="I366" s="35">
        <v>4975.57</v>
      </c>
      <c r="J366" s="35">
        <v>2374.46</v>
      </c>
      <c r="K366" s="35">
        <v>2601.11</v>
      </c>
      <c r="L366" s="34">
        <v>0</v>
      </c>
    </row>
    <row r="367" spans="1:12" x14ac:dyDescent="0.25">
      <c r="A367" s="30" t="s">
        <v>165</v>
      </c>
      <c r="B367" s="30" t="s">
        <v>142</v>
      </c>
      <c r="C367" s="30" t="s">
        <v>139</v>
      </c>
      <c r="D367" s="34">
        <v>29</v>
      </c>
      <c r="E367" s="34">
        <v>50</v>
      </c>
      <c r="F367" s="35">
        <v>16025.09</v>
      </c>
      <c r="G367" s="35">
        <v>0</v>
      </c>
      <c r="H367" s="35">
        <v>-35.950000000000003</v>
      </c>
      <c r="I367" s="35">
        <v>16061.04</v>
      </c>
      <c r="J367" s="35">
        <v>8541.3700000000008</v>
      </c>
      <c r="K367" s="35">
        <v>7519.67</v>
      </c>
      <c r="L367" s="34">
        <v>0</v>
      </c>
    </row>
    <row r="368" spans="1:12" x14ac:dyDescent="0.25">
      <c r="A368" s="30" t="s">
        <v>165</v>
      </c>
      <c r="B368" s="30" t="s">
        <v>142</v>
      </c>
      <c r="C368" s="30" t="s">
        <v>140</v>
      </c>
      <c r="D368" s="34">
        <v>29</v>
      </c>
      <c r="E368" s="34">
        <v>45</v>
      </c>
      <c r="F368" s="35">
        <v>9700.81</v>
      </c>
      <c r="G368" s="35">
        <v>0</v>
      </c>
      <c r="H368" s="35">
        <v>6.72</v>
      </c>
      <c r="I368" s="35">
        <v>9694.09</v>
      </c>
      <c r="J368" s="35">
        <v>3774.23</v>
      </c>
      <c r="K368" s="35">
        <v>5919.86</v>
      </c>
      <c r="L368" s="34">
        <v>0</v>
      </c>
    </row>
    <row r="369" spans="1:12" x14ac:dyDescent="0.25">
      <c r="A369" s="30" t="s">
        <v>165</v>
      </c>
      <c r="B369" s="30" t="s">
        <v>143</v>
      </c>
      <c r="C369" s="30" t="s">
        <v>137</v>
      </c>
      <c r="D369" s="34">
        <v>40</v>
      </c>
      <c r="E369" s="34">
        <v>99</v>
      </c>
      <c r="F369" s="35">
        <v>11803.24</v>
      </c>
      <c r="G369" s="35">
        <v>822.97</v>
      </c>
      <c r="H369" s="35">
        <v>2026.18</v>
      </c>
      <c r="I369" s="35">
        <v>8954.09</v>
      </c>
      <c r="J369" s="35">
        <v>6051.73</v>
      </c>
      <c r="K369" s="35">
        <v>2902.36</v>
      </c>
      <c r="L369" s="34">
        <v>5</v>
      </c>
    </row>
    <row r="370" spans="1:12" x14ac:dyDescent="0.25">
      <c r="A370" s="30" t="s">
        <v>165</v>
      </c>
      <c r="B370" s="30" t="s">
        <v>143</v>
      </c>
      <c r="C370" s="30" t="s">
        <v>138</v>
      </c>
      <c r="D370" s="34">
        <v>68</v>
      </c>
      <c r="E370" s="34">
        <v>128</v>
      </c>
      <c r="F370" s="35">
        <v>13920.72</v>
      </c>
      <c r="G370" s="35">
        <v>731.06</v>
      </c>
      <c r="H370" s="35">
        <v>2349.33</v>
      </c>
      <c r="I370" s="35">
        <v>10840.33</v>
      </c>
      <c r="J370" s="35">
        <v>6657.39</v>
      </c>
      <c r="K370" s="35">
        <v>4182.9399999999996</v>
      </c>
      <c r="L370" s="34">
        <v>4</v>
      </c>
    </row>
    <row r="371" spans="1:12" x14ac:dyDescent="0.25">
      <c r="A371" s="30" t="s">
        <v>165</v>
      </c>
      <c r="B371" s="30" t="s">
        <v>143</v>
      </c>
      <c r="C371" s="30" t="s">
        <v>139</v>
      </c>
      <c r="D371" s="34">
        <v>52</v>
      </c>
      <c r="E371" s="34">
        <v>99</v>
      </c>
      <c r="F371" s="35">
        <v>29872.6</v>
      </c>
      <c r="G371" s="35">
        <v>577.64</v>
      </c>
      <c r="H371" s="35">
        <v>5076.05</v>
      </c>
      <c r="I371" s="35">
        <v>24218.91</v>
      </c>
      <c r="J371" s="35">
        <v>15811.26</v>
      </c>
      <c r="K371" s="35">
        <v>8407.65</v>
      </c>
      <c r="L371" s="34">
        <v>2</v>
      </c>
    </row>
    <row r="372" spans="1:12" x14ac:dyDescent="0.25">
      <c r="A372" s="30" t="s">
        <v>165</v>
      </c>
      <c r="B372" s="30" t="s">
        <v>143</v>
      </c>
      <c r="C372" s="30" t="s">
        <v>140</v>
      </c>
      <c r="D372" s="34">
        <v>79</v>
      </c>
      <c r="E372" s="34">
        <v>132</v>
      </c>
      <c r="F372" s="35">
        <v>25824.44</v>
      </c>
      <c r="G372" s="35">
        <v>672.82</v>
      </c>
      <c r="H372" s="35">
        <v>4329.41</v>
      </c>
      <c r="I372" s="35">
        <v>20822.21</v>
      </c>
      <c r="J372" s="35">
        <v>10117.31</v>
      </c>
      <c r="K372" s="35">
        <v>10704.9</v>
      </c>
      <c r="L372" s="34">
        <v>3</v>
      </c>
    </row>
    <row r="373" spans="1:12" x14ac:dyDescent="0.25">
      <c r="A373" s="30" t="s">
        <v>166</v>
      </c>
      <c r="B373" s="30" t="s">
        <v>136</v>
      </c>
      <c r="C373" s="30" t="s">
        <v>137</v>
      </c>
      <c r="D373" s="34">
        <v>62</v>
      </c>
      <c r="E373" s="34">
        <v>104</v>
      </c>
      <c r="F373" s="35">
        <v>13820.62</v>
      </c>
      <c r="G373" s="35">
        <v>241.82</v>
      </c>
      <c r="H373" s="35">
        <v>553.5</v>
      </c>
      <c r="I373" s="35">
        <v>13025.3</v>
      </c>
      <c r="J373" s="35">
        <v>7258.56</v>
      </c>
      <c r="K373" s="35">
        <v>5766.74</v>
      </c>
      <c r="L373" s="34">
        <v>2</v>
      </c>
    </row>
    <row r="374" spans="1:12" x14ac:dyDescent="0.25">
      <c r="A374" s="30" t="s">
        <v>166</v>
      </c>
      <c r="B374" s="30" t="s">
        <v>136</v>
      </c>
      <c r="C374" s="30" t="s">
        <v>138</v>
      </c>
      <c r="D374" s="34">
        <v>87</v>
      </c>
      <c r="E374" s="34">
        <v>164</v>
      </c>
      <c r="F374" s="35">
        <v>14515.92</v>
      </c>
      <c r="G374" s="35">
        <v>385.57</v>
      </c>
      <c r="H374" s="35">
        <v>583.32000000000005</v>
      </c>
      <c r="I374" s="35">
        <v>13547.03</v>
      </c>
      <c r="J374" s="35">
        <v>7022.62</v>
      </c>
      <c r="K374" s="35">
        <v>6524.41</v>
      </c>
      <c r="L374" s="34">
        <v>4</v>
      </c>
    </row>
    <row r="375" spans="1:12" x14ac:dyDescent="0.25">
      <c r="A375" s="30" t="s">
        <v>166</v>
      </c>
      <c r="B375" s="30" t="s">
        <v>136</v>
      </c>
      <c r="C375" s="30" t="s">
        <v>139</v>
      </c>
      <c r="D375" s="34">
        <v>75</v>
      </c>
      <c r="E375" s="34">
        <v>134</v>
      </c>
      <c r="F375" s="35">
        <v>41306.71</v>
      </c>
      <c r="G375" s="35">
        <v>0</v>
      </c>
      <c r="H375" s="35">
        <v>1685.07</v>
      </c>
      <c r="I375" s="35">
        <v>39621.64</v>
      </c>
      <c r="J375" s="35">
        <v>22043.63</v>
      </c>
      <c r="K375" s="35">
        <v>17578.009999999998</v>
      </c>
      <c r="L375" s="34">
        <v>0</v>
      </c>
    </row>
    <row r="376" spans="1:12" x14ac:dyDescent="0.25">
      <c r="A376" s="30" t="s">
        <v>166</v>
      </c>
      <c r="B376" s="30" t="s">
        <v>136</v>
      </c>
      <c r="C376" s="30" t="s">
        <v>140</v>
      </c>
      <c r="D376" s="34">
        <v>114</v>
      </c>
      <c r="E376" s="34">
        <v>191</v>
      </c>
      <c r="F376" s="35">
        <v>35373.06</v>
      </c>
      <c r="G376" s="35">
        <v>1200.22</v>
      </c>
      <c r="H376" s="35">
        <v>1423.07</v>
      </c>
      <c r="I376" s="35">
        <v>32749.77</v>
      </c>
      <c r="J376" s="35">
        <v>14029.8</v>
      </c>
      <c r="K376" s="35">
        <v>18719.97</v>
      </c>
      <c r="L376" s="34">
        <v>3</v>
      </c>
    </row>
    <row r="377" spans="1:12" x14ac:dyDescent="0.25">
      <c r="A377" s="30" t="s">
        <v>166</v>
      </c>
      <c r="B377" s="30" t="s">
        <v>141</v>
      </c>
      <c r="C377" s="30" t="s">
        <v>137</v>
      </c>
      <c r="D377" s="34">
        <v>18</v>
      </c>
      <c r="E377" s="34">
        <v>26</v>
      </c>
      <c r="F377" s="35">
        <v>2933.95</v>
      </c>
      <c r="G377" s="35">
        <v>0</v>
      </c>
      <c r="H377" s="35">
        <v>359.94</v>
      </c>
      <c r="I377" s="35">
        <v>2574.0100000000002</v>
      </c>
      <c r="J377" s="35">
        <v>1548.17</v>
      </c>
      <c r="K377" s="35">
        <v>1025.8399999999999</v>
      </c>
      <c r="L377" s="34">
        <v>0</v>
      </c>
    </row>
    <row r="378" spans="1:12" x14ac:dyDescent="0.25">
      <c r="A378" s="30" t="s">
        <v>166</v>
      </c>
      <c r="B378" s="30" t="s">
        <v>141</v>
      </c>
      <c r="C378" s="30" t="s">
        <v>138</v>
      </c>
      <c r="D378" s="34">
        <v>40</v>
      </c>
      <c r="E378" s="34">
        <v>75</v>
      </c>
      <c r="F378" s="35">
        <v>7390.06</v>
      </c>
      <c r="G378" s="35">
        <v>0</v>
      </c>
      <c r="H378" s="35">
        <v>890.41</v>
      </c>
      <c r="I378" s="35">
        <v>6499.65</v>
      </c>
      <c r="J378" s="35">
        <v>3636.86</v>
      </c>
      <c r="K378" s="35">
        <v>2862.79</v>
      </c>
      <c r="L378" s="34">
        <v>0</v>
      </c>
    </row>
    <row r="379" spans="1:12" x14ac:dyDescent="0.25">
      <c r="A379" s="30" t="s">
        <v>166</v>
      </c>
      <c r="B379" s="30" t="s">
        <v>141</v>
      </c>
      <c r="C379" s="30" t="s">
        <v>139</v>
      </c>
      <c r="D379" s="34">
        <v>27</v>
      </c>
      <c r="E379" s="34">
        <v>55</v>
      </c>
      <c r="F379" s="35">
        <v>19100.79</v>
      </c>
      <c r="G379" s="35">
        <v>134.80000000000001</v>
      </c>
      <c r="H379" s="35">
        <v>2305.9699999999998</v>
      </c>
      <c r="I379" s="35">
        <v>16660.02</v>
      </c>
      <c r="J379" s="35">
        <v>10005.049999999999</v>
      </c>
      <c r="K379" s="35">
        <v>6654.97</v>
      </c>
      <c r="L379" s="34">
        <v>1</v>
      </c>
    </row>
    <row r="380" spans="1:12" x14ac:dyDescent="0.25">
      <c r="A380" s="30" t="s">
        <v>166</v>
      </c>
      <c r="B380" s="30" t="s">
        <v>141</v>
      </c>
      <c r="C380" s="30" t="s">
        <v>140</v>
      </c>
      <c r="D380" s="34">
        <v>45</v>
      </c>
      <c r="E380" s="34">
        <v>87</v>
      </c>
      <c r="F380" s="35">
        <v>16049.65</v>
      </c>
      <c r="G380" s="35">
        <v>986.14</v>
      </c>
      <c r="H380" s="35">
        <v>1936.96</v>
      </c>
      <c r="I380" s="35">
        <v>13126.55</v>
      </c>
      <c r="J380" s="35">
        <v>6389.81</v>
      </c>
      <c r="K380" s="35">
        <v>6736.74</v>
      </c>
      <c r="L380" s="34">
        <v>3</v>
      </c>
    </row>
    <row r="381" spans="1:12" x14ac:dyDescent="0.25">
      <c r="A381" s="30" t="s">
        <v>166</v>
      </c>
      <c r="B381" s="30" t="s">
        <v>142</v>
      </c>
      <c r="C381" s="30" t="s">
        <v>137</v>
      </c>
      <c r="D381" s="34">
        <v>11</v>
      </c>
      <c r="E381" s="34">
        <v>21</v>
      </c>
      <c r="F381" s="35">
        <v>2283.17</v>
      </c>
      <c r="G381" s="35">
        <v>0</v>
      </c>
      <c r="H381" s="35">
        <v>1.47</v>
      </c>
      <c r="I381" s="35">
        <v>2281.6999999999998</v>
      </c>
      <c r="J381" s="35">
        <v>1243.1300000000001</v>
      </c>
      <c r="K381" s="35">
        <v>1038.57</v>
      </c>
      <c r="L381" s="34">
        <v>0</v>
      </c>
    </row>
    <row r="382" spans="1:12" x14ac:dyDescent="0.25">
      <c r="A382" s="30" t="s">
        <v>166</v>
      </c>
      <c r="B382" s="30" t="s">
        <v>142</v>
      </c>
      <c r="C382" s="30" t="s">
        <v>138</v>
      </c>
      <c r="D382" s="34">
        <v>21</v>
      </c>
      <c r="E382" s="34">
        <v>34</v>
      </c>
      <c r="F382" s="35">
        <v>3574.09</v>
      </c>
      <c r="G382" s="35">
        <v>263.23</v>
      </c>
      <c r="H382" s="35">
        <v>-6.71</v>
      </c>
      <c r="I382" s="35">
        <v>3317.57</v>
      </c>
      <c r="J382" s="35">
        <v>1741.3</v>
      </c>
      <c r="K382" s="35">
        <v>1576.27</v>
      </c>
      <c r="L382" s="34">
        <v>2</v>
      </c>
    </row>
    <row r="383" spans="1:12" x14ac:dyDescent="0.25">
      <c r="A383" s="30" t="s">
        <v>166</v>
      </c>
      <c r="B383" s="30" t="s">
        <v>142</v>
      </c>
      <c r="C383" s="30" t="s">
        <v>139</v>
      </c>
      <c r="D383" s="34">
        <v>18</v>
      </c>
      <c r="E383" s="34">
        <v>28</v>
      </c>
      <c r="F383" s="35">
        <v>8871.91</v>
      </c>
      <c r="G383" s="35">
        <v>387.1</v>
      </c>
      <c r="H383" s="35">
        <v>-9.2100000000000009</v>
      </c>
      <c r="I383" s="35">
        <v>8494.02</v>
      </c>
      <c r="J383" s="35">
        <v>4718.3500000000004</v>
      </c>
      <c r="K383" s="35">
        <v>3775.67</v>
      </c>
      <c r="L383" s="34">
        <v>1</v>
      </c>
    </row>
    <row r="384" spans="1:12" x14ac:dyDescent="0.25">
      <c r="A384" s="30" t="s">
        <v>166</v>
      </c>
      <c r="B384" s="30" t="s">
        <v>142</v>
      </c>
      <c r="C384" s="30" t="s">
        <v>140</v>
      </c>
      <c r="D384" s="34">
        <v>28</v>
      </c>
      <c r="E384" s="34">
        <v>51</v>
      </c>
      <c r="F384" s="35">
        <v>10060.91</v>
      </c>
      <c r="G384" s="35">
        <v>0</v>
      </c>
      <c r="H384" s="35">
        <v>-18.64</v>
      </c>
      <c r="I384" s="35">
        <v>10079.549999999999</v>
      </c>
      <c r="J384" s="35">
        <v>3998.05</v>
      </c>
      <c r="K384" s="35">
        <v>6081.5</v>
      </c>
      <c r="L384" s="34">
        <v>0</v>
      </c>
    </row>
    <row r="385" spans="1:12" x14ac:dyDescent="0.25">
      <c r="A385" s="30" t="s">
        <v>166</v>
      </c>
      <c r="B385" s="30" t="s">
        <v>143</v>
      </c>
      <c r="C385" s="30" t="s">
        <v>137</v>
      </c>
      <c r="D385" s="34">
        <v>44</v>
      </c>
      <c r="E385" s="34">
        <v>66</v>
      </c>
      <c r="F385" s="35">
        <v>8293.52</v>
      </c>
      <c r="G385" s="35">
        <v>430.9</v>
      </c>
      <c r="H385" s="35">
        <v>1421.72</v>
      </c>
      <c r="I385" s="35">
        <v>6440.9</v>
      </c>
      <c r="J385" s="35">
        <v>4363.1499999999996</v>
      </c>
      <c r="K385" s="35">
        <v>2077.75</v>
      </c>
      <c r="L385" s="34">
        <v>4</v>
      </c>
    </row>
    <row r="386" spans="1:12" x14ac:dyDescent="0.25">
      <c r="A386" s="30" t="s">
        <v>166</v>
      </c>
      <c r="B386" s="30" t="s">
        <v>143</v>
      </c>
      <c r="C386" s="30" t="s">
        <v>138</v>
      </c>
      <c r="D386" s="34">
        <v>51</v>
      </c>
      <c r="E386" s="34">
        <v>104</v>
      </c>
      <c r="F386" s="35">
        <v>9591.76</v>
      </c>
      <c r="G386" s="35">
        <v>834.84</v>
      </c>
      <c r="H386" s="35">
        <v>1621.46</v>
      </c>
      <c r="I386" s="35">
        <v>7135.46</v>
      </c>
      <c r="J386" s="35">
        <v>4632.67</v>
      </c>
      <c r="K386" s="35">
        <v>2502.79</v>
      </c>
      <c r="L386" s="34">
        <v>5</v>
      </c>
    </row>
    <row r="387" spans="1:12" x14ac:dyDescent="0.25">
      <c r="A387" s="30" t="s">
        <v>166</v>
      </c>
      <c r="B387" s="30" t="s">
        <v>143</v>
      </c>
      <c r="C387" s="30" t="s">
        <v>139</v>
      </c>
      <c r="D387" s="34">
        <v>44</v>
      </c>
      <c r="E387" s="34">
        <v>78</v>
      </c>
      <c r="F387" s="35">
        <v>22960.42</v>
      </c>
      <c r="G387" s="35">
        <v>371.41</v>
      </c>
      <c r="H387" s="35">
        <v>3866.96</v>
      </c>
      <c r="I387" s="35">
        <v>18722.05</v>
      </c>
      <c r="J387" s="35">
        <v>12477.71</v>
      </c>
      <c r="K387" s="35">
        <v>6244.34</v>
      </c>
      <c r="L387" s="34">
        <v>2</v>
      </c>
    </row>
    <row r="388" spans="1:12" x14ac:dyDescent="0.25">
      <c r="A388" s="30" t="s">
        <v>166</v>
      </c>
      <c r="B388" s="30" t="s">
        <v>143</v>
      </c>
      <c r="C388" s="30" t="s">
        <v>140</v>
      </c>
      <c r="D388" s="34">
        <v>83</v>
      </c>
      <c r="E388" s="34">
        <v>162</v>
      </c>
      <c r="F388" s="35">
        <v>31199.98</v>
      </c>
      <c r="G388" s="35">
        <v>4631.1000000000004</v>
      </c>
      <c r="H388" s="35">
        <v>5322.54</v>
      </c>
      <c r="I388" s="35">
        <v>21246.34</v>
      </c>
      <c r="J388" s="35">
        <v>12451.85</v>
      </c>
      <c r="K388" s="35">
        <v>8794.49</v>
      </c>
      <c r="L388" s="34">
        <v>9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G1"/>
    </sheetView>
  </sheetViews>
  <sheetFormatPr defaultColWidth="8.7109375" defaultRowHeight="15" x14ac:dyDescent="0.25"/>
  <cols>
    <col min="1" max="1" width="14" customWidth="1"/>
    <col min="2" max="2" width="18" customWidth="1"/>
    <col min="3" max="3" width="14" customWidth="1"/>
    <col min="4" max="4" width="16" customWidth="1"/>
    <col min="5" max="5" width="14" customWidth="1"/>
    <col min="6" max="6" width="18" customWidth="1"/>
    <col min="7" max="7" width="14" customWidth="1"/>
  </cols>
  <sheetData>
    <row r="1" spans="1:7" ht="27.75" customHeight="1" x14ac:dyDescent="0.25">
      <c r="A1" s="8" t="s">
        <v>167</v>
      </c>
      <c r="B1" s="8"/>
      <c r="C1" s="8"/>
      <c r="D1" s="8"/>
      <c r="E1" s="8"/>
      <c r="F1" s="8"/>
      <c r="G1" s="8"/>
    </row>
    <row r="2" spans="1:7" x14ac:dyDescent="0.25">
      <c r="A2" s="7" t="s">
        <v>168</v>
      </c>
      <c r="B2" s="7"/>
      <c r="C2" s="7"/>
      <c r="D2" s="7"/>
      <c r="E2" s="7"/>
      <c r="F2" s="7"/>
      <c r="G2" s="7"/>
    </row>
    <row r="4" spans="1:7" x14ac:dyDescent="0.25">
      <c r="A4" s="33" t="s">
        <v>123</v>
      </c>
      <c r="B4" s="33" t="s">
        <v>125</v>
      </c>
      <c r="C4" s="33" t="s">
        <v>169</v>
      </c>
      <c r="D4" s="33" t="s">
        <v>170</v>
      </c>
    </row>
    <row r="5" spans="1:7" x14ac:dyDescent="0.25">
      <c r="A5" s="30" t="s">
        <v>135</v>
      </c>
      <c r="B5" s="30" t="s">
        <v>171</v>
      </c>
      <c r="C5" s="34">
        <v>4</v>
      </c>
      <c r="D5" s="35">
        <v>4109.09</v>
      </c>
    </row>
    <row r="6" spans="1:7" x14ac:dyDescent="0.25">
      <c r="A6" s="30" t="s">
        <v>135</v>
      </c>
      <c r="B6" s="30" t="s">
        <v>172</v>
      </c>
      <c r="C6" s="34">
        <v>5</v>
      </c>
      <c r="D6" s="35">
        <v>9500.01</v>
      </c>
    </row>
    <row r="7" spans="1:7" x14ac:dyDescent="0.25">
      <c r="A7" s="30" t="s">
        <v>135</v>
      </c>
      <c r="B7" s="30" t="s">
        <v>173</v>
      </c>
      <c r="C7" s="34">
        <v>3</v>
      </c>
      <c r="D7" s="35">
        <v>2199.9899999999998</v>
      </c>
    </row>
    <row r="8" spans="1:7" x14ac:dyDescent="0.25">
      <c r="A8" s="30" t="s">
        <v>135</v>
      </c>
      <c r="B8" s="30" t="s">
        <v>174</v>
      </c>
      <c r="C8" s="34">
        <v>1</v>
      </c>
      <c r="D8" s="35">
        <v>1365.44</v>
      </c>
    </row>
    <row r="9" spans="1:7" x14ac:dyDescent="0.25">
      <c r="A9" s="30" t="s">
        <v>135</v>
      </c>
      <c r="B9" s="30" t="s">
        <v>175</v>
      </c>
      <c r="C9" s="34">
        <v>4</v>
      </c>
      <c r="D9" s="35">
        <v>8993.9500000000007</v>
      </c>
    </row>
    <row r="10" spans="1:7" x14ac:dyDescent="0.25">
      <c r="A10" s="30" t="s">
        <v>135</v>
      </c>
      <c r="B10" s="30" t="s">
        <v>176</v>
      </c>
      <c r="C10" s="34">
        <v>2</v>
      </c>
      <c r="D10" s="35">
        <v>17846.39</v>
      </c>
    </row>
    <row r="11" spans="1:7" x14ac:dyDescent="0.25">
      <c r="A11" s="30" t="s">
        <v>135</v>
      </c>
      <c r="B11" s="30" t="s">
        <v>177</v>
      </c>
      <c r="C11" s="34">
        <v>2</v>
      </c>
      <c r="D11" s="35">
        <v>791.43</v>
      </c>
    </row>
    <row r="12" spans="1:7" x14ac:dyDescent="0.25">
      <c r="A12" s="30" t="s">
        <v>135</v>
      </c>
      <c r="B12" s="30" t="s">
        <v>178</v>
      </c>
      <c r="C12" s="34">
        <v>5</v>
      </c>
      <c r="D12" s="35">
        <v>50652.31</v>
      </c>
    </row>
    <row r="13" spans="1:7" x14ac:dyDescent="0.25">
      <c r="A13" s="30" t="s">
        <v>135</v>
      </c>
      <c r="B13" s="30" t="s">
        <v>179</v>
      </c>
      <c r="C13" s="34">
        <v>6</v>
      </c>
      <c r="D13" s="35">
        <v>6715.05</v>
      </c>
    </row>
    <row r="14" spans="1:7" x14ac:dyDescent="0.25">
      <c r="A14" s="30" t="s">
        <v>144</v>
      </c>
      <c r="B14" s="30" t="s">
        <v>171</v>
      </c>
      <c r="C14" s="34">
        <v>1</v>
      </c>
      <c r="D14" s="35">
        <v>2500</v>
      </c>
    </row>
    <row r="15" spans="1:7" x14ac:dyDescent="0.25">
      <c r="A15" s="30" t="s">
        <v>144</v>
      </c>
      <c r="B15" s="30" t="s">
        <v>172</v>
      </c>
      <c r="C15" s="34">
        <v>3</v>
      </c>
      <c r="D15" s="35">
        <v>9500</v>
      </c>
    </row>
    <row r="16" spans="1:7" x14ac:dyDescent="0.25">
      <c r="A16" s="30" t="s">
        <v>144</v>
      </c>
      <c r="B16" s="30" t="s">
        <v>173</v>
      </c>
      <c r="C16" s="34">
        <v>2</v>
      </c>
      <c r="D16" s="35">
        <v>2200</v>
      </c>
    </row>
    <row r="17" spans="1:4" x14ac:dyDescent="0.25">
      <c r="A17" s="30" t="s">
        <v>144</v>
      </c>
      <c r="B17" s="30" t="s">
        <v>174</v>
      </c>
      <c r="C17" s="34">
        <v>2</v>
      </c>
      <c r="D17" s="35">
        <v>1351.57</v>
      </c>
    </row>
    <row r="18" spans="1:4" x14ac:dyDescent="0.25">
      <c r="A18" s="30" t="s">
        <v>144</v>
      </c>
      <c r="B18" s="30" t="s">
        <v>175</v>
      </c>
      <c r="C18" s="34">
        <v>4</v>
      </c>
      <c r="D18" s="35">
        <v>9160.58</v>
      </c>
    </row>
    <row r="19" spans="1:4" x14ac:dyDescent="0.25">
      <c r="A19" s="30" t="s">
        <v>144</v>
      </c>
      <c r="B19" s="30" t="s">
        <v>176</v>
      </c>
      <c r="C19" s="34">
        <v>4</v>
      </c>
      <c r="D19" s="35">
        <v>12148.23</v>
      </c>
    </row>
    <row r="20" spans="1:4" x14ac:dyDescent="0.25">
      <c r="A20" s="30" t="s">
        <v>144</v>
      </c>
      <c r="B20" s="30" t="s">
        <v>177</v>
      </c>
      <c r="C20" s="34">
        <v>3</v>
      </c>
      <c r="D20" s="35">
        <v>878.67</v>
      </c>
    </row>
    <row r="21" spans="1:4" x14ac:dyDescent="0.25">
      <c r="A21" s="30" t="s">
        <v>144</v>
      </c>
      <c r="B21" s="30" t="s">
        <v>178</v>
      </c>
      <c r="C21" s="34">
        <v>5</v>
      </c>
      <c r="D21" s="35">
        <v>52124.12</v>
      </c>
    </row>
    <row r="22" spans="1:4" x14ac:dyDescent="0.25">
      <c r="A22" s="30" t="s">
        <v>144</v>
      </c>
      <c r="B22" s="30" t="s">
        <v>179</v>
      </c>
      <c r="C22" s="34">
        <v>4</v>
      </c>
      <c r="D22" s="35">
        <v>6617.13</v>
      </c>
    </row>
    <row r="23" spans="1:4" x14ac:dyDescent="0.25">
      <c r="A23" s="30" t="s">
        <v>145</v>
      </c>
      <c r="B23" s="30" t="s">
        <v>171</v>
      </c>
      <c r="C23" s="34">
        <v>2</v>
      </c>
      <c r="D23" s="35">
        <v>2500</v>
      </c>
    </row>
    <row r="24" spans="1:4" x14ac:dyDescent="0.25">
      <c r="A24" s="30" t="s">
        <v>145</v>
      </c>
      <c r="B24" s="30" t="s">
        <v>172</v>
      </c>
      <c r="C24" s="34">
        <v>3</v>
      </c>
      <c r="D24" s="35">
        <v>9500</v>
      </c>
    </row>
    <row r="25" spans="1:4" x14ac:dyDescent="0.25">
      <c r="A25" s="30" t="s">
        <v>145</v>
      </c>
      <c r="B25" s="30" t="s">
        <v>173</v>
      </c>
      <c r="C25" s="34">
        <v>3</v>
      </c>
      <c r="D25" s="35">
        <v>2199.9899999999998</v>
      </c>
    </row>
    <row r="26" spans="1:4" x14ac:dyDescent="0.25">
      <c r="A26" s="30" t="s">
        <v>145</v>
      </c>
      <c r="B26" s="30" t="s">
        <v>174</v>
      </c>
      <c r="C26" s="34">
        <v>1</v>
      </c>
      <c r="D26" s="35">
        <v>1345.81</v>
      </c>
    </row>
    <row r="27" spans="1:4" x14ac:dyDescent="0.25">
      <c r="A27" s="30" t="s">
        <v>145</v>
      </c>
      <c r="B27" s="30" t="s">
        <v>175</v>
      </c>
      <c r="C27" s="34">
        <v>4</v>
      </c>
      <c r="D27" s="35">
        <v>9764.07</v>
      </c>
    </row>
    <row r="28" spans="1:4" x14ac:dyDescent="0.25">
      <c r="A28" s="30" t="s">
        <v>145</v>
      </c>
      <c r="B28" s="30" t="s">
        <v>176</v>
      </c>
      <c r="C28" s="34">
        <v>2</v>
      </c>
      <c r="D28" s="35">
        <v>10991.08</v>
      </c>
    </row>
    <row r="29" spans="1:4" x14ac:dyDescent="0.25">
      <c r="A29" s="30" t="s">
        <v>145</v>
      </c>
      <c r="B29" s="30" t="s">
        <v>177</v>
      </c>
      <c r="C29" s="34">
        <v>1</v>
      </c>
      <c r="D29" s="35">
        <v>864.81</v>
      </c>
    </row>
    <row r="30" spans="1:4" x14ac:dyDescent="0.25">
      <c r="A30" s="30" t="s">
        <v>145</v>
      </c>
      <c r="B30" s="30" t="s">
        <v>178</v>
      </c>
      <c r="C30" s="34">
        <v>8</v>
      </c>
      <c r="D30" s="35">
        <v>50124.75</v>
      </c>
    </row>
    <row r="31" spans="1:4" x14ac:dyDescent="0.25">
      <c r="A31" s="30" t="s">
        <v>145</v>
      </c>
      <c r="B31" s="30" t="s">
        <v>179</v>
      </c>
      <c r="C31" s="34">
        <v>6</v>
      </c>
      <c r="D31" s="35">
        <v>6653.07</v>
      </c>
    </row>
    <row r="32" spans="1:4" x14ac:dyDescent="0.25">
      <c r="A32" s="30" t="s">
        <v>146</v>
      </c>
      <c r="B32" s="30" t="s">
        <v>171</v>
      </c>
      <c r="C32" s="34">
        <v>4</v>
      </c>
      <c r="D32" s="35">
        <v>4557.28</v>
      </c>
    </row>
    <row r="33" spans="1:4" x14ac:dyDescent="0.25">
      <c r="A33" s="30" t="s">
        <v>146</v>
      </c>
      <c r="B33" s="30" t="s">
        <v>172</v>
      </c>
      <c r="C33" s="34">
        <v>3</v>
      </c>
      <c r="D33" s="35">
        <v>9500</v>
      </c>
    </row>
    <row r="34" spans="1:4" x14ac:dyDescent="0.25">
      <c r="A34" s="30" t="s">
        <v>146</v>
      </c>
      <c r="B34" s="30" t="s">
        <v>173</v>
      </c>
      <c r="C34" s="34">
        <v>3</v>
      </c>
      <c r="D34" s="35">
        <v>2199.9899999999998</v>
      </c>
    </row>
    <row r="35" spans="1:4" x14ac:dyDescent="0.25">
      <c r="A35" s="30" t="s">
        <v>146</v>
      </c>
      <c r="B35" s="30" t="s">
        <v>174</v>
      </c>
      <c r="C35" s="34">
        <v>3</v>
      </c>
      <c r="D35" s="35">
        <v>1298.0999999999999</v>
      </c>
    </row>
    <row r="36" spans="1:4" x14ac:dyDescent="0.25">
      <c r="A36" s="30" t="s">
        <v>146</v>
      </c>
      <c r="B36" s="30" t="s">
        <v>175</v>
      </c>
      <c r="C36" s="34">
        <v>2</v>
      </c>
      <c r="D36" s="35">
        <v>10858.12</v>
      </c>
    </row>
    <row r="37" spans="1:4" x14ac:dyDescent="0.25">
      <c r="A37" s="30" t="s">
        <v>146</v>
      </c>
      <c r="B37" s="30" t="s">
        <v>176</v>
      </c>
      <c r="C37" s="34">
        <v>4</v>
      </c>
      <c r="D37" s="35">
        <v>12370.69</v>
      </c>
    </row>
    <row r="38" spans="1:4" x14ac:dyDescent="0.25">
      <c r="A38" s="30" t="s">
        <v>146</v>
      </c>
      <c r="B38" s="30" t="s">
        <v>177</v>
      </c>
      <c r="C38" s="34">
        <v>2</v>
      </c>
      <c r="D38" s="35">
        <v>688.55</v>
      </c>
    </row>
    <row r="39" spans="1:4" x14ac:dyDescent="0.25">
      <c r="A39" s="30" t="s">
        <v>146</v>
      </c>
      <c r="B39" s="30" t="s">
        <v>178</v>
      </c>
      <c r="C39" s="34">
        <v>4</v>
      </c>
      <c r="D39" s="35">
        <v>49472.83</v>
      </c>
    </row>
    <row r="40" spans="1:4" x14ac:dyDescent="0.25">
      <c r="A40" s="30" t="s">
        <v>146</v>
      </c>
      <c r="B40" s="30" t="s">
        <v>179</v>
      </c>
      <c r="C40" s="34">
        <v>3</v>
      </c>
      <c r="D40" s="35">
        <v>6588.75</v>
      </c>
    </row>
    <row r="41" spans="1:4" x14ac:dyDescent="0.25">
      <c r="A41" s="30" t="s">
        <v>147</v>
      </c>
      <c r="B41" s="30" t="s">
        <v>171</v>
      </c>
      <c r="C41" s="34">
        <v>2</v>
      </c>
      <c r="D41" s="35">
        <v>2500</v>
      </c>
    </row>
    <row r="42" spans="1:4" x14ac:dyDescent="0.25">
      <c r="A42" s="30" t="s">
        <v>147</v>
      </c>
      <c r="B42" s="30" t="s">
        <v>172</v>
      </c>
      <c r="C42" s="34">
        <v>3</v>
      </c>
      <c r="D42" s="35">
        <v>9500</v>
      </c>
    </row>
    <row r="43" spans="1:4" x14ac:dyDescent="0.25">
      <c r="A43" s="30" t="s">
        <v>147</v>
      </c>
      <c r="B43" s="30" t="s">
        <v>173</v>
      </c>
      <c r="C43" s="34">
        <v>3</v>
      </c>
      <c r="D43" s="35">
        <v>2199.9899999999998</v>
      </c>
    </row>
    <row r="44" spans="1:4" x14ac:dyDescent="0.25">
      <c r="A44" s="30" t="s">
        <v>147</v>
      </c>
      <c r="B44" s="30" t="s">
        <v>174</v>
      </c>
      <c r="C44" s="34">
        <v>3</v>
      </c>
      <c r="D44" s="35">
        <v>1353.03</v>
      </c>
    </row>
    <row r="45" spans="1:4" x14ac:dyDescent="0.25">
      <c r="A45" s="30" t="s">
        <v>147</v>
      </c>
      <c r="B45" s="30" t="s">
        <v>175</v>
      </c>
      <c r="C45" s="34">
        <v>2</v>
      </c>
      <c r="D45" s="35">
        <v>9866.92</v>
      </c>
    </row>
    <row r="46" spans="1:4" x14ac:dyDescent="0.25">
      <c r="A46" s="30" t="s">
        <v>147</v>
      </c>
      <c r="B46" s="30" t="s">
        <v>176</v>
      </c>
      <c r="C46" s="34">
        <v>5</v>
      </c>
      <c r="D46" s="35">
        <v>17102.54</v>
      </c>
    </row>
    <row r="47" spans="1:4" x14ac:dyDescent="0.25">
      <c r="A47" s="30" t="s">
        <v>147</v>
      </c>
      <c r="B47" s="30" t="s">
        <v>177</v>
      </c>
      <c r="C47" s="34">
        <v>1</v>
      </c>
      <c r="D47" s="35">
        <v>773.72</v>
      </c>
    </row>
    <row r="48" spans="1:4" x14ac:dyDescent="0.25">
      <c r="A48" s="30" t="s">
        <v>147</v>
      </c>
      <c r="B48" s="30" t="s">
        <v>178</v>
      </c>
      <c r="C48" s="34">
        <v>6</v>
      </c>
      <c r="D48" s="35">
        <v>51984.88</v>
      </c>
    </row>
    <row r="49" spans="1:4" x14ac:dyDescent="0.25">
      <c r="A49" s="30" t="s">
        <v>147</v>
      </c>
      <c r="B49" s="30" t="s">
        <v>179</v>
      </c>
      <c r="C49" s="34">
        <v>4</v>
      </c>
      <c r="D49" s="35">
        <v>6590.3</v>
      </c>
    </row>
    <row r="50" spans="1:4" x14ac:dyDescent="0.25">
      <c r="A50" s="30" t="s">
        <v>148</v>
      </c>
      <c r="B50" s="30" t="s">
        <v>171</v>
      </c>
      <c r="C50" s="34">
        <v>2</v>
      </c>
      <c r="D50" s="35">
        <v>2500</v>
      </c>
    </row>
    <row r="51" spans="1:4" x14ac:dyDescent="0.25">
      <c r="A51" s="30" t="s">
        <v>148</v>
      </c>
      <c r="B51" s="30" t="s">
        <v>172</v>
      </c>
      <c r="C51" s="34">
        <v>3</v>
      </c>
      <c r="D51" s="35">
        <v>9500</v>
      </c>
    </row>
    <row r="52" spans="1:4" x14ac:dyDescent="0.25">
      <c r="A52" s="30" t="s">
        <v>148</v>
      </c>
      <c r="B52" s="30" t="s">
        <v>173</v>
      </c>
      <c r="C52" s="34">
        <v>3</v>
      </c>
      <c r="D52" s="35">
        <v>2199.9899999999998</v>
      </c>
    </row>
    <row r="53" spans="1:4" x14ac:dyDescent="0.25">
      <c r="A53" s="30" t="s">
        <v>148</v>
      </c>
      <c r="B53" s="30" t="s">
        <v>174</v>
      </c>
      <c r="C53" s="34">
        <v>1</v>
      </c>
      <c r="D53" s="35">
        <v>1278.47</v>
      </c>
    </row>
    <row r="54" spans="1:4" x14ac:dyDescent="0.25">
      <c r="A54" s="30" t="s">
        <v>148</v>
      </c>
      <c r="B54" s="30" t="s">
        <v>175</v>
      </c>
      <c r="C54" s="34">
        <v>3</v>
      </c>
      <c r="D54" s="35">
        <v>9425.93</v>
      </c>
    </row>
    <row r="55" spans="1:4" x14ac:dyDescent="0.25">
      <c r="A55" s="30" t="s">
        <v>148</v>
      </c>
      <c r="B55" s="30" t="s">
        <v>176</v>
      </c>
      <c r="C55" s="34">
        <v>2</v>
      </c>
      <c r="D55" s="35">
        <v>17727.79</v>
      </c>
    </row>
    <row r="56" spans="1:4" x14ac:dyDescent="0.25">
      <c r="A56" s="30" t="s">
        <v>148</v>
      </c>
      <c r="B56" s="30" t="s">
        <v>177</v>
      </c>
      <c r="C56" s="34">
        <v>2</v>
      </c>
      <c r="D56" s="35">
        <v>770.82</v>
      </c>
    </row>
    <row r="57" spans="1:4" x14ac:dyDescent="0.25">
      <c r="A57" s="30" t="s">
        <v>148</v>
      </c>
      <c r="B57" s="30" t="s">
        <v>178</v>
      </c>
      <c r="C57" s="34">
        <v>6</v>
      </c>
      <c r="D57" s="35">
        <v>50582.85</v>
      </c>
    </row>
    <row r="58" spans="1:4" x14ac:dyDescent="0.25">
      <c r="A58" s="30" t="s">
        <v>148</v>
      </c>
      <c r="B58" s="30" t="s">
        <v>179</v>
      </c>
      <c r="C58" s="34">
        <v>4</v>
      </c>
      <c r="D58" s="35">
        <v>6700.43</v>
      </c>
    </row>
    <row r="59" spans="1:4" x14ac:dyDescent="0.25">
      <c r="A59" s="30" t="s">
        <v>149</v>
      </c>
      <c r="B59" s="30" t="s">
        <v>171</v>
      </c>
      <c r="C59" s="34">
        <v>4</v>
      </c>
      <c r="D59" s="35">
        <v>4252.75</v>
      </c>
    </row>
    <row r="60" spans="1:4" x14ac:dyDescent="0.25">
      <c r="A60" s="30" t="s">
        <v>149</v>
      </c>
      <c r="B60" s="30" t="s">
        <v>172</v>
      </c>
      <c r="C60" s="34">
        <v>2</v>
      </c>
      <c r="D60" s="35">
        <v>9500</v>
      </c>
    </row>
    <row r="61" spans="1:4" x14ac:dyDescent="0.25">
      <c r="A61" s="30" t="s">
        <v>149</v>
      </c>
      <c r="B61" s="30" t="s">
        <v>173</v>
      </c>
      <c r="C61" s="34">
        <v>3</v>
      </c>
      <c r="D61" s="35">
        <v>2199.9899999999998</v>
      </c>
    </row>
    <row r="62" spans="1:4" x14ac:dyDescent="0.25">
      <c r="A62" s="30" t="s">
        <v>149</v>
      </c>
      <c r="B62" s="30" t="s">
        <v>174</v>
      </c>
      <c r="C62" s="34">
        <v>3</v>
      </c>
      <c r="D62" s="35">
        <v>5445.99</v>
      </c>
    </row>
    <row r="63" spans="1:4" x14ac:dyDescent="0.25">
      <c r="A63" s="30" t="s">
        <v>149</v>
      </c>
      <c r="B63" s="30" t="s">
        <v>175</v>
      </c>
      <c r="C63" s="34">
        <v>3</v>
      </c>
      <c r="D63" s="35">
        <v>10739.52</v>
      </c>
    </row>
    <row r="64" spans="1:4" x14ac:dyDescent="0.25">
      <c r="A64" s="30" t="s">
        <v>149</v>
      </c>
      <c r="B64" s="30" t="s">
        <v>176</v>
      </c>
      <c r="C64" s="34">
        <v>2</v>
      </c>
      <c r="D64" s="35">
        <v>9948.49</v>
      </c>
    </row>
    <row r="65" spans="1:4" x14ac:dyDescent="0.25">
      <c r="A65" s="30" t="s">
        <v>149</v>
      </c>
      <c r="B65" s="30" t="s">
        <v>177</v>
      </c>
      <c r="C65" s="34">
        <v>3</v>
      </c>
      <c r="D65" s="35">
        <v>984.56</v>
      </c>
    </row>
    <row r="66" spans="1:4" x14ac:dyDescent="0.25">
      <c r="A66" s="30" t="s">
        <v>149</v>
      </c>
      <c r="B66" s="30" t="s">
        <v>178</v>
      </c>
      <c r="C66" s="34">
        <v>7</v>
      </c>
      <c r="D66" s="35">
        <v>51882.99</v>
      </c>
    </row>
    <row r="67" spans="1:4" x14ac:dyDescent="0.25">
      <c r="A67" s="30" t="s">
        <v>149</v>
      </c>
      <c r="B67" s="30" t="s">
        <v>179</v>
      </c>
      <c r="C67" s="34">
        <v>5</v>
      </c>
      <c r="D67" s="35">
        <v>6624.29</v>
      </c>
    </row>
    <row r="68" spans="1:4" x14ac:dyDescent="0.25">
      <c r="A68" s="30" t="s">
        <v>150</v>
      </c>
      <c r="B68" s="30" t="s">
        <v>171</v>
      </c>
      <c r="C68" s="34">
        <v>1</v>
      </c>
      <c r="D68" s="35">
        <v>2500</v>
      </c>
    </row>
    <row r="69" spans="1:4" x14ac:dyDescent="0.25">
      <c r="A69" s="30" t="s">
        <v>150</v>
      </c>
      <c r="B69" s="30" t="s">
        <v>172</v>
      </c>
      <c r="C69" s="34">
        <v>4</v>
      </c>
      <c r="D69" s="35">
        <v>9500</v>
      </c>
    </row>
    <row r="70" spans="1:4" x14ac:dyDescent="0.25">
      <c r="A70" s="30" t="s">
        <v>150</v>
      </c>
      <c r="B70" s="30" t="s">
        <v>173</v>
      </c>
      <c r="C70" s="34">
        <v>2</v>
      </c>
      <c r="D70" s="35">
        <v>2200</v>
      </c>
    </row>
    <row r="71" spans="1:4" x14ac:dyDescent="0.25">
      <c r="A71" s="30" t="s">
        <v>150</v>
      </c>
      <c r="B71" s="30" t="s">
        <v>174</v>
      </c>
      <c r="C71" s="34">
        <v>2</v>
      </c>
      <c r="D71" s="35">
        <v>1313.68</v>
      </c>
    </row>
    <row r="72" spans="1:4" x14ac:dyDescent="0.25">
      <c r="A72" s="30" t="s">
        <v>150</v>
      </c>
      <c r="B72" s="30" t="s">
        <v>175</v>
      </c>
      <c r="C72" s="34">
        <v>3</v>
      </c>
      <c r="D72" s="35">
        <v>10757.29</v>
      </c>
    </row>
    <row r="73" spans="1:4" x14ac:dyDescent="0.25">
      <c r="A73" s="30" t="s">
        <v>150</v>
      </c>
      <c r="B73" s="30" t="s">
        <v>176</v>
      </c>
      <c r="C73" s="34">
        <v>3</v>
      </c>
      <c r="D73" s="35">
        <v>12849.46</v>
      </c>
    </row>
    <row r="74" spans="1:4" x14ac:dyDescent="0.25">
      <c r="A74" s="30" t="s">
        <v>150</v>
      </c>
      <c r="B74" s="30" t="s">
        <v>177</v>
      </c>
      <c r="C74" s="34">
        <v>2</v>
      </c>
      <c r="D74" s="35">
        <v>873.81</v>
      </c>
    </row>
    <row r="75" spans="1:4" x14ac:dyDescent="0.25">
      <c r="A75" s="30" t="s">
        <v>150</v>
      </c>
      <c r="B75" s="30" t="s">
        <v>178</v>
      </c>
      <c r="C75" s="34">
        <v>5</v>
      </c>
      <c r="D75" s="35">
        <v>51904.5</v>
      </c>
    </row>
    <row r="76" spans="1:4" x14ac:dyDescent="0.25">
      <c r="A76" s="30" t="s">
        <v>150</v>
      </c>
      <c r="B76" s="30" t="s">
        <v>179</v>
      </c>
      <c r="C76" s="34">
        <v>6</v>
      </c>
      <c r="D76" s="35">
        <v>6794.75</v>
      </c>
    </row>
    <row r="77" spans="1:4" x14ac:dyDescent="0.25">
      <c r="A77" s="30" t="s">
        <v>151</v>
      </c>
      <c r="B77" s="30" t="s">
        <v>171</v>
      </c>
      <c r="C77" s="34">
        <v>3</v>
      </c>
      <c r="D77" s="35">
        <v>2499.9899999999998</v>
      </c>
    </row>
    <row r="78" spans="1:4" x14ac:dyDescent="0.25">
      <c r="A78" s="30" t="s">
        <v>151</v>
      </c>
      <c r="B78" s="30" t="s">
        <v>172</v>
      </c>
      <c r="C78" s="34">
        <v>4</v>
      </c>
      <c r="D78" s="35">
        <v>9500</v>
      </c>
    </row>
    <row r="79" spans="1:4" x14ac:dyDescent="0.25">
      <c r="A79" s="30" t="s">
        <v>151</v>
      </c>
      <c r="B79" s="30" t="s">
        <v>173</v>
      </c>
      <c r="C79" s="34">
        <v>3</v>
      </c>
      <c r="D79" s="35">
        <v>2199.9899999999998</v>
      </c>
    </row>
    <row r="80" spans="1:4" x14ac:dyDescent="0.25">
      <c r="A80" s="30" t="s">
        <v>151</v>
      </c>
      <c r="B80" s="30" t="s">
        <v>174</v>
      </c>
      <c r="C80" s="34">
        <v>1</v>
      </c>
      <c r="D80" s="35">
        <v>1301.22</v>
      </c>
    </row>
    <row r="81" spans="1:4" x14ac:dyDescent="0.25">
      <c r="A81" s="30" t="s">
        <v>151</v>
      </c>
      <c r="B81" s="30" t="s">
        <v>175</v>
      </c>
      <c r="C81" s="34">
        <v>2</v>
      </c>
      <c r="D81" s="35">
        <v>10794.97</v>
      </c>
    </row>
    <row r="82" spans="1:4" x14ac:dyDescent="0.25">
      <c r="A82" s="30" t="s">
        <v>151</v>
      </c>
      <c r="B82" s="30" t="s">
        <v>176</v>
      </c>
      <c r="C82" s="34">
        <v>6</v>
      </c>
      <c r="D82" s="35">
        <v>14265.61</v>
      </c>
    </row>
    <row r="83" spans="1:4" x14ac:dyDescent="0.25">
      <c r="A83" s="30" t="s">
        <v>151</v>
      </c>
      <c r="B83" s="30" t="s">
        <v>177</v>
      </c>
      <c r="C83" s="34">
        <v>1</v>
      </c>
      <c r="D83" s="35">
        <v>1050.3</v>
      </c>
    </row>
    <row r="84" spans="1:4" x14ac:dyDescent="0.25">
      <c r="A84" s="30" t="s">
        <v>151</v>
      </c>
      <c r="B84" s="30" t="s">
        <v>178</v>
      </c>
      <c r="C84" s="34">
        <v>7</v>
      </c>
      <c r="D84" s="35">
        <v>52089.52</v>
      </c>
    </row>
    <row r="85" spans="1:4" x14ac:dyDescent="0.25">
      <c r="A85" s="30" t="s">
        <v>151</v>
      </c>
      <c r="B85" s="30" t="s">
        <v>179</v>
      </c>
      <c r="C85" s="34">
        <v>6</v>
      </c>
      <c r="D85" s="35">
        <v>6782.06</v>
      </c>
    </row>
    <row r="86" spans="1:4" x14ac:dyDescent="0.25">
      <c r="A86" s="30" t="s">
        <v>152</v>
      </c>
      <c r="B86" s="30" t="s">
        <v>171</v>
      </c>
      <c r="C86" s="34">
        <v>2</v>
      </c>
      <c r="D86" s="35">
        <v>4537.54</v>
      </c>
    </row>
    <row r="87" spans="1:4" x14ac:dyDescent="0.25">
      <c r="A87" s="30" t="s">
        <v>152</v>
      </c>
      <c r="B87" s="30" t="s">
        <v>172</v>
      </c>
      <c r="C87" s="34">
        <v>3</v>
      </c>
      <c r="D87" s="35">
        <v>9500</v>
      </c>
    </row>
    <row r="88" spans="1:4" x14ac:dyDescent="0.25">
      <c r="A88" s="30" t="s">
        <v>152</v>
      </c>
      <c r="B88" s="30" t="s">
        <v>173</v>
      </c>
      <c r="C88" s="34">
        <v>2</v>
      </c>
      <c r="D88" s="35">
        <v>2200</v>
      </c>
    </row>
    <row r="89" spans="1:4" x14ac:dyDescent="0.25">
      <c r="A89" s="30" t="s">
        <v>152</v>
      </c>
      <c r="B89" s="30" t="s">
        <v>174</v>
      </c>
      <c r="C89" s="34">
        <v>1</v>
      </c>
      <c r="D89" s="35">
        <v>1178.82</v>
      </c>
    </row>
    <row r="90" spans="1:4" x14ac:dyDescent="0.25">
      <c r="A90" s="30" t="s">
        <v>152</v>
      </c>
      <c r="B90" s="30" t="s">
        <v>175</v>
      </c>
      <c r="C90" s="34">
        <v>6</v>
      </c>
      <c r="D90" s="35">
        <v>10176.35</v>
      </c>
    </row>
    <row r="91" spans="1:4" x14ac:dyDescent="0.25">
      <c r="A91" s="30" t="s">
        <v>152</v>
      </c>
      <c r="B91" s="30" t="s">
        <v>176</v>
      </c>
      <c r="C91" s="34">
        <v>4</v>
      </c>
      <c r="D91" s="35">
        <v>14515.82</v>
      </c>
    </row>
    <row r="92" spans="1:4" x14ac:dyDescent="0.25">
      <c r="A92" s="30" t="s">
        <v>152</v>
      </c>
      <c r="B92" s="30" t="s">
        <v>177</v>
      </c>
      <c r="C92" s="34">
        <v>1</v>
      </c>
      <c r="D92" s="35">
        <v>1132.05</v>
      </c>
    </row>
    <row r="93" spans="1:4" x14ac:dyDescent="0.25">
      <c r="A93" s="30" t="s">
        <v>152</v>
      </c>
      <c r="B93" s="30" t="s">
        <v>178</v>
      </c>
      <c r="C93" s="34">
        <v>5</v>
      </c>
      <c r="D93" s="35">
        <v>52459.11</v>
      </c>
    </row>
    <row r="94" spans="1:4" x14ac:dyDescent="0.25">
      <c r="A94" s="30" t="s">
        <v>152</v>
      </c>
      <c r="B94" s="30" t="s">
        <v>179</v>
      </c>
      <c r="C94" s="34">
        <v>2</v>
      </c>
      <c r="D94" s="35">
        <v>6763.48</v>
      </c>
    </row>
    <row r="95" spans="1:4" x14ac:dyDescent="0.25">
      <c r="A95" s="30" t="s">
        <v>153</v>
      </c>
      <c r="B95" s="30" t="s">
        <v>171</v>
      </c>
      <c r="C95" s="34">
        <v>1</v>
      </c>
      <c r="D95" s="35">
        <v>2500</v>
      </c>
    </row>
    <row r="96" spans="1:4" x14ac:dyDescent="0.25">
      <c r="A96" s="30" t="s">
        <v>153</v>
      </c>
      <c r="B96" s="30" t="s">
        <v>172</v>
      </c>
      <c r="C96" s="34">
        <v>4</v>
      </c>
      <c r="D96" s="35">
        <v>9500</v>
      </c>
    </row>
    <row r="97" spans="1:4" x14ac:dyDescent="0.25">
      <c r="A97" s="30" t="s">
        <v>153</v>
      </c>
      <c r="B97" s="30" t="s">
        <v>173</v>
      </c>
      <c r="C97" s="34">
        <v>2</v>
      </c>
      <c r="D97" s="35">
        <v>2200</v>
      </c>
    </row>
    <row r="98" spans="1:4" x14ac:dyDescent="0.25">
      <c r="A98" s="30" t="s">
        <v>153</v>
      </c>
      <c r="B98" s="30" t="s">
        <v>174</v>
      </c>
      <c r="C98" s="34">
        <v>2</v>
      </c>
      <c r="D98" s="35">
        <v>1292.18</v>
      </c>
    </row>
    <row r="99" spans="1:4" x14ac:dyDescent="0.25">
      <c r="A99" s="30" t="s">
        <v>153</v>
      </c>
      <c r="B99" s="30" t="s">
        <v>175</v>
      </c>
      <c r="C99" s="34">
        <v>4</v>
      </c>
      <c r="D99" s="35">
        <v>10253.379999999999</v>
      </c>
    </row>
    <row r="100" spans="1:4" x14ac:dyDescent="0.25">
      <c r="A100" s="30" t="s">
        <v>153</v>
      </c>
      <c r="B100" s="30" t="s">
        <v>176</v>
      </c>
      <c r="C100" s="34">
        <v>4</v>
      </c>
      <c r="D100" s="35">
        <v>16089.31</v>
      </c>
    </row>
    <row r="101" spans="1:4" x14ac:dyDescent="0.25">
      <c r="A101" s="30" t="s">
        <v>153</v>
      </c>
      <c r="B101" s="30" t="s">
        <v>177</v>
      </c>
      <c r="C101" s="34">
        <v>3</v>
      </c>
      <c r="D101" s="35">
        <v>797.15</v>
      </c>
    </row>
    <row r="102" spans="1:4" x14ac:dyDescent="0.25">
      <c r="A102" s="30" t="s">
        <v>153</v>
      </c>
      <c r="B102" s="30" t="s">
        <v>178</v>
      </c>
      <c r="C102" s="34">
        <v>6</v>
      </c>
      <c r="D102" s="35">
        <v>50631.33</v>
      </c>
    </row>
    <row r="103" spans="1:4" x14ac:dyDescent="0.25">
      <c r="A103" s="30" t="s">
        <v>153</v>
      </c>
      <c r="B103" s="30" t="s">
        <v>179</v>
      </c>
      <c r="C103" s="34">
        <v>4</v>
      </c>
      <c r="D103" s="35">
        <v>6514.9</v>
      </c>
    </row>
    <row r="104" spans="1:4" x14ac:dyDescent="0.25">
      <c r="A104" s="30" t="s">
        <v>154</v>
      </c>
      <c r="B104" s="30" t="s">
        <v>171</v>
      </c>
      <c r="C104" s="34">
        <v>1</v>
      </c>
      <c r="D104" s="35">
        <v>2500</v>
      </c>
    </row>
    <row r="105" spans="1:4" x14ac:dyDescent="0.25">
      <c r="A105" s="30" t="s">
        <v>154</v>
      </c>
      <c r="B105" s="30" t="s">
        <v>172</v>
      </c>
      <c r="C105" s="34">
        <v>2</v>
      </c>
      <c r="D105" s="35">
        <v>9500</v>
      </c>
    </row>
    <row r="106" spans="1:4" x14ac:dyDescent="0.25">
      <c r="A106" s="30" t="s">
        <v>154</v>
      </c>
      <c r="B106" s="30" t="s">
        <v>173</v>
      </c>
      <c r="C106" s="34">
        <v>1</v>
      </c>
      <c r="D106" s="35">
        <v>2200</v>
      </c>
    </row>
    <row r="107" spans="1:4" x14ac:dyDescent="0.25">
      <c r="A107" s="30" t="s">
        <v>154</v>
      </c>
      <c r="B107" s="30" t="s">
        <v>174</v>
      </c>
      <c r="C107" s="34">
        <v>3</v>
      </c>
      <c r="D107" s="35">
        <v>1297.56</v>
      </c>
    </row>
    <row r="108" spans="1:4" x14ac:dyDescent="0.25">
      <c r="A108" s="30" t="s">
        <v>154</v>
      </c>
      <c r="B108" s="30" t="s">
        <v>175</v>
      </c>
      <c r="C108" s="34">
        <v>4</v>
      </c>
      <c r="D108" s="35">
        <v>9918.14</v>
      </c>
    </row>
    <row r="109" spans="1:4" x14ac:dyDescent="0.25">
      <c r="A109" s="30" t="s">
        <v>154</v>
      </c>
      <c r="B109" s="30" t="s">
        <v>176</v>
      </c>
      <c r="C109" s="34">
        <v>3</v>
      </c>
      <c r="D109" s="35">
        <v>18182.099999999999</v>
      </c>
    </row>
    <row r="110" spans="1:4" x14ac:dyDescent="0.25">
      <c r="A110" s="30" t="s">
        <v>154</v>
      </c>
      <c r="B110" s="30" t="s">
        <v>177</v>
      </c>
      <c r="C110" s="34">
        <v>3</v>
      </c>
      <c r="D110" s="35">
        <v>767.13</v>
      </c>
    </row>
    <row r="111" spans="1:4" x14ac:dyDescent="0.25">
      <c r="A111" s="30" t="s">
        <v>154</v>
      </c>
      <c r="B111" s="30" t="s">
        <v>178</v>
      </c>
      <c r="C111" s="34">
        <v>4</v>
      </c>
      <c r="D111" s="35">
        <v>51913.95</v>
      </c>
    </row>
    <row r="112" spans="1:4" x14ac:dyDescent="0.25">
      <c r="A112" s="30" t="s">
        <v>154</v>
      </c>
      <c r="B112" s="30" t="s">
        <v>179</v>
      </c>
      <c r="C112" s="34">
        <v>2</v>
      </c>
      <c r="D112" s="35">
        <v>6535.45</v>
      </c>
    </row>
    <row r="113" spans="1:4" x14ac:dyDescent="0.25">
      <c r="A113" s="30" t="s">
        <v>155</v>
      </c>
      <c r="B113" s="30" t="s">
        <v>171</v>
      </c>
      <c r="C113" s="34">
        <v>4</v>
      </c>
      <c r="D113" s="35">
        <v>4552.49</v>
      </c>
    </row>
    <row r="114" spans="1:4" x14ac:dyDescent="0.25">
      <c r="A114" s="30" t="s">
        <v>155</v>
      </c>
      <c r="B114" s="30" t="s">
        <v>172</v>
      </c>
      <c r="C114" s="34">
        <v>6</v>
      </c>
      <c r="D114" s="35">
        <v>9500.01</v>
      </c>
    </row>
    <row r="115" spans="1:4" x14ac:dyDescent="0.25">
      <c r="A115" s="30" t="s">
        <v>155</v>
      </c>
      <c r="B115" s="30" t="s">
        <v>173</v>
      </c>
      <c r="C115" s="34">
        <v>1</v>
      </c>
      <c r="D115" s="35">
        <v>2200</v>
      </c>
    </row>
    <row r="116" spans="1:4" x14ac:dyDescent="0.25">
      <c r="A116" s="30" t="s">
        <v>155</v>
      </c>
      <c r="B116" s="30" t="s">
        <v>174</v>
      </c>
      <c r="C116" s="34">
        <v>2</v>
      </c>
      <c r="D116" s="35">
        <v>1209.68</v>
      </c>
    </row>
    <row r="117" spans="1:4" x14ac:dyDescent="0.25">
      <c r="A117" s="30" t="s">
        <v>155</v>
      </c>
      <c r="B117" s="30" t="s">
        <v>175</v>
      </c>
      <c r="C117" s="34">
        <v>5</v>
      </c>
      <c r="D117" s="35">
        <v>9464.36</v>
      </c>
    </row>
    <row r="118" spans="1:4" x14ac:dyDescent="0.25">
      <c r="A118" s="30" t="s">
        <v>155</v>
      </c>
      <c r="B118" s="30" t="s">
        <v>176</v>
      </c>
      <c r="C118" s="34">
        <v>3</v>
      </c>
      <c r="D118" s="35">
        <v>15044.51</v>
      </c>
    </row>
    <row r="119" spans="1:4" x14ac:dyDescent="0.25">
      <c r="A119" s="30" t="s">
        <v>155</v>
      </c>
      <c r="B119" s="30" t="s">
        <v>177</v>
      </c>
      <c r="C119" s="34">
        <v>1</v>
      </c>
      <c r="D119" s="35">
        <v>589.94000000000005</v>
      </c>
    </row>
    <row r="120" spans="1:4" x14ac:dyDescent="0.25">
      <c r="A120" s="30" t="s">
        <v>155</v>
      </c>
      <c r="B120" s="30" t="s">
        <v>178</v>
      </c>
      <c r="C120" s="34">
        <v>4</v>
      </c>
      <c r="D120" s="35">
        <v>51631.47</v>
      </c>
    </row>
    <row r="121" spans="1:4" x14ac:dyDescent="0.25">
      <c r="A121" s="30" t="s">
        <v>155</v>
      </c>
      <c r="B121" s="30" t="s">
        <v>179</v>
      </c>
      <c r="C121" s="34">
        <v>4</v>
      </c>
      <c r="D121" s="35">
        <v>6520.62</v>
      </c>
    </row>
    <row r="122" spans="1:4" x14ac:dyDescent="0.25">
      <c r="A122" s="30" t="s">
        <v>156</v>
      </c>
      <c r="B122" s="30" t="s">
        <v>171</v>
      </c>
      <c r="C122" s="34">
        <v>3</v>
      </c>
      <c r="D122" s="35">
        <v>2499.9899999999998</v>
      </c>
    </row>
    <row r="123" spans="1:4" x14ac:dyDescent="0.25">
      <c r="A123" s="30" t="s">
        <v>156</v>
      </c>
      <c r="B123" s="30" t="s">
        <v>172</v>
      </c>
      <c r="C123" s="34">
        <v>3</v>
      </c>
      <c r="D123" s="35">
        <v>9500</v>
      </c>
    </row>
    <row r="124" spans="1:4" x14ac:dyDescent="0.25">
      <c r="A124" s="30" t="s">
        <v>156</v>
      </c>
      <c r="B124" s="30" t="s">
        <v>173</v>
      </c>
      <c r="C124" s="34">
        <v>1</v>
      </c>
      <c r="D124" s="35">
        <v>2200</v>
      </c>
    </row>
    <row r="125" spans="1:4" x14ac:dyDescent="0.25">
      <c r="A125" s="30" t="s">
        <v>156</v>
      </c>
      <c r="B125" s="30" t="s">
        <v>174</v>
      </c>
      <c r="C125" s="34">
        <v>2</v>
      </c>
      <c r="D125" s="35">
        <v>1271.53</v>
      </c>
    </row>
    <row r="126" spans="1:4" x14ac:dyDescent="0.25">
      <c r="A126" s="30" t="s">
        <v>156</v>
      </c>
      <c r="B126" s="30" t="s">
        <v>175</v>
      </c>
      <c r="C126" s="34">
        <v>6</v>
      </c>
      <c r="D126" s="35">
        <v>10388.49</v>
      </c>
    </row>
    <row r="127" spans="1:4" x14ac:dyDescent="0.25">
      <c r="A127" s="30" t="s">
        <v>156</v>
      </c>
      <c r="B127" s="30" t="s">
        <v>176</v>
      </c>
      <c r="C127" s="34">
        <v>5</v>
      </c>
      <c r="D127" s="35">
        <v>12116.51</v>
      </c>
    </row>
    <row r="128" spans="1:4" x14ac:dyDescent="0.25">
      <c r="A128" s="30" t="s">
        <v>156</v>
      </c>
      <c r="B128" s="30" t="s">
        <v>177</v>
      </c>
      <c r="C128" s="34">
        <v>1</v>
      </c>
      <c r="D128" s="35">
        <v>632.86</v>
      </c>
    </row>
    <row r="129" spans="1:4" x14ac:dyDescent="0.25">
      <c r="A129" s="30" t="s">
        <v>156</v>
      </c>
      <c r="B129" s="30" t="s">
        <v>178</v>
      </c>
      <c r="C129" s="34">
        <v>5</v>
      </c>
      <c r="D129" s="35">
        <v>51696.43</v>
      </c>
    </row>
    <row r="130" spans="1:4" x14ac:dyDescent="0.25">
      <c r="A130" s="30" t="s">
        <v>156</v>
      </c>
      <c r="B130" s="30" t="s">
        <v>179</v>
      </c>
      <c r="C130" s="34">
        <v>3</v>
      </c>
      <c r="D130" s="35">
        <v>6686.54</v>
      </c>
    </row>
    <row r="131" spans="1:4" x14ac:dyDescent="0.25">
      <c r="A131" s="30" t="s">
        <v>157</v>
      </c>
      <c r="B131" s="30" t="s">
        <v>171</v>
      </c>
      <c r="C131" s="34">
        <v>1</v>
      </c>
      <c r="D131" s="35">
        <v>2500</v>
      </c>
    </row>
    <row r="132" spans="1:4" x14ac:dyDescent="0.25">
      <c r="A132" s="30" t="s">
        <v>157</v>
      </c>
      <c r="B132" s="30" t="s">
        <v>172</v>
      </c>
      <c r="C132" s="34">
        <v>2</v>
      </c>
      <c r="D132" s="35">
        <v>9500</v>
      </c>
    </row>
    <row r="133" spans="1:4" x14ac:dyDescent="0.25">
      <c r="A133" s="30" t="s">
        <v>157</v>
      </c>
      <c r="B133" s="30" t="s">
        <v>173</v>
      </c>
      <c r="C133" s="34">
        <v>1</v>
      </c>
      <c r="D133" s="35">
        <v>2200</v>
      </c>
    </row>
    <row r="134" spans="1:4" x14ac:dyDescent="0.25">
      <c r="A134" s="30" t="s">
        <v>157</v>
      </c>
      <c r="B134" s="30" t="s">
        <v>174</v>
      </c>
      <c r="C134" s="34">
        <v>1</v>
      </c>
      <c r="D134" s="35">
        <v>1313.88</v>
      </c>
    </row>
    <row r="135" spans="1:4" x14ac:dyDescent="0.25">
      <c r="A135" s="30" t="s">
        <v>157</v>
      </c>
      <c r="B135" s="30" t="s">
        <v>175</v>
      </c>
      <c r="C135" s="34">
        <v>6</v>
      </c>
      <c r="D135" s="35">
        <v>11157.93</v>
      </c>
    </row>
    <row r="136" spans="1:4" x14ac:dyDescent="0.25">
      <c r="A136" s="30" t="s">
        <v>157</v>
      </c>
      <c r="B136" s="30" t="s">
        <v>176</v>
      </c>
      <c r="C136" s="34">
        <v>5</v>
      </c>
      <c r="D136" s="35">
        <v>15935.34</v>
      </c>
    </row>
    <row r="137" spans="1:4" x14ac:dyDescent="0.25">
      <c r="A137" s="30" t="s">
        <v>157</v>
      </c>
      <c r="B137" s="30" t="s">
        <v>177</v>
      </c>
      <c r="C137" s="34">
        <v>2</v>
      </c>
      <c r="D137" s="35">
        <v>922.21</v>
      </c>
    </row>
    <row r="138" spans="1:4" x14ac:dyDescent="0.25">
      <c r="A138" s="30" t="s">
        <v>157</v>
      </c>
      <c r="B138" s="30" t="s">
        <v>178</v>
      </c>
      <c r="C138" s="34">
        <v>5</v>
      </c>
      <c r="D138" s="35">
        <v>52168.47</v>
      </c>
    </row>
    <row r="139" spans="1:4" x14ac:dyDescent="0.25">
      <c r="A139" s="30" t="s">
        <v>157</v>
      </c>
      <c r="B139" s="30" t="s">
        <v>179</v>
      </c>
      <c r="C139" s="34">
        <v>4</v>
      </c>
      <c r="D139" s="35">
        <v>6718.6</v>
      </c>
    </row>
    <row r="140" spans="1:4" x14ac:dyDescent="0.25">
      <c r="A140" s="30" t="s">
        <v>158</v>
      </c>
      <c r="B140" s="30" t="s">
        <v>171</v>
      </c>
      <c r="C140" s="34">
        <v>3</v>
      </c>
      <c r="D140" s="35">
        <v>4482.28</v>
      </c>
    </row>
    <row r="141" spans="1:4" x14ac:dyDescent="0.25">
      <c r="A141" s="30" t="s">
        <v>158</v>
      </c>
      <c r="B141" s="30" t="s">
        <v>172</v>
      </c>
      <c r="C141" s="34">
        <v>4</v>
      </c>
      <c r="D141" s="35">
        <v>9500</v>
      </c>
    </row>
    <row r="142" spans="1:4" x14ac:dyDescent="0.25">
      <c r="A142" s="30" t="s">
        <v>158</v>
      </c>
      <c r="B142" s="30" t="s">
        <v>173</v>
      </c>
      <c r="C142" s="34">
        <v>2</v>
      </c>
      <c r="D142" s="35">
        <v>2200</v>
      </c>
    </row>
    <row r="143" spans="1:4" x14ac:dyDescent="0.25">
      <c r="A143" s="30" t="s">
        <v>158</v>
      </c>
      <c r="B143" s="30" t="s">
        <v>174</v>
      </c>
      <c r="C143" s="34">
        <v>3</v>
      </c>
      <c r="D143" s="35">
        <v>1394.83</v>
      </c>
    </row>
    <row r="144" spans="1:4" x14ac:dyDescent="0.25">
      <c r="A144" s="30" t="s">
        <v>158</v>
      </c>
      <c r="B144" s="30" t="s">
        <v>175</v>
      </c>
      <c r="C144" s="34">
        <v>3</v>
      </c>
      <c r="D144" s="35">
        <v>9443.84</v>
      </c>
    </row>
    <row r="145" spans="1:4" x14ac:dyDescent="0.25">
      <c r="A145" s="30" t="s">
        <v>158</v>
      </c>
      <c r="B145" s="30" t="s">
        <v>176</v>
      </c>
      <c r="C145" s="34">
        <v>4</v>
      </c>
      <c r="D145" s="35">
        <v>12083.91</v>
      </c>
    </row>
    <row r="146" spans="1:4" x14ac:dyDescent="0.25">
      <c r="A146" s="30" t="s">
        <v>158</v>
      </c>
      <c r="B146" s="30" t="s">
        <v>177</v>
      </c>
      <c r="C146" s="34">
        <v>2</v>
      </c>
      <c r="D146" s="35">
        <v>882.14</v>
      </c>
    </row>
    <row r="147" spans="1:4" x14ac:dyDescent="0.25">
      <c r="A147" s="30" t="s">
        <v>158</v>
      </c>
      <c r="B147" s="30" t="s">
        <v>178</v>
      </c>
      <c r="C147" s="34">
        <v>5</v>
      </c>
      <c r="D147" s="35">
        <v>51926.16</v>
      </c>
    </row>
    <row r="148" spans="1:4" x14ac:dyDescent="0.25">
      <c r="A148" s="30" t="s">
        <v>158</v>
      </c>
      <c r="B148" s="30" t="s">
        <v>179</v>
      </c>
      <c r="C148" s="34">
        <v>4</v>
      </c>
      <c r="D148" s="35">
        <v>6717.18</v>
      </c>
    </row>
    <row r="149" spans="1:4" x14ac:dyDescent="0.25">
      <c r="A149" s="30" t="s">
        <v>159</v>
      </c>
      <c r="B149" s="30" t="s">
        <v>171</v>
      </c>
      <c r="C149" s="34">
        <v>3</v>
      </c>
      <c r="D149" s="35">
        <v>2499.9899999999998</v>
      </c>
    </row>
    <row r="150" spans="1:4" x14ac:dyDescent="0.25">
      <c r="A150" s="30" t="s">
        <v>159</v>
      </c>
      <c r="B150" s="30" t="s">
        <v>172</v>
      </c>
      <c r="C150" s="34">
        <v>5</v>
      </c>
      <c r="D150" s="35">
        <v>9500.01</v>
      </c>
    </row>
    <row r="151" spans="1:4" x14ac:dyDescent="0.25">
      <c r="A151" s="30" t="s">
        <v>159</v>
      </c>
      <c r="B151" s="30" t="s">
        <v>173</v>
      </c>
      <c r="C151" s="34">
        <v>3</v>
      </c>
      <c r="D151" s="35">
        <v>2199.9899999999998</v>
      </c>
    </row>
    <row r="152" spans="1:4" x14ac:dyDescent="0.25">
      <c r="A152" s="30" t="s">
        <v>159</v>
      </c>
      <c r="B152" s="30" t="s">
        <v>174</v>
      </c>
      <c r="C152" s="34">
        <v>3</v>
      </c>
      <c r="D152" s="35">
        <v>1344.64</v>
      </c>
    </row>
    <row r="153" spans="1:4" x14ac:dyDescent="0.25">
      <c r="A153" s="30" t="s">
        <v>159</v>
      </c>
      <c r="B153" s="30" t="s">
        <v>175</v>
      </c>
      <c r="C153" s="34">
        <v>4</v>
      </c>
      <c r="D153" s="35">
        <v>10499.24</v>
      </c>
    </row>
    <row r="154" spans="1:4" x14ac:dyDescent="0.25">
      <c r="A154" s="30" t="s">
        <v>159</v>
      </c>
      <c r="B154" s="30" t="s">
        <v>176</v>
      </c>
      <c r="C154" s="34">
        <v>2</v>
      </c>
      <c r="D154" s="35">
        <v>20886.62</v>
      </c>
    </row>
    <row r="155" spans="1:4" x14ac:dyDescent="0.25">
      <c r="A155" s="30" t="s">
        <v>159</v>
      </c>
      <c r="B155" s="30" t="s">
        <v>177</v>
      </c>
      <c r="C155" s="34">
        <v>3</v>
      </c>
      <c r="D155" s="35">
        <v>863.62</v>
      </c>
    </row>
    <row r="156" spans="1:4" x14ac:dyDescent="0.25">
      <c r="A156" s="30" t="s">
        <v>159</v>
      </c>
      <c r="B156" s="30" t="s">
        <v>178</v>
      </c>
      <c r="C156" s="34">
        <v>6</v>
      </c>
      <c r="D156" s="35">
        <v>52247.49</v>
      </c>
    </row>
    <row r="157" spans="1:4" x14ac:dyDescent="0.25">
      <c r="A157" s="30" t="s">
        <v>159</v>
      </c>
      <c r="B157" s="30" t="s">
        <v>179</v>
      </c>
      <c r="C157" s="34">
        <v>6</v>
      </c>
      <c r="D157" s="35">
        <v>6599.15</v>
      </c>
    </row>
    <row r="158" spans="1:4" x14ac:dyDescent="0.25">
      <c r="A158" s="30" t="s">
        <v>160</v>
      </c>
      <c r="B158" s="30" t="s">
        <v>171</v>
      </c>
      <c r="C158" s="34">
        <v>3</v>
      </c>
      <c r="D158" s="35">
        <v>2499.9899999999998</v>
      </c>
    </row>
    <row r="159" spans="1:4" x14ac:dyDescent="0.25">
      <c r="A159" s="30" t="s">
        <v>160</v>
      </c>
      <c r="B159" s="30" t="s">
        <v>172</v>
      </c>
      <c r="C159" s="34">
        <v>6</v>
      </c>
      <c r="D159" s="35">
        <v>9500.01</v>
      </c>
    </row>
    <row r="160" spans="1:4" x14ac:dyDescent="0.25">
      <c r="A160" s="30" t="s">
        <v>160</v>
      </c>
      <c r="B160" s="30" t="s">
        <v>173</v>
      </c>
      <c r="C160" s="34">
        <v>2</v>
      </c>
      <c r="D160" s="35">
        <v>2200</v>
      </c>
    </row>
    <row r="161" spans="1:4" x14ac:dyDescent="0.25">
      <c r="A161" s="30" t="s">
        <v>160</v>
      </c>
      <c r="B161" s="30" t="s">
        <v>174</v>
      </c>
      <c r="C161" s="34">
        <v>2</v>
      </c>
      <c r="D161" s="35">
        <v>1358.12</v>
      </c>
    </row>
    <row r="162" spans="1:4" x14ac:dyDescent="0.25">
      <c r="A162" s="30" t="s">
        <v>160</v>
      </c>
      <c r="B162" s="30" t="s">
        <v>175</v>
      </c>
      <c r="C162" s="34">
        <v>3</v>
      </c>
      <c r="D162" s="35">
        <v>9752.19</v>
      </c>
    </row>
    <row r="163" spans="1:4" x14ac:dyDescent="0.25">
      <c r="A163" s="30" t="s">
        <v>160</v>
      </c>
      <c r="B163" s="30" t="s">
        <v>176</v>
      </c>
      <c r="C163" s="34">
        <v>4</v>
      </c>
      <c r="D163" s="35">
        <v>15036.85</v>
      </c>
    </row>
    <row r="164" spans="1:4" x14ac:dyDescent="0.25">
      <c r="A164" s="30" t="s">
        <v>160</v>
      </c>
      <c r="B164" s="30" t="s">
        <v>177</v>
      </c>
      <c r="C164" s="34">
        <v>1</v>
      </c>
      <c r="D164" s="35">
        <v>999.96</v>
      </c>
    </row>
    <row r="165" spans="1:4" x14ac:dyDescent="0.25">
      <c r="A165" s="30" t="s">
        <v>160</v>
      </c>
      <c r="B165" s="30" t="s">
        <v>178</v>
      </c>
      <c r="C165" s="34">
        <v>6</v>
      </c>
      <c r="D165" s="35">
        <v>50421.84</v>
      </c>
    </row>
    <row r="166" spans="1:4" x14ac:dyDescent="0.25">
      <c r="A166" s="30" t="s">
        <v>160</v>
      </c>
      <c r="B166" s="30" t="s">
        <v>179</v>
      </c>
      <c r="C166" s="34">
        <v>4</v>
      </c>
      <c r="D166" s="35">
        <v>6710.57</v>
      </c>
    </row>
    <row r="167" spans="1:4" x14ac:dyDescent="0.25">
      <c r="A167" s="30" t="s">
        <v>161</v>
      </c>
      <c r="B167" s="30" t="s">
        <v>171</v>
      </c>
      <c r="C167" s="34">
        <v>3</v>
      </c>
      <c r="D167" s="35">
        <v>4164.47</v>
      </c>
    </row>
    <row r="168" spans="1:4" x14ac:dyDescent="0.25">
      <c r="A168" s="30" t="s">
        <v>161</v>
      </c>
      <c r="B168" s="30" t="s">
        <v>172</v>
      </c>
      <c r="C168" s="34">
        <v>4</v>
      </c>
      <c r="D168" s="35">
        <v>9500.01</v>
      </c>
    </row>
    <row r="169" spans="1:4" x14ac:dyDescent="0.25">
      <c r="A169" s="30" t="s">
        <v>161</v>
      </c>
      <c r="B169" s="30" t="s">
        <v>173</v>
      </c>
      <c r="C169" s="34">
        <v>1</v>
      </c>
      <c r="D169" s="35">
        <v>2200</v>
      </c>
    </row>
    <row r="170" spans="1:4" x14ac:dyDescent="0.25">
      <c r="A170" s="30" t="s">
        <v>161</v>
      </c>
      <c r="B170" s="30" t="s">
        <v>174</v>
      </c>
      <c r="C170" s="34">
        <v>1</v>
      </c>
      <c r="D170" s="35">
        <v>1311.67</v>
      </c>
    </row>
    <row r="171" spans="1:4" x14ac:dyDescent="0.25">
      <c r="A171" s="30" t="s">
        <v>161</v>
      </c>
      <c r="B171" s="30" t="s">
        <v>175</v>
      </c>
      <c r="C171" s="34">
        <v>3</v>
      </c>
      <c r="D171" s="35">
        <v>9396.23</v>
      </c>
    </row>
    <row r="172" spans="1:4" x14ac:dyDescent="0.25">
      <c r="A172" s="30" t="s">
        <v>161</v>
      </c>
      <c r="B172" s="30" t="s">
        <v>176</v>
      </c>
      <c r="C172" s="34">
        <v>4</v>
      </c>
      <c r="D172" s="35">
        <v>13841.23</v>
      </c>
    </row>
    <row r="173" spans="1:4" x14ac:dyDescent="0.25">
      <c r="A173" s="30" t="s">
        <v>161</v>
      </c>
      <c r="B173" s="30" t="s">
        <v>177</v>
      </c>
      <c r="C173" s="34">
        <v>3</v>
      </c>
      <c r="D173" s="35">
        <v>818.51</v>
      </c>
    </row>
    <row r="174" spans="1:4" x14ac:dyDescent="0.25">
      <c r="A174" s="30" t="s">
        <v>161</v>
      </c>
      <c r="B174" s="30" t="s">
        <v>178</v>
      </c>
      <c r="C174" s="34">
        <v>9</v>
      </c>
      <c r="D174" s="35">
        <v>50441.87</v>
      </c>
    </row>
    <row r="175" spans="1:4" x14ac:dyDescent="0.25">
      <c r="A175" s="30" t="s">
        <v>161</v>
      </c>
      <c r="B175" s="30" t="s">
        <v>179</v>
      </c>
      <c r="C175" s="34">
        <v>3</v>
      </c>
      <c r="D175" s="35">
        <v>6829.25</v>
      </c>
    </row>
    <row r="176" spans="1:4" x14ac:dyDescent="0.25">
      <c r="A176" s="30" t="s">
        <v>162</v>
      </c>
      <c r="B176" s="30" t="s">
        <v>171</v>
      </c>
      <c r="C176" s="34">
        <v>1</v>
      </c>
      <c r="D176" s="35">
        <v>2500</v>
      </c>
    </row>
    <row r="177" spans="1:4" x14ac:dyDescent="0.25">
      <c r="A177" s="30" t="s">
        <v>162</v>
      </c>
      <c r="B177" s="30" t="s">
        <v>172</v>
      </c>
      <c r="C177" s="34">
        <v>2</v>
      </c>
      <c r="D177" s="35">
        <v>9500</v>
      </c>
    </row>
    <row r="178" spans="1:4" x14ac:dyDescent="0.25">
      <c r="A178" s="30" t="s">
        <v>162</v>
      </c>
      <c r="B178" s="30" t="s">
        <v>173</v>
      </c>
      <c r="C178" s="34">
        <v>1</v>
      </c>
      <c r="D178" s="35">
        <v>2200</v>
      </c>
    </row>
    <row r="179" spans="1:4" x14ac:dyDescent="0.25">
      <c r="A179" s="30" t="s">
        <v>162</v>
      </c>
      <c r="B179" s="30" t="s">
        <v>174</v>
      </c>
      <c r="C179" s="34">
        <v>1</v>
      </c>
      <c r="D179" s="35">
        <v>1364.52</v>
      </c>
    </row>
    <row r="180" spans="1:4" x14ac:dyDescent="0.25">
      <c r="A180" s="30" t="s">
        <v>162</v>
      </c>
      <c r="B180" s="30" t="s">
        <v>175</v>
      </c>
      <c r="C180" s="34">
        <v>6</v>
      </c>
      <c r="D180" s="35">
        <v>9835.24</v>
      </c>
    </row>
    <row r="181" spans="1:4" x14ac:dyDescent="0.25">
      <c r="A181" s="30" t="s">
        <v>162</v>
      </c>
      <c r="B181" s="30" t="s">
        <v>176</v>
      </c>
      <c r="C181" s="34">
        <v>4</v>
      </c>
      <c r="D181" s="35">
        <v>12991.25</v>
      </c>
    </row>
    <row r="182" spans="1:4" x14ac:dyDescent="0.25">
      <c r="A182" s="30" t="s">
        <v>162</v>
      </c>
      <c r="B182" s="30" t="s">
        <v>177</v>
      </c>
      <c r="C182" s="34">
        <v>3</v>
      </c>
      <c r="D182" s="35">
        <v>1058.21</v>
      </c>
    </row>
    <row r="183" spans="1:4" x14ac:dyDescent="0.25">
      <c r="A183" s="30" t="s">
        <v>162</v>
      </c>
      <c r="B183" s="30" t="s">
        <v>178</v>
      </c>
      <c r="C183" s="34">
        <v>6</v>
      </c>
      <c r="D183" s="35">
        <v>51200.27</v>
      </c>
    </row>
    <row r="184" spans="1:4" x14ac:dyDescent="0.25">
      <c r="A184" s="30" t="s">
        <v>162</v>
      </c>
      <c r="B184" s="30" t="s">
        <v>179</v>
      </c>
      <c r="C184" s="34">
        <v>2</v>
      </c>
      <c r="D184" s="35">
        <v>6870.77</v>
      </c>
    </row>
    <row r="185" spans="1:4" x14ac:dyDescent="0.25">
      <c r="A185" s="30" t="s">
        <v>163</v>
      </c>
      <c r="B185" s="30" t="s">
        <v>171</v>
      </c>
      <c r="C185" s="34">
        <v>2</v>
      </c>
      <c r="D185" s="35">
        <v>2500</v>
      </c>
    </row>
    <row r="186" spans="1:4" x14ac:dyDescent="0.25">
      <c r="A186" s="30" t="s">
        <v>163</v>
      </c>
      <c r="B186" s="30" t="s">
        <v>172</v>
      </c>
      <c r="C186" s="34">
        <v>2</v>
      </c>
      <c r="D186" s="35">
        <v>9500</v>
      </c>
    </row>
    <row r="187" spans="1:4" x14ac:dyDescent="0.25">
      <c r="A187" s="30" t="s">
        <v>163</v>
      </c>
      <c r="B187" s="30" t="s">
        <v>173</v>
      </c>
      <c r="C187" s="34">
        <v>2</v>
      </c>
      <c r="D187" s="35">
        <v>2200</v>
      </c>
    </row>
    <row r="188" spans="1:4" x14ac:dyDescent="0.25">
      <c r="A188" s="30" t="s">
        <v>163</v>
      </c>
      <c r="B188" s="30" t="s">
        <v>174</v>
      </c>
      <c r="C188" s="34">
        <v>1</v>
      </c>
      <c r="D188" s="35">
        <v>1209.68</v>
      </c>
    </row>
    <row r="189" spans="1:4" x14ac:dyDescent="0.25">
      <c r="A189" s="30" t="s">
        <v>163</v>
      </c>
      <c r="B189" s="30" t="s">
        <v>175</v>
      </c>
      <c r="C189" s="34">
        <v>5</v>
      </c>
      <c r="D189" s="35">
        <v>9068.7999999999993</v>
      </c>
    </row>
    <row r="190" spans="1:4" x14ac:dyDescent="0.25">
      <c r="A190" s="30" t="s">
        <v>163</v>
      </c>
      <c r="B190" s="30" t="s">
        <v>176</v>
      </c>
      <c r="C190" s="34">
        <v>5</v>
      </c>
      <c r="D190" s="35">
        <v>11814.48</v>
      </c>
    </row>
    <row r="191" spans="1:4" x14ac:dyDescent="0.25">
      <c r="A191" s="30" t="s">
        <v>163</v>
      </c>
      <c r="B191" s="30" t="s">
        <v>177</v>
      </c>
      <c r="C191" s="34">
        <v>2</v>
      </c>
      <c r="D191" s="35">
        <v>896.54</v>
      </c>
    </row>
    <row r="192" spans="1:4" x14ac:dyDescent="0.25">
      <c r="A192" s="30" t="s">
        <v>163</v>
      </c>
      <c r="B192" s="30" t="s">
        <v>178</v>
      </c>
      <c r="C192" s="34">
        <v>5</v>
      </c>
      <c r="D192" s="35">
        <v>51236.77</v>
      </c>
    </row>
    <row r="193" spans="1:4" x14ac:dyDescent="0.25">
      <c r="A193" s="30" t="s">
        <v>163</v>
      </c>
      <c r="B193" s="30" t="s">
        <v>179</v>
      </c>
      <c r="C193" s="34">
        <v>3</v>
      </c>
      <c r="D193" s="35">
        <v>6716.18</v>
      </c>
    </row>
    <row r="194" spans="1:4" x14ac:dyDescent="0.25">
      <c r="A194" s="30" t="s">
        <v>164</v>
      </c>
      <c r="B194" s="30" t="s">
        <v>171</v>
      </c>
      <c r="C194" s="34">
        <v>3</v>
      </c>
      <c r="D194" s="35">
        <v>4476.3599999999997</v>
      </c>
    </row>
    <row r="195" spans="1:4" x14ac:dyDescent="0.25">
      <c r="A195" s="30" t="s">
        <v>164</v>
      </c>
      <c r="B195" s="30" t="s">
        <v>172</v>
      </c>
      <c r="C195" s="34">
        <v>4</v>
      </c>
      <c r="D195" s="35">
        <v>9500</v>
      </c>
    </row>
    <row r="196" spans="1:4" x14ac:dyDescent="0.25">
      <c r="A196" s="30" t="s">
        <v>164</v>
      </c>
      <c r="B196" s="30" t="s">
        <v>173</v>
      </c>
      <c r="C196" s="34">
        <v>3</v>
      </c>
      <c r="D196" s="35">
        <v>2199.9899999999998</v>
      </c>
    </row>
    <row r="197" spans="1:4" x14ac:dyDescent="0.25">
      <c r="A197" s="30" t="s">
        <v>164</v>
      </c>
      <c r="B197" s="30" t="s">
        <v>174</v>
      </c>
      <c r="C197" s="34">
        <v>3</v>
      </c>
      <c r="D197" s="35">
        <v>1335.64</v>
      </c>
    </row>
    <row r="198" spans="1:4" x14ac:dyDescent="0.25">
      <c r="A198" s="30" t="s">
        <v>164</v>
      </c>
      <c r="B198" s="30" t="s">
        <v>175</v>
      </c>
      <c r="C198" s="34">
        <v>4</v>
      </c>
      <c r="D198" s="35">
        <v>9571.99</v>
      </c>
    </row>
    <row r="199" spans="1:4" x14ac:dyDescent="0.25">
      <c r="A199" s="30" t="s">
        <v>164</v>
      </c>
      <c r="B199" s="30" t="s">
        <v>176</v>
      </c>
      <c r="C199" s="34">
        <v>3</v>
      </c>
      <c r="D199" s="35">
        <v>15141.56</v>
      </c>
    </row>
    <row r="200" spans="1:4" x14ac:dyDescent="0.25">
      <c r="A200" s="30" t="s">
        <v>164</v>
      </c>
      <c r="B200" s="30" t="s">
        <v>177</v>
      </c>
      <c r="C200" s="34">
        <v>2</v>
      </c>
      <c r="D200" s="35">
        <v>852.41</v>
      </c>
    </row>
    <row r="201" spans="1:4" x14ac:dyDescent="0.25">
      <c r="A201" s="30" t="s">
        <v>164</v>
      </c>
      <c r="B201" s="30" t="s">
        <v>178</v>
      </c>
      <c r="C201" s="34">
        <v>8</v>
      </c>
      <c r="D201" s="35">
        <v>51231.41</v>
      </c>
    </row>
    <row r="202" spans="1:4" x14ac:dyDescent="0.25">
      <c r="A202" s="30" t="s">
        <v>164</v>
      </c>
      <c r="B202" s="30" t="s">
        <v>179</v>
      </c>
      <c r="C202" s="34">
        <v>5</v>
      </c>
      <c r="D202" s="35">
        <v>6669.14</v>
      </c>
    </row>
    <row r="203" spans="1:4" x14ac:dyDescent="0.25">
      <c r="A203" s="30" t="s">
        <v>165</v>
      </c>
      <c r="B203" s="30" t="s">
        <v>171</v>
      </c>
      <c r="C203" s="34">
        <v>1</v>
      </c>
      <c r="D203" s="35">
        <v>2500</v>
      </c>
    </row>
    <row r="204" spans="1:4" x14ac:dyDescent="0.25">
      <c r="A204" s="30" t="s">
        <v>165</v>
      </c>
      <c r="B204" s="30" t="s">
        <v>172</v>
      </c>
      <c r="C204" s="34">
        <v>4</v>
      </c>
      <c r="D204" s="35">
        <v>9500</v>
      </c>
    </row>
    <row r="205" spans="1:4" x14ac:dyDescent="0.25">
      <c r="A205" s="30" t="s">
        <v>165</v>
      </c>
      <c r="B205" s="30" t="s">
        <v>173</v>
      </c>
      <c r="C205" s="34">
        <v>1</v>
      </c>
      <c r="D205" s="35">
        <v>2200</v>
      </c>
    </row>
    <row r="206" spans="1:4" x14ac:dyDescent="0.25">
      <c r="A206" s="30" t="s">
        <v>165</v>
      </c>
      <c r="B206" s="30" t="s">
        <v>174</v>
      </c>
      <c r="C206" s="34">
        <v>2</v>
      </c>
      <c r="D206" s="35">
        <v>1308.6400000000001</v>
      </c>
    </row>
    <row r="207" spans="1:4" x14ac:dyDescent="0.25">
      <c r="A207" s="30" t="s">
        <v>165</v>
      </c>
      <c r="B207" s="30" t="s">
        <v>175</v>
      </c>
      <c r="C207" s="34">
        <v>5</v>
      </c>
      <c r="D207" s="35">
        <v>10186.030000000001</v>
      </c>
    </row>
    <row r="208" spans="1:4" x14ac:dyDescent="0.25">
      <c r="A208" s="30" t="s">
        <v>165</v>
      </c>
      <c r="B208" s="30" t="s">
        <v>176</v>
      </c>
      <c r="C208" s="34">
        <v>3</v>
      </c>
      <c r="D208" s="35">
        <v>17131.12</v>
      </c>
    </row>
    <row r="209" spans="1:7" x14ac:dyDescent="0.25">
      <c r="A209" s="30" t="s">
        <v>165</v>
      </c>
      <c r="B209" s="30" t="s">
        <v>177</v>
      </c>
      <c r="C209" s="34">
        <v>3</v>
      </c>
      <c r="D209" s="35">
        <v>889.93</v>
      </c>
    </row>
    <row r="210" spans="1:7" x14ac:dyDescent="0.25">
      <c r="A210" s="30" t="s">
        <v>165</v>
      </c>
      <c r="B210" s="30" t="s">
        <v>178</v>
      </c>
      <c r="C210" s="34">
        <v>8</v>
      </c>
      <c r="D210" s="35">
        <v>51234.93</v>
      </c>
    </row>
    <row r="211" spans="1:7" x14ac:dyDescent="0.25">
      <c r="A211" s="30" t="s">
        <v>165</v>
      </c>
      <c r="B211" s="30" t="s">
        <v>179</v>
      </c>
      <c r="C211" s="34">
        <v>4</v>
      </c>
      <c r="D211" s="35">
        <v>6751.82</v>
      </c>
    </row>
    <row r="212" spans="1:7" x14ac:dyDescent="0.25">
      <c r="A212" s="30" t="s">
        <v>166</v>
      </c>
      <c r="B212" s="30" t="s">
        <v>171</v>
      </c>
      <c r="C212" s="34">
        <v>1</v>
      </c>
      <c r="D212" s="35">
        <v>2500</v>
      </c>
    </row>
    <row r="213" spans="1:7" x14ac:dyDescent="0.25">
      <c r="A213" s="30" t="s">
        <v>166</v>
      </c>
      <c r="B213" s="30" t="s">
        <v>172</v>
      </c>
      <c r="C213" s="34">
        <v>5</v>
      </c>
      <c r="D213" s="35">
        <v>9500.01</v>
      </c>
    </row>
    <row r="214" spans="1:7" x14ac:dyDescent="0.25">
      <c r="A214" s="30" t="s">
        <v>166</v>
      </c>
      <c r="B214" s="30" t="s">
        <v>173</v>
      </c>
      <c r="C214" s="34">
        <v>1</v>
      </c>
      <c r="D214" s="35">
        <v>2200</v>
      </c>
    </row>
    <row r="215" spans="1:7" x14ac:dyDescent="0.25">
      <c r="A215" s="30" t="s">
        <v>166</v>
      </c>
      <c r="B215" s="30" t="s">
        <v>174</v>
      </c>
      <c r="C215" s="34">
        <v>2</v>
      </c>
      <c r="D215" s="35">
        <v>1383.86</v>
      </c>
    </row>
    <row r="216" spans="1:7" x14ac:dyDescent="0.25">
      <c r="A216" s="30" t="s">
        <v>166</v>
      </c>
      <c r="B216" s="30" t="s">
        <v>175</v>
      </c>
      <c r="C216" s="34">
        <v>4</v>
      </c>
      <c r="D216" s="35">
        <v>9303.17</v>
      </c>
    </row>
    <row r="217" spans="1:7" x14ac:dyDescent="0.25">
      <c r="A217" s="30" t="s">
        <v>166</v>
      </c>
      <c r="B217" s="30" t="s">
        <v>176</v>
      </c>
      <c r="C217" s="34">
        <v>4</v>
      </c>
      <c r="D217" s="35">
        <v>14130.97</v>
      </c>
    </row>
    <row r="218" spans="1:7" x14ac:dyDescent="0.25">
      <c r="A218" s="30" t="s">
        <v>166</v>
      </c>
      <c r="B218" s="30" t="s">
        <v>177</v>
      </c>
      <c r="C218" s="34">
        <v>1</v>
      </c>
      <c r="D218" s="35">
        <v>648.47</v>
      </c>
    </row>
    <row r="219" spans="1:7" x14ac:dyDescent="0.25">
      <c r="A219" s="30" t="s">
        <v>166</v>
      </c>
      <c r="B219" s="30" t="s">
        <v>178</v>
      </c>
      <c r="C219" s="34">
        <v>7</v>
      </c>
      <c r="D219" s="35">
        <v>51109.32</v>
      </c>
    </row>
    <row r="220" spans="1:7" x14ac:dyDescent="0.25">
      <c r="A220" s="30" t="s">
        <v>166</v>
      </c>
      <c r="B220" s="30" t="s">
        <v>179</v>
      </c>
      <c r="C220" s="34">
        <v>3</v>
      </c>
      <c r="D220" s="35">
        <v>6596.33</v>
      </c>
    </row>
    <row r="223" spans="1:7" ht="19.5" customHeight="1" x14ac:dyDescent="0.25">
      <c r="A223" s="6" t="s">
        <v>180</v>
      </c>
      <c r="B223" s="6"/>
      <c r="C223" s="6"/>
      <c r="D223" s="6"/>
      <c r="E223" s="6"/>
      <c r="F223" s="6"/>
      <c r="G223" s="6"/>
    </row>
    <row r="224" spans="1:7" x14ac:dyDescent="0.25">
      <c r="A224" s="33" t="s">
        <v>123</v>
      </c>
      <c r="B224" s="33" t="s">
        <v>181</v>
      </c>
      <c r="C224" s="33" t="s">
        <v>169</v>
      </c>
      <c r="D224" s="33" t="s">
        <v>170</v>
      </c>
    </row>
    <row r="225" spans="1:4" x14ac:dyDescent="0.25">
      <c r="A225" s="30" t="s">
        <v>135</v>
      </c>
      <c r="B225" s="30" t="s">
        <v>171</v>
      </c>
      <c r="C225" s="34">
        <v>1</v>
      </c>
      <c r="D225" s="35">
        <v>27719.13</v>
      </c>
    </row>
    <row r="226" spans="1:4" x14ac:dyDescent="0.25">
      <c r="A226" s="30" t="s">
        <v>135</v>
      </c>
      <c r="B226" s="30" t="s">
        <v>182</v>
      </c>
      <c r="C226" s="34">
        <v>3</v>
      </c>
      <c r="D226" s="35">
        <v>2907.87</v>
      </c>
    </row>
    <row r="227" spans="1:4" x14ac:dyDescent="0.25">
      <c r="A227" s="30" t="s">
        <v>135</v>
      </c>
      <c r="B227" s="30" t="s">
        <v>183</v>
      </c>
      <c r="C227" s="34">
        <v>3</v>
      </c>
      <c r="D227" s="35">
        <v>2199.9899999999998</v>
      </c>
    </row>
    <row r="228" spans="1:4" x14ac:dyDescent="0.25">
      <c r="A228" s="30" t="s">
        <v>135</v>
      </c>
      <c r="B228" s="30" t="s">
        <v>184</v>
      </c>
      <c r="C228" s="34">
        <v>1</v>
      </c>
      <c r="D228" s="35">
        <v>13995.72</v>
      </c>
    </row>
    <row r="229" spans="1:4" x14ac:dyDescent="0.25">
      <c r="A229" s="30" t="s">
        <v>135</v>
      </c>
      <c r="B229" s="30" t="s">
        <v>185</v>
      </c>
      <c r="C229" s="34">
        <v>3</v>
      </c>
      <c r="D229" s="35">
        <v>2499.9899999999998</v>
      </c>
    </row>
    <row r="230" spans="1:4" x14ac:dyDescent="0.25">
      <c r="A230" s="30" t="s">
        <v>135</v>
      </c>
      <c r="B230" s="30" t="s">
        <v>186</v>
      </c>
      <c r="C230" s="34">
        <v>1</v>
      </c>
      <c r="D230" s="35">
        <v>14164.74</v>
      </c>
    </row>
    <row r="231" spans="1:4" x14ac:dyDescent="0.25">
      <c r="A231" s="30" t="s">
        <v>135</v>
      </c>
      <c r="B231" s="30" t="s">
        <v>187</v>
      </c>
      <c r="C231" s="34">
        <v>3</v>
      </c>
      <c r="D231" s="35">
        <v>2199.9899999999998</v>
      </c>
    </row>
    <row r="232" spans="1:4" x14ac:dyDescent="0.25">
      <c r="A232" s="30" t="s">
        <v>135</v>
      </c>
      <c r="B232" s="30" t="s">
        <v>188</v>
      </c>
      <c r="C232" s="34">
        <v>2</v>
      </c>
      <c r="D232" s="35">
        <v>3000</v>
      </c>
    </row>
    <row r="233" spans="1:4" x14ac:dyDescent="0.25">
      <c r="A233" s="30" t="s">
        <v>135</v>
      </c>
      <c r="B233" s="30" t="s">
        <v>189</v>
      </c>
      <c r="C233" s="34">
        <v>1</v>
      </c>
      <c r="D233" s="35">
        <v>6086.08</v>
      </c>
    </row>
    <row r="234" spans="1:4" x14ac:dyDescent="0.25">
      <c r="A234" s="30" t="s">
        <v>135</v>
      </c>
      <c r="B234" s="30" t="s">
        <v>190</v>
      </c>
      <c r="C234" s="34">
        <v>1</v>
      </c>
      <c r="D234" s="35">
        <v>1609.1</v>
      </c>
    </row>
    <row r="235" spans="1:4" x14ac:dyDescent="0.25">
      <c r="A235" s="30" t="s">
        <v>135</v>
      </c>
      <c r="B235" s="30" t="s">
        <v>175</v>
      </c>
      <c r="C235" s="34">
        <v>3</v>
      </c>
      <c r="D235" s="35">
        <v>8937.4599999999991</v>
      </c>
    </row>
    <row r="236" spans="1:4" x14ac:dyDescent="0.25">
      <c r="A236" s="30" t="s">
        <v>135</v>
      </c>
      <c r="B236" s="30" t="s">
        <v>191</v>
      </c>
      <c r="C236" s="34">
        <v>3</v>
      </c>
      <c r="D236" s="35">
        <v>6500.01</v>
      </c>
    </row>
    <row r="237" spans="1:4" x14ac:dyDescent="0.25">
      <c r="A237" s="30" t="s">
        <v>135</v>
      </c>
      <c r="B237" s="30" t="s">
        <v>192</v>
      </c>
      <c r="C237" s="34">
        <v>3</v>
      </c>
      <c r="D237" s="35">
        <v>4515.0600000000004</v>
      </c>
    </row>
    <row r="238" spans="1:4" x14ac:dyDescent="0.25">
      <c r="A238" s="30" t="s">
        <v>135</v>
      </c>
      <c r="B238" s="30" t="s">
        <v>193</v>
      </c>
      <c r="C238" s="34">
        <v>1</v>
      </c>
      <c r="D238" s="35">
        <v>1365.44</v>
      </c>
    </row>
    <row r="239" spans="1:4" x14ac:dyDescent="0.25">
      <c r="A239" s="30" t="s">
        <v>135</v>
      </c>
      <c r="B239" s="30" t="s">
        <v>194</v>
      </c>
      <c r="C239" s="34">
        <v>1</v>
      </c>
      <c r="D239" s="35">
        <v>3681.65</v>
      </c>
    </row>
    <row r="240" spans="1:4" x14ac:dyDescent="0.25">
      <c r="A240" s="30" t="s">
        <v>135</v>
      </c>
      <c r="B240" s="30" t="s">
        <v>195</v>
      </c>
      <c r="C240" s="34">
        <v>2</v>
      </c>
      <c r="D240" s="35">
        <v>791.43</v>
      </c>
    </row>
    <row r="241" spans="1:4" x14ac:dyDescent="0.25">
      <c r="A241" s="30" t="s">
        <v>144</v>
      </c>
      <c r="B241" s="30" t="s">
        <v>171</v>
      </c>
      <c r="C241" s="34">
        <v>2</v>
      </c>
      <c r="D241" s="35">
        <v>29151.31</v>
      </c>
    </row>
    <row r="242" spans="1:4" x14ac:dyDescent="0.25">
      <c r="A242" s="30" t="s">
        <v>144</v>
      </c>
      <c r="B242" s="30" t="s">
        <v>182</v>
      </c>
      <c r="C242" s="34">
        <v>2</v>
      </c>
      <c r="D242" s="35">
        <v>3023.75</v>
      </c>
    </row>
    <row r="243" spans="1:4" x14ac:dyDescent="0.25">
      <c r="A243" s="30" t="s">
        <v>144</v>
      </c>
      <c r="B243" s="30" t="s">
        <v>183</v>
      </c>
      <c r="C243" s="34">
        <v>2</v>
      </c>
      <c r="D243" s="35">
        <v>2200</v>
      </c>
    </row>
    <row r="244" spans="1:4" x14ac:dyDescent="0.25">
      <c r="A244" s="30" t="s">
        <v>144</v>
      </c>
      <c r="B244" s="30" t="s">
        <v>184</v>
      </c>
      <c r="C244" s="34">
        <v>1</v>
      </c>
      <c r="D244" s="35">
        <v>13955.35</v>
      </c>
    </row>
    <row r="245" spans="1:4" x14ac:dyDescent="0.25">
      <c r="A245" s="30" t="s">
        <v>144</v>
      </c>
      <c r="B245" s="30" t="s">
        <v>186</v>
      </c>
      <c r="C245" s="34">
        <v>2</v>
      </c>
      <c r="D245" s="35">
        <v>9051.83</v>
      </c>
    </row>
    <row r="246" spans="1:4" x14ac:dyDescent="0.25">
      <c r="A246" s="30" t="s">
        <v>144</v>
      </c>
      <c r="B246" s="30" t="s">
        <v>187</v>
      </c>
      <c r="C246" s="34">
        <v>3</v>
      </c>
      <c r="D246" s="35">
        <v>2199.9899999999998</v>
      </c>
    </row>
    <row r="247" spans="1:4" x14ac:dyDescent="0.25">
      <c r="A247" s="30" t="s">
        <v>144</v>
      </c>
      <c r="B247" s="30" t="s">
        <v>188</v>
      </c>
      <c r="C247" s="34">
        <v>1</v>
      </c>
      <c r="D247" s="35">
        <v>3000</v>
      </c>
    </row>
    <row r="248" spans="1:4" x14ac:dyDescent="0.25">
      <c r="A248" s="30" t="s">
        <v>144</v>
      </c>
      <c r="B248" s="30" t="s">
        <v>189</v>
      </c>
      <c r="C248" s="34">
        <v>2</v>
      </c>
      <c r="D248" s="35">
        <v>6136.83</v>
      </c>
    </row>
    <row r="249" spans="1:4" x14ac:dyDescent="0.25">
      <c r="A249" s="30" t="s">
        <v>144</v>
      </c>
      <c r="B249" s="30" t="s">
        <v>175</v>
      </c>
      <c r="C249" s="34">
        <v>2</v>
      </c>
      <c r="D249" s="35">
        <v>9017.4599999999991</v>
      </c>
    </row>
    <row r="250" spans="1:4" x14ac:dyDescent="0.25">
      <c r="A250" s="30" t="s">
        <v>144</v>
      </c>
      <c r="B250" s="30" t="s">
        <v>196</v>
      </c>
      <c r="C250" s="34">
        <v>1</v>
      </c>
      <c r="D250" s="35">
        <v>2500</v>
      </c>
    </row>
    <row r="251" spans="1:4" x14ac:dyDescent="0.25">
      <c r="A251" s="30" t="s">
        <v>144</v>
      </c>
      <c r="B251" s="30" t="s">
        <v>191</v>
      </c>
      <c r="C251" s="34">
        <v>2</v>
      </c>
      <c r="D251" s="35">
        <v>6500</v>
      </c>
    </row>
    <row r="252" spans="1:4" x14ac:dyDescent="0.25">
      <c r="A252" s="30" t="s">
        <v>144</v>
      </c>
      <c r="B252" s="30" t="s">
        <v>192</v>
      </c>
      <c r="C252" s="34">
        <v>1</v>
      </c>
      <c r="D252" s="35">
        <v>4417.1400000000003</v>
      </c>
    </row>
    <row r="253" spans="1:4" x14ac:dyDescent="0.25">
      <c r="A253" s="30" t="s">
        <v>144</v>
      </c>
      <c r="B253" s="30" t="s">
        <v>193</v>
      </c>
      <c r="C253" s="34">
        <v>2</v>
      </c>
      <c r="D253" s="35">
        <v>1351.57</v>
      </c>
    </row>
    <row r="254" spans="1:4" x14ac:dyDescent="0.25">
      <c r="A254" s="30" t="s">
        <v>144</v>
      </c>
      <c r="B254" s="30" t="s">
        <v>194</v>
      </c>
      <c r="C254" s="34">
        <v>2</v>
      </c>
      <c r="D254" s="35">
        <v>3096.4</v>
      </c>
    </row>
    <row r="255" spans="1:4" x14ac:dyDescent="0.25">
      <c r="A255" s="30" t="s">
        <v>144</v>
      </c>
      <c r="B255" s="30" t="s">
        <v>195</v>
      </c>
      <c r="C255" s="34">
        <v>3</v>
      </c>
      <c r="D255" s="35">
        <v>878.67</v>
      </c>
    </row>
    <row r="256" spans="1:4" x14ac:dyDescent="0.25">
      <c r="A256" s="30" t="s">
        <v>145</v>
      </c>
      <c r="B256" s="30" t="s">
        <v>171</v>
      </c>
      <c r="C256" s="34">
        <v>3</v>
      </c>
      <c r="D256" s="35">
        <v>27607.51</v>
      </c>
    </row>
    <row r="257" spans="1:4" x14ac:dyDescent="0.25">
      <c r="A257" s="30" t="s">
        <v>145</v>
      </c>
      <c r="B257" s="30" t="s">
        <v>182</v>
      </c>
      <c r="C257" s="34">
        <v>1</v>
      </c>
      <c r="D257" s="35">
        <v>2724.44</v>
      </c>
    </row>
    <row r="258" spans="1:4" x14ac:dyDescent="0.25">
      <c r="A258" s="30" t="s">
        <v>145</v>
      </c>
      <c r="B258" s="30" t="s">
        <v>183</v>
      </c>
      <c r="C258" s="34">
        <v>3</v>
      </c>
      <c r="D258" s="35">
        <v>2199.9899999999998</v>
      </c>
    </row>
    <row r="259" spans="1:4" x14ac:dyDescent="0.25">
      <c r="A259" s="30" t="s">
        <v>145</v>
      </c>
      <c r="B259" s="30" t="s">
        <v>184</v>
      </c>
      <c r="C259" s="34">
        <v>1</v>
      </c>
      <c r="D259" s="35">
        <v>7072.77</v>
      </c>
    </row>
    <row r="260" spans="1:4" x14ac:dyDescent="0.25">
      <c r="A260" s="30" t="s">
        <v>145</v>
      </c>
      <c r="B260" s="30" t="s">
        <v>185</v>
      </c>
      <c r="C260" s="34">
        <v>2</v>
      </c>
      <c r="D260" s="35">
        <v>2500</v>
      </c>
    </row>
    <row r="261" spans="1:4" x14ac:dyDescent="0.25">
      <c r="A261" s="30" t="s">
        <v>145</v>
      </c>
      <c r="B261" s="30" t="s">
        <v>186</v>
      </c>
      <c r="C261" s="34">
        <v>1</v>
      </c>
      <c r="D261" s="35">
        <v>8193.06</v>
      </c>
    </row>
    <row r="262" spans="1:4" x14ac:dyDescent="0.25">
      <c r="A262" s="30" t="s">
        <v>145</v>
      </c>
      <c r="B262" s="30" t="s">
        <v>187</v>
      </c>
      <c r="C262" s="34">
        <v>2</v>
      </c>
      <c r="D262" s="35">
        <v>1466.66</v>
      </c>
    </row>
    <row r="263" spans="1:4" x14ac:dyDescent="0.25">
      <c r="A263" s="30" t="s">
        <v>145</v>
      </c>
      <c r="B263" s="30" t="s">
        <v>188</v>
      </c>
      <c r="C263" s="34">
        <v>1</v>
      </c>
      <c r="D263" s="35">
        <v>3000</v>
      </c>
    </row>
    <row r="264" spans="1:4" x14ac:dyDescent="0.25">
      <c r="A264" s="30" t="s">
        <v>145</v>
      </c>
      <c r="B264" s="30" t="s">
        <v>189</v>
      </c>
      <c r="C264" s="34">
        <v>3</v>
      </c>
      <c r="D264" s="35">
        <v>7039.63</v>
      </c>
    </row>
    <row r="265" spans="1:4" x14ac:dyDescent="0.25">
      <c r="A265" s="30" t="s">
        <v>145</v>
      </c>
      <c r="B265" s="30" t="s">
        <v>175</v>
      </c>
      <c r="C265" s="34">
        <v>3</v>
      </c>
      <c r="D265" s="35">
        <v>8838.7800000000007</v>
      </c>
    </row>
    <row r="266" spans="1:4" x14ac:dyDescent="0.25">
      <c r="A266" s="30" t="s">
        <v>145</v>
      </c>
      <c r="B266" s="30" t="s">
        <v>196</v>
      </c>
      <c r="C266" s="34">
        <v>4</v>
      </c>
      <c r="D266" s="35">
        <v>10247.76</v>
      </c>
    </row>
    <row r="267" spans="1:4" x14ac:dyDescent="0.25">
      <c r="A267" s="30" t="s">
        <v>145</v>
      </c>
      <c r="B267" s="30" t="s">
        <v>191</v>
      </c>
      <c r="C267" s="34">
        <v>2</v>
      </c>
      <c r="D267" s="35">
        <v>6500</v>
      </c>
    </row>
    <row r="268" spans="1:4" x14ac:dyDescent="0.25">
      <c r="A268" s="30" t="s">
        <v>145</v>
      </c>
      <c r="B268" s="30" t="s">
        <v>192</v>
      </c>
      <c r="C268" s="34">
        <v>1</v>
      </c>
      <c r="D268" s="35">
        <v>1544.34</v>
      </c>
    </row>
    <row r="269" spans="1:4" x14ac:dyDescent="0.25">
      <c r="A269" s="30" t="s">
        <v>145</v>
      </c>
      <c r="B269" s="30" t="s">
        <v>193</v>
      </c>
      <c r="C269" s="34">
        <v>1</v>
      </c>
      <c r="D269" s="35">
        <v>1345.81</v>
      </c>
    </row>
    <row r="270" spans="1:4" x14ac:dyDescent="0.25">
      <c r="A270" s="30" t="s">
        <v>145</v>
      </c>
      <c r="B270" s="30" t="s">
        <v>194</v>
      </c>
      <c r="C270" s="34">
        <v>1</v>
      </c>
      <c r="D270" s="35">
        <v>2798.02</v>
      </c>
    </row>
    <row r="271" spans="1:4" x14ac:dyDescent="0.25">
      <c r="A271" s="30" t="s">
        <v>145</v>
      </c>
      <c r="B271" s="30" t="s">
        <v>195</v>
      </c>
      <c r="C271" s="34">
        <v>1</v>
      </c>
      <c r="D271" s="35">
        <v>864.81</v>
      </c>
    </row>
    <row r="272" spans="1:4" x14ac:dyDescent="0.25">
      <c r="A272" s="30" t="s">
        <v>146</v>
      </c>
      <c r="B272" s="30" t="s">
        <v>171</v>
      </c>
      <c r="C272" s="34">
        <v>1</v>
      </c>
      <c r="D272" s="35">
        <v>27040.34</v>
      </c>
    </row>
    <row r="273" spans="1:4" x14ac:dyDescent="0.25">
      <c r="A273" s="30" t="s">
        <v>146</v>
      </c>
      <c r="B273" s="30" t="s">
        <v>182</v>
      </c>
      <c r="C273" s="34">
        <v>1</v>
      </c>
      <c r="D273" s="35">
        <v>3291.07</v>
      </c>
    </row>
    <row r="274" spans="1:4" x14ac:dyDescent="0.25">
      <c r="A274" s="30" t="s">
        <v>146</v>
      </c>
      <c r="B274" s="30" t="s">
        <v>183</v>
      </c>
      <c r="C274" s="34">
        <v>3</v>
      </c>
      <c r="D274" s="35">
        <v>2199.9899999999998</v>
      </c>
    </row>
    <row r="275" spans="1:4" x14ac:dyDescent="0.25">
      <c r="A275" s="30" t="s">
        <v>146</v>
      </c>
      <c r="B275" s="30" t="s">
        <v>184</v>
      </c>
      <c r="C275" s="34">
        <v>1</v>
      </c>
      <c r="D275" s="35">
        <v>13412.51</v>
      </c>
    </row>
    <row r="276" spans="1:4" x14ac:dyDescent="0.25">
      <c r="A276" s="30" t="s">
        <v>146</v>
      </c>
      <c r="B276" s="30" t="s">
        <v>185</v>
      </c>
      <c r="C276" s="34">
        <v>3</v>
      </c>
      <c r="D276" s="35">
        <v>2499.9899999999998</v>
      </c>
    </row>
    <row r="277" spans="1:4" x14ac:dyDescent="0.25">
      <c r="A277" s="30" t="s">
        <v>146</v>
      </c>
      <c r="B277" s="30" t="s">
        <v>186</v>
      </c>
      <c r="C277" s="34">
        <v>1</v>
      </c>
      <c r="D277" s="35">
        <v>4317.71</v>
      </c>
    </row>
    <row r="278" spans="1:4" x14ac:dyDescent="0.25">
      <c r="A278" s="30" t="s">
        <v>146</v>
      </c>
      <c r="B278" s="30" t="s">
        <v>187</v>
      </c>
      <c r="C278" s="34">
        <v>2</v>
      </c>
      <c r="D278" s="35">
        <v>2200</v>
      </c>
    </row>
    <row r="279" spans="1:4" x14ac:dyDescent="0.25">
      <c r="A279" s="30" t="s">
        <v>146</v>
      </c>
      <c r="B279" s="30" t="s">
        <v>188</v>
      </c>
      <c r="C279" s="34">
        <v>1</v>
      </c>
      <c r="D279" s="35">
        <v>3000</v>
      </c>
    </row>
    <row r="280" spans="1:4" x14ac:dyDescent="0.25">
      <c r="A280" s="30" t="s">
        <v>146</v>
      </c>
      <c r="B280" s="30" t="s">
        <v>189</v>
      </c>
      <c r="C280" s="34">
        <v>1</v>
      </c>
      <c r="D280" s="35">
        <v>7567.05</v>
      </c>
    </row>
    <row r="281" spans="1:4" x14ac:dyDescent="0.25">
      <c r="A281" s="30" t="s">
        <v>146</v>
      </c>
      <c r="B281" s="30" t="s">
        <v>175</v>
      </c>
      <c r="C281" s="34">
        <v>2</v>
      </c>
      <c r="D281" s="35">
        <v>9019.98</v>
      </c>
    </row>
    <row r="282" spans="1:4" x14ac:dyDescent="0.25">
      <c r="A282" s="30" t="s">
        <v>146</v>
      </c>
      <c r="B282" s="30" t="s">
        <v>196</v>
      </c>
      <c r="C282" s="34">
        <v>2</v>
      </c>
      <c r="D282" s="35">
        <v>7452.66</v>
      </c>
    </row>
    <row r="283" spans="1:4" x14ac:dyDescent="0.25">
      <c r="A283" s="30" t="s">
        <v>146</v>
      </c>
      <c r="B283" s="30" t="s">
        <v>191</v>
      </c>
      <c r="C283" s="34">
        <v>2</v>
      </c>
      <c r="D283" s="35">
        <v>6500</v>
      </c>
    </row>
    <row r="284" spans="1:4" x14ac:dyDescent="0.25">
      <c r="A284" s="30" t="s">
        <v>146</v>
      </c>
      <c r="B284" s="30" t="s">
        <v>192</v>
      </c>
      <c r="C284" s="34">
        <v>1</v>
      </c>
      <c r="D284" s="35">
        <v>4388.75</v>
      </c>
    </row>
    <row r="285" spans="1:4" x14ac:dyDescent="0.25">
      <c r="A285" s="30" t="s">
        <v>146</v>
      </c>
      <c r="B285" s="30" t="s">
        <v>193</v>
      </c>
      <c r="C285" s="34">
        <v>3</v>
      </c>
      <c r="D285" s="35">
        <v>1298.0999999999999</v>
      </c>
    </row>
    <row r="286" spans="1:4" x14ac:dyDescent="0.25">
      <c r="A286" s="30" t="s">
        <v>146</v>
      </c>
      <c r="B286" s="30" t="s">
        <v>194</v>
      </c>
      <c r="C286" s="34">
        <v>2</v>
      </c>
      <c r="D286" s="35">
        <v>2657.61</v>
      </c>
    </row>
    <row r="287" spans="1:4" x14ac:dyDescent="0.25">
      <c r="A287" s="30" t="s">
        <v>146</v>
      </c>
      <c r="B287" s="30" t="s">
        <v>195</v>
      </c>
      <c r="C287" s="34">
        <v>2</v>
      </c>
      <c r="D287" s="35">
        <v>688.55</v>
      </c>
    </row>
    <row r="288" spans="1:4" x14ac:dyDescent="0.25">
      <c r="A288" s="30" t="s">
        <v>147</v>
      </c>
      <c r="B288" s="30" t="s">
        <v>171</v>
      </c>
      <c r="C288" s="34">
        <v>1</v>
      </c>
      <c r="D288" s="35">
        <v>9755.49</v>
      </c>
    </row>
    <row r="289" spans="1:4" x14ac:dyDescent="0.25">
      <c r="A289" s="30" t="s">
        <v>147</v>
      </c>
      <c r="B289" s="30" t="s">
        <v>183</v>
      </c>
      <c r="C289" s="34">
        <v>3</v>
      </c>
      <c r="D289" s="35">
        <v>2199.9899999999998</v>
      </c>
    </row>
    <row r="290" spans="1:4" x14ac:dyDescent="0.25">
      <c r="A290" s="30" t="s">
        <v>147</v>
      </c>
      <c r="B290" s="30" t="s">
        <v>184</v>
      </c>
      <c r="C290" s="34">
        <v>2</v>
      </c>
      <c r="D290" s="35">
        <v>14389.86</v>
      </c>
    </row>
    <row r="291" spans="1:4" x14ac:dyDescent="0.25">
      <c r="A291" s="30" t="s">
        <v>147</v>
      </c>
      <c r="B291" s="30" t="s">
        <v>185</v>
      </c>
      <c r="C291" s="34">
        <v>2</v>
      </c>
      <c r="D291" s="35">
        <v>2500</v>
      </c>
    </row>
    <row r="292" spans="1:4" x14ac:dyDescent="0.25">
      <c r="A292" s="30" t="s">
        <v>147</v>
      </c>
      <c r="B292" s="30" t="s">
        <v>186</v>
      </c>
      <c r="C292" s="34">
        <v>2</v>
      </c>
      <c r="D292" s="35">
        <v>12816.99</v>
      </c>
    </row>
    <row r="293" spans="1:4" x14ac:dyDescent="0.25">
      <c r="A293" s="30" t="s">
        <v>147</v>
      </c>
      <c r="B293" s="30" t="s">
        <v>187</v>
      </c>
      <c r="C293" s="34">
        <v>2</v>
      </c>
      <c r="D293" s="35">
        <v>2200</v>
      </c>
    </row>
    <row r="294" spans="1:4" x14ac:dyDescent="0.25">
      <c r="A294" s="30" t="s">
        <v>147</v>
      </c>
      <c r="B294" s="30" t="s">
        <v>188</v>
      </c>
      <c r="C294" s="34">
        <v>2</v>
      </c>
      <c r="D294" s="35">
        <v>3000</v>
      </c>
    </row>
    <row r="295" spans="1:4" x14ac:dyDescent="0.25">
      <c r="A295" s="30" t="s">
        <v>147</v>
      </c>
      <c r="B295" s="30" t="s">
        <v>189</v>
      </c>
      <c r="C295" s="34">
        <v>1</v>
      </c>
      <c r="D295" s="35">
        <v>6608.58</v>
      </c>
    </row>
    <row r="296" spans="1:4" x14ac:dyDescent="0.25">
      <c r="A296" s="30" t="s">
        <v>147</v>
      </c>
      <c r="B296" s="30" t="s">
        <v>175</v>
      </c>
      <c r="C296" s="34">
        <v>1</v>
      </c>
      <c r="D296" s="35">
        <v>8947.57</v>
      </c>
    </row>
    <row r="297" spans="1:4" x14ac:dyDescent="0.25">
      <c r="A297" s="30" t="s">
        <v>147</v>
      </c>
      <c r="B297" s="30" t="s">
        <v>196</v>
      </c>
      <c r="C297" s="34">
        <v>4</v>
      </c>
      <c r="D297" s="35">
        <v>23836.51</v>
      </c>
    </row>
    <row r="298" spans="1:4" x14ac:dyDescent="0.25">
      <c r="A298" s="30" t="s">
        <v>147</v>
      </c>
      <c r="B298" s="30" t="s">
        <v>191</v>
      </c>
      <c r="C298" s="34">
        <v>1</v>
      </c>
      <c r="D298" s="35">
        <v>6500</v>
      </c>
    </row>
    <row r="299" spans="1:4" x14ac:dyDescent="0.25">
      <c r="A299" s="30" t="s">
        <v>147</v>
      </c>
      <c r="B299" s="30" t="s">
        <v>192</v>
      </c>
      <c r="C299" s="34">
        <v>2</v>
      </c>
      <c r="D299" s="35">
        <v>4390.3</v>
      </c>
    </row>
    <row r="300" spans="1:4" x14ac:dyDescent="0.25">
      <c r="A300" s="30" t="s">
        <v>147</v>
      </c>
      <c r="B300" s="30" t="s">
        <v>193</v>
      </c>
      <c r="C300" s="34">
        <v>3</v>
      </c>
      <c r="D300" s="35">
        <v>1353.03</v>
      </c>
    </row>
    <row r="301" spans="1:4" x14ac:dyDescent="0.25">
      <c r="A301" s="30" t="s">
        <v>147</v>
      </c>
      <c r="B301" s="30" t="s">
        <v>194</v>
      </c>
      <c r="C301" s="34">
        <v>2</v>
      </c>
      <c r="D301" s="35">
        <v>2599.34</v>
      </c>
    </row>
    <row r="302" spans="1:4" x14ac:dyDescent="0.25">
      <c r="A302" s="30" t="s">
        <v>147</v>
      </c>
      <c r="B302" s="30" t="s">
        <v>195</v>
      </c>
      <c r="C302" s="34">
        <v>1</v>
      </c>
      <c r="D302" s="35">
        <v>773.72</v>
      </c>
    </row>
    <row r="303" spans="1:4" x14ac:dyDescent="0.25">
      <c r="A303" s="30" t="s">
        <v>148</v>
      </c>
      <c r="B303" s="30" t="s">
        <v>171</v>
      </c>
      <c r="C303" s="34">
        <v>2</v>
      </c>
      <c r="D303" s="35">
        <v>27569.29</v>
      </c>
    </row>
    <row r="304" spans="1:4" x14ac:dyDescent="0.25">
      <c r="A304" s="30" t="s">
        <v>148</v>
      </c>
      <c r="B304" s="30" t="s">
        <v>182</v>
      </c>
      <c r="C304" s="34">
        <v>1</v>
      </c>
      <c r="D304" s="35">
        <v>3092.94</v>
      </c>
    </row>
    <row r="305" spans="1:4" x14ac:dyDescent="0.25">
      <c r="A305" s="30" t="s">
        <v>148</v>
      </c>
      <c r="B305" s="30" t="s">
        <v>183</v>
      </c>
      <c r="C305" s="34">
        <v>3</v>
      </c>
      <c r="D305" s="35">
        <v>2199.9899999999998</v>
      </c>
    </row>
    <row r="306" spans="1:4" x14ac:dyDescent="0.25">
      <c r="A306" s="30" t="s">
        <v>148</v>
      </c>
      <c r="B306" s="30" t="s">
        <v>184</v>
      </c>
      <c r="C306" s="34">
        <v>2</v>
      </c>
      <c r="D306" s="35">
        <v>13596.12</v>
      </c>
    </row>
    <row r="307" spans="1:4" x14ac:dyDescent="0.25">
      <c r="A307" s="30" t="s">
        <v>148</v>
      </c>
      <c r="B307" s="30" t="s">
        <v>185</v>
      </c>
      <c r="C307" s="34">
        <v>2</v>
      </c>
      <c r="D307" s="35">
        <v>2500</v>
      </c>
    </row>
    <row r="308" spans="1:4" x14ac:dyDescent="0.25">
      <c r="A308" s="30" t="s">
        <v>148</v>
      </c>
      <c r="B308" s="30" t="s">
        <v>186</v>
      </c>
      <c r="C308" s="34">
        <v>1</v>
      </c>
      <c r="D308" s="35">
        <v>13591.49</v>
      </c>
    </row>
    <row r="309" spans="1:4" x14ac:dyDescent="0.25">
      <c r="A309" s="30" t="s">
        <v>148</v>
      </c>
      <c r="B309" s="30" t="s">
        <v>187</v>
      </c>
      <c r="C309" s="34">
        <v>2</v>
      </c>
      <c r="D309" s="35">
        <v>2200</v>
      </c>
    </row>
    <row r="310" spans="1:4" x14ac:dyDescent="0.25">
      <c r="A310" s="30" t="s">
        <v>148</v>
      </c>
      <c r="B310" s="30" t="s">
        <v>188</v>
      </c>
      <c r="C310" s="34">
        <v>2</v>
      </c>
      <c r="D310" s="35">
        <v>3000</v>
      </c>
    </row>
    <row r="311" spans="1:4" x14ac:dyDescent="0.25">
      <c r="A311" s="30" t="s">
        <v>148</v>
      </c>
      <c r="B311" s="30" t="s">
        <v>189</v>
      </c>
      <c r="C311" s="34">
        <v>1</v>
      </c>
      <c r="D311" s="35">
        <v>2903.52</v>
      </c>
    </row>
    <row r="312" spans="1:4" x14ac:dyDescent="0.25">
      <c r="A312" s="30" t="s">
        <v>148</v>
      </c>
      <c r="B312" s="30" t="s">
        <v>175</v>
      </c>
      <c r="C312" s="34">
        <v>2</v>
      </c>
      <c r="D312" s="35">
        <v>9417.44</v>
      </c>
    </row>
    <row r="313" spans="1:4" x14ac:dyDescent="0.25">
      <c r="A313" s="30" t="s">
        <v>148</v>
      </c>
      <c r="B313" s="30" t="s">
        <v>196</v>
      </c>
      <c r="C313" s="34">
        <v>1</v>
      </c>
      <c r="D313" s="35">
        <v>3429.47</v>
      </c>
    </row>
    <row r="314" spans="1:4" x14ac:dyDescent="0.25">
      <c r="A314" s="30" t="s">
        <v>148</v>
      </c>
      <c r="B314" s="30" t="s">
        <v>191</v>
      </c>
      <c r="C314" s="34">
        <v>1</v>
      </c>
      <c r="D314" s="35">
        <v>6500</v>
      </c>
    </row>
    <row r="315" spans="1:4" x14ac:dyDescent="0.25">
      <c r="A315" s="30" t="s">
        <v>148</v>
      </c>
      <c r="B315" s="30" t="s">
        <v>192</v>
      </c>
      <c r="C315" s="34">
        <v>2</v>
      </c>
      <c r="D315" s="35">
        <v>4500.43</v>
      </c>
    </row>
    <row r="316" spans="1:4" x14ac:dyDescent="0.25">
      <c r="A316" s="30" t="s">
        <v>148</v>
      </c>
      <c r="B316" s="30" t="s">
        <v>193</v>
      </c>
      <c r="C316" s="34">
        <v>1</v>
      </c>
      <c r="D316" s="35">
        <v>1278.47</v>
      </c>
    </row>
    <row r="317" spans="1:4" x14ac:dyDescent="0.25">
      <c r="A317" s="30" t="s">
        <v>148</v>
      </c>
      <c r="B317" s="30" t="s">
        <v>194</v>
      </c>
      <c r="C317" s="34">
        <v>1</v>
      </c>
      <c r="D317" s="35">
        <v>4136.3</v>
      </c>
    </row>
    <row r="318" spans="1:4" x14ac:dyDescent="0.25">
      <c r="A318" s="30" t="s">
        <v>148</v>
      </c>
      <c r="B318" s="30" t="s">
        <v>195</v>
      </c>
      <c r="C318" s="34">
        <v>2</v>
      </c>
      <c r="D318" s="35">
        <v>770.82</v>
      </c>
    </row>
    <row r="319" spans="1:4" x14ac:dyDescent="0.25">
      <c r="A319" s="30" t="s">
        <v>149</v>
      </c>
      <c r="B319" s="30" t="s">
        <v>171</v>
      </c>
      <c r="C319" s="34">
        <v>1</v>
      </c>
      <c r="D319" s="35">
        <v>29034.97</v>
      </c>
    </row>
    <row r="320" spans="1:4" x14ac:dyDescent="0.25">
      <c r="A320" s="30" t="s">
        <v>149</v>
      </c>
      <c r="B320" s="30" t="s">
        <v>182</v>
      </c>
      <c r="C320" s="34">
        <v>1</v>
      </c>
      <c r="D320" s="35">
        <v>3328.76</v>
      </c>
    </row>
    <row r="321" spans="1:4" x14ac:dyDescent="0.25">
      <c r="A321" s="30" t="s">
        <v>149</v>
      </c>
      <c r="B321" s="30" t="s">
        <v>183</v>
      </c>
      <c r="C321" s="34">
        <v>3</v>
      </c>
      <c r="D321" s="35">
        <v>2199.9899999999998</v>
      </c>
    </row>
    <row r="322" spans="1:4" x14ac:dyDescent="0.25">
      <c r="A322" s="30" t="s">
        <v>149</v>
      </c>
      <c r="B322" s="30" t="s">
        <v>184</v>
      </c>
      <c r="C322" s="34">
        <v>3</v>
      </c>
      <c r="D322" s="35">
        <v>14017.05</v>
      </c>
    </row>
    <row r="323" spans="1:4" x14ac:dyDescent="0.25">
      <c r="A323" s="30" t="s">
        <v>149</v>
      </c>
      <c r="B323" s="30" t="s">
        <v>185</v>
      </c>
      <c r="C323" s="34">
        <v>3</v>
      </c>
      <c r="D323" s="35">
        <v>2499.9899999999998</v>
      </c>
    </row>
    <row r="324" spans="1:4" x14ac:dyDescent="0.25">
      <c r="A324" s="30" t="s">
        <v>149</v>
      </c>
      <c r="B324" s="30" t="s">
        <v>186</v>
      </c>
      <c r="C324" s="34">
        <v>1</v>
      </c>
      <c r="D324" s="35">
        <v>7050.92</v>
      </c>
    </row>
    <row r="325" spans="1:4" x14ac:dyDescent="0.25">
      <c r="A325" s="30" t="s">
        <v>149</v>
      </c>
      <c r="B325" s="30" t="s">
        <v>187</v>
      </c>
      <c r="C325" s="34">
        <v>3</v>
      </c>
      <c r="D325" s="35">
        <v>2199.9899999999998</v>
      </c>
    </row>
    <row r="326" spans="1:4" x14ac:dyDescent="0.25">
      <c r="A326" s="30" t="s">
        <v>149</v>
      </c>
      <c r="B326" s="30" t="s">
        <v>188</v>
      </c>
      <c r="C326" s="34">
        <v>1</v>
      </c>
      <c r="D326" s="35">
        <v>3000</v>
      </c>
    </row>
    <row r="327" spans="1:4" x14ac:dyDescent="0.25">
      <c r="A327" s="30" t="s">
        <v>149</v>
      </c>
      <c r="B327" s="30" t="s">
        <v>189</v>
      </c>
      <c r="C327" s="34">
        <v>2</v>
      </c>
      <c r="D327" s="35">
        <v>7410.76</v>
      </c>
    </row>
    <row r="328" spans="1:4" x14ac:dyDescent="0.25">
      <c r="A328" s="30" t="s">
        <v>149</v>
      </c>
      <c r="B328" s="30" t="s">
        <v>190</v>
      </c>
      <c r="C328" s="34">
        <v>1</v>
      </c>
      <c r="D328" s="35">
        <v>1752.76</v>
      </c>
    </row>
    <row r="329" spans="1:4" x14ac:dyDescent="0.25">
      <c r="A329" s="30" t="s">
        <v>149</v>
      </c>
      <c r="B329" s="30" t="s">
        <v>197</v>
      </c>
      <c r="C329" s="34">
        <v>1</v>
      </c>
      <c r="D329" s="35">
        <v>4134</v>
      </c>
    </row>
    <row r="330" spans="1:4" x14ac:dyDescent="0.25">
      <c r="A330" s="30" t="s">
        <v>149</v>
      </c>
      <c r="B330" s="30" t="s">
        <v>175</v>
      </c>
      <c r="C330" s="34">
        <v>3</v>
      </c>
      <c r="D330" s="35">
        <v>8830.9699999999993</v>
      </c>
    </row>
    <row r="331" spans="1:4" x14ac:dyDescent="0.25">
      <c r="A331" s="30" t="s">
        <v>149</v>
      </c>
      <c r="B331" s="30" t="s">
        <v>191</v>
      </c>
      <c r="C331" s="34">
        <v>1</v>
      </c>
      <c r="D331" s="35">
        <v>6500</v>
      </c>
    </row>
    <row r="332" spans="1:4" x14ac:dyDescent="0.25">
      <c r="A332" s="30" t="s">
        <v>149</v>
      </c>
      <c r="B332" s="30" t="s">
        <v>192</v>
      </c>
      <c r="C332" s="34">
        <v>2</v>
      </c>
      <c r="D332" s="35">
        <v>4424.3</v>
      </c>
    </row>
    <row r="333" spans="1:4" x14ac:dyDescent="0.25">
      <c r="A333" s="30" t="s">
        <v>149</v>
      </c>
      <c r="B333" s="30" t="s">
        <v>193</v>
      </c>
      <c r="C333" s="34">
        <v>2</v>
      </c>
      <c r="D333" s="35">
        <v>1311.99</v>
      </c>
    </row>
    <row r="334" spans="1:4" x14ac:dyDescent="0.25">
      <c r="A334" s="30" t="s">
        <v>149</v>
      </c>
      <c r="B334" s="30" t="s">
        <v>194</v>
      </c>
      <c r="C334" s="34">
        <v>1</v>
      </c>
      <c r="D334" s="35">
        <v>2897.57</v>
      </c>
    </row>
    <row r="335" spans="1:4" x14ac:dyDescent="0.25">
      <c r="A335" s="30" t="s">
        <v>149</v>
      </c>
      <c r="B335" s="30" t="s">
        <v>195</v>
      </c>
      <c r="C335" s="34">
        <v>3</v>
      </c>
      <c r="D335" s="35">
        <v>984.56</v>
      </c>
    </row>
    <row r="336" spans="1:4" x14ac:dyDescent="0.25">
      <c r="A336" s="30" t="s">
        <v>150</v>
      </c>
      <c r="B336" s="30" t="s">
        <v>171</v>
      </c>
      <c r="C336" s="34">
        <v>1</v>
      </c>
      <c r="D336" s="35">
        <v>28912.959999999999</v>
      </c>
    </row>
    <row r="337" spans="1:4" x14ac:dyDescent="0.25">
      <c r="A337" s="30" t="s">
        <v>150</v>
      </c>
      <c r="B337" s="30" t="s">
        <v>182</v>
      </c>
      <c r="C337" s="34">
        <v>2</v>
      </c>
      <c r="D337" s="35">
        <v>2842.17</v>
      </c>
    </row>
    <row r="338" spans="1:4" x14ac:dyDescent="0.25">
      <c r="A338" s="30" t="s">
        <v>150</v>
      </c>
      <c r="B338" s="30" t="s">
        <v>183</v>
      </c>
      <c r="C338" s="34">
        <v>2</v>
      </c>
      <c r="D338" s="35">
        <v>2200</v>
      </c>
    </row>
    <row r="339" spans="1:4" x14ac:dyDescent="0.25">
      <c r="A339" s="30" t="s">
        <v>150</v>
      </c>
      <c r="B339" s="30" t="s">
        <v>184</v>
      </c>
      <c r="C339" s="34">
        <v>1</v>
      </c>
      <c r="D339" s="35">
        <v>14092.89</v>
      </c>
    </row>
    <row r="340" spans="1:4" x14ac:dyDescent="0.25">
      <c r="A340" s="30" t="s">
        <v>150</v>
      </c>
      <c r="B340" s="30" t="s">
        <v>185</v>
      </c>
      <c r="C340" s="34">
        <v>1</v>
      </c>
      <c r="D340" s="35">
        <v>2500</v>
      </c>
    </row>
    <row r="341" spans="1:4" x14ac:dyDescent="0.25">
      <c r="A341" s="30" t="s">
        <v>150</v>
      </c>
      <c r="B341" s="30" t="s">
        <v>186</v>
      </c>
      <c r="C341" s="34">
        <v>1</v>
      </c>
      <c r="D341" s="35">
        <v>9550.41</v>
      </c>
    </row>
    <row r="342" spans="1:4" x14ac:dyDescent="0.25">
      <c r="A342" s="30" t="s">
        <v>150</v>
      </c>
      <c r="B342" s="30" t="s">
        <v>187</v>
      </c>
      <c r="C342" s="34">
        <v>3</v>
      </c>
      <c r="D342" s="35">
        <v>2199.9899999999998</v>
      </c>
    </row>
    <row r="343" spans="1:4" x14ac:dyDescent="0.25">
      <c r="A343" s="30" t="s">
        <v>150</v>
      </c>
      <c r="B343" s="30" t="s">
        <v>188</v>
      </c>
      <c r="C343" s="34">
        <v>3</v>
      </c>
      <c r="D343" s="35">
        <v>3000</v>
      </c>
    </row>
    <row r="344" spans="1:4" x14ac:dyDescent="0.25">
      <c r="A344" s="30" t="s">
        <v>150</v>
      </c>
      <c r="B344" s="30" t="s">
        <v>189</v>
      </c>
      <c r="C344" s="34">
        <v>1</v>
      </c>
      <c r="D344" s="35">
        <v>7915.12</v>
      </c>
    </row>
    <row r="345" spans="1:4" x14ac:dyDescent="0.25">
      <c r="A345" s="30" t="s">
        <v>150</v>
      </c>
      <c r="B345" s="30" t="s">
        <v>175</v>
      </c>
      <c r="C345" s="34">
        <v>2</v>
      </c>
      <c r="D345" s="35">
        <v>5890.96</v>
      </c>
    </row>
    <row r="346" spans="1:4" x14ac:dyDescent="0.25">
      <c r="A346" s="30" t="s">
        <v>150</v>
      </c>
      <c r="B346" s="30" t="s">
        <v>196</v>
      </c>
      <c r="C346" s="34">
        <v>1</v>
      </c>
      <c r="D346" s="35">
        <v>3007.69</v>
      </c>
    </row>
    <row r="347" spans="1:4" x14ac:dyDescent="0.25">
      <c r="A347" s="30" t="s">
        <v>150</v>
      </c>
      <c r="B347" s="30" t="s">
        <v>191</v>
      </c>
      <c r="C347" s="34">
        <v>1</v>
      </c>
      <c r="D347" s="35">
        <v>6500</v>
      </c>
    </row>
    <row r="348" spans="1:4" x14ac:dyDescent="0.25">
      <c r="A348" s="30" t="s">
        <v>150</v>
      </c>
      <c r="B348" s="30" t="s">
        <v>192</v>
      </c>
      <c r="C348" s="34">
        <v>3</v>
      </c>
      <c r="D348" s="35">
        <v>4594.76</v>
      </c>
    </row>
    <row r="349" spans="1:4" x14ac:dyDescent="0.25">
      <c r="A349" s="30" t="s">
        <v>150</v>
      </c>
      <c r="B349" s="30" t="s">
        <v>193</v>
      </c>
      <c r="C349" s="34">
        <v>2</v>
      </c>
      <c r="D349" s="35">
        <v>1313.68</v>
      </c>
    </row>
    <row r="350" spans="1:4" x14ac:dyDescent="0.25">
      <c r="A350" s="30" t="s">
        <v>150</v>
      </c>
      <c r="B350" s="30" t="s">
        <v>194</v>
      </c>
      <c r="C350" s="34">
        <v>2</v>
      </c>
      <c r="D350" s="35">
        <v>3299.05</v>
      </c>
    </row>
    <row r="351" spans="1:4" x14ac:dyDescent="0.25">
      <c r="A351" s="30" t="s">
        <v>150</v>
      </c>
      <c r="B351" s="30" t="s">
        <v>195</v>
      </c>
      <c r="C351" s="34">
        <v>2</v>
      </c>
      <c r="D351" s="35">
        <v>873.81</v>
      </c>
    </row>
    <row r="352" spans="1:4" x14ac:dyDescent="0.25">
      <c r="A352" s="30" t="s">
        <v>151</v>
      </c>
      <c r="B352" s="30" t="s">
        <v>171</v>
      </c>
      <c r="C352" s="34">
        <v>3</v>
      </c>
      <c r="D352" s="35">
        <v>28392.01</v>
      </c>
    </row>
    <row r="353" spans="1:4" x14ac:dyDescent="0.25">
      <c r="A353" s="30" t="s">
        <v>151</v>
      </c>
      <c r="B353" s="30" t="s">
        <v>182</v>
      </c>
      <c r="C353" s="34">
        <v>1</v>
      </c>
      <c r="D353" s="35">
        <v>3172.08</v>
      </c>
    </row>
    <row r="354" spans="1:4" x14ac:dyDescent="0.25">
      <c r="A354" s="30" t="s">
        <v>151</v>
      </c>
      <c r="B354" s="30" t="s">
        <v>183</v>
      </c>
      <c r="C354" s="34">
        <v>3</v>
      </c>
      <c r="D354" s="35">
        <v>2199.9899999999998</v>
      </c>
    </row>
    <row r="355" spans="1:4" x14ac:dyDescent="0.25">
      <c r="A355" s="30" t="s">
        <v>151</v>
      </c>
      <c r="B355" s="30" t="s">
        <v>184</v>
      </c>
      <c r="C355" s="34">
        <v>3</v>
      </c>
      <c r="D355" s="35">
        <v>14552.35</v>
      </c>
    </row>
    <row r="356" spans="1:4" x14ac:dyDescent="0.25">
      <c r="A356" s="30" t="s">
        <v>151</v>
      </c>
      <c r="B356" s="30" t="s">
        <v>185</v>
      </c>
      <c r="C356" s="34">
        <v>3</v>
      </c>
      <c r="D356" s="35">
        <v>2499.9899999999998</v>
      </c>
    </row>
    <row r="357" spans="1:4" x14ac:dyDescent="0.25">
      <c r="A357" s="30" t="s">
        <v>151</v>
      </c>
      <c r="B357" s="30" t="s">
        <v>186</v>
      </c>
      <c r="C357" s="34">
        <v>3</v>
      </c>
      <c r="D357" s="35">
        <v>10705.46</v>
      </c>
    </row>
    <row r="358" spans="1:4" x14ac:dyDescent="0.25">
      <c r="A358" s="30" t="s">
        <v>151</v>
      </c>
      <c r="B358" s="30" t="s">
        <v>187</v>
      </c>
      <c r="C358" s="34">
        <v>3</v>
      </c>
      <c r="D358" s="35">
        <v>2199.9899999999998</v>
      </c>
    </row>
    <row r="359" spans="1:4" x14ac:dyDescent="0.25">
      <c r="A359" s="30" t="s">
        <v>151</v>
      </c>
      <c r="B359" s="30" t="s">
        <v>188</v>
      </c>
      <c r="C359" s="34">
        <v>2</v>
      </c>
      <c r="D359" s="35">
        <v>3000</v>
      </c>
    </row>
    <row r="360" spans="1:4" x14ac:dyDescent="0.25">
      <c r="A360" s="30" t="s">
        <v>151</v>
      </c>
      <c r="B360" s="30" t="s">
        <v>189</v>
      </c>
      <c r="C360" s="34">
        <v>1</v>
      </c>
      <c r="D360" s="35">
        <v>7622.89</v>
      </c>
    </row>
    <row r="361" spans="1:4" x14ac:dyDescent="0.25">
      <c r="A361" s="30" t="s">
        <v>151</v>
      </c>
      <c r="B361" s="30" t="s">
        <v>175</v>
      </c>
      <c r="C361" s="34">
        <v>1</v>
      </c>
      <c r="D361" s="35">
        <v>9145.16</v>
      </c>
    </row>
    <row r="362" spans="1:4" x14ac:dyDescent="0.25">
      <c r="A362" s="30" t="s">
        <v>151</v>
      </c>
      <c r="B362" s="30" t="s">
        <v>196</v>
      </c>
      <c r="C362" s="34">
        <v>2</v>
      </c>
      <c r="D362" s="35">
        <v>2667.25</v>
      </c>
    </row>
    <row r="363" spans="1:4" x14ac:dyDescent="0.25">
      <c r="A363" s="30" t="s">
        <v>151</v>
      </c>
      <c r="B363" s="30" t="s">
        <v>191</v>
      </c>
      <c r="C363" s="34">
        <v>2</v>
      </c>
      <c r="D363" s="35">
        <v>6500</v>
      </c>
    </row>
    <row r="364" spans="1:4" x14ac:dyDescent="0.25">
      <c r="A364" s="30" t="s">
        <v>151</v>
      </c>
      <c r="B364" s="30" t="s">
        <v>192</v>
      </c>
      <c r="C364" s="34">
        <v>2</v>
      </c>
      <c r="D364" s="35">
        <v>3078.84</v>
      </c>
    </row>
    <row r="365" spans="1:4" x14ac:dyDescent="0.25">
      <c r="A365" s="30" t="s">
        <v>151</v>
      </c>
      <c r="B365" s="30" t="s">
        <v>193</v>
      </c>
      <c r="C365" s="34">
        <v>1</v>
      </c>
      <c r="D365" s="35">
        <v>1301.22</v>
      </c>
    </row>
    <row r="366" spans="1:4" x14ac:dyDescent="0.25">
      <c r="A366" s="30" t="s">
        <v>151</v>
      </c>
      <c r="B366" s="30" t="s">
        <v>194</v>
      </c>
      <c r="C366" s="34">
        <v>2</v>
      </c>
      <c r="D366" s="35">
        <v>2396.13</v>
      </c>
    </row>
    <row r="367" spans="1:4" x14ac:dyDescent="0.25">
      <c r="A367" s="30" t="s">
        <v>151</v>
      </c>
      <c r="B367" s="30" t="s">
        <v>195</v>
      </c>
      <c r="C367" s="34">
        <v>1</v>
      </c>
      <c r="D367" s="35">
        <v>1050.3</v>
      </c>
    </row>
    <row r="368" spans="1:4" x14ac:dyDescent="0.25">
      <c r="A368" s="30" t="s">
        <v>152</v>
      </c>
      <c r="B368" s="30" t="s">
        <v>171</v>
      </c>
      <c r="C368" s="34">
        <v>1</v>
      </c>
      <c r="D368" s="35">
        <v>28639.78</v>
      </c>
    </row>
    <row r="369" spans="1:4" x14ac:dyDescent="0.25">
      <c r="A369" s="30" t="s">
        <v>152</v>
      </c>
      <c r="B369" s="30" t="s">
        <v>182</v>
      </c>
      <c r="C369" s="34">
        <v>3</v>
      </c>
      <c r="D369" s="35">
        <v>2746.75</v>
      </c>
    </row>
    <row r="370" spans="1:4" x14ac:dyDescent="0.25">
      <c r="A370" s="30" t="s">
        <v>152</v>
      </c>
      <c r="B370" s="30" t="s">
        <v>183</v>
      </c>
      <c r="C370" s="34">
        <v>2</v>
      </c>
      <c r="D370" s="35">
        <v>2200</v>
      </c>
    </row>
    <row r="371" spans="1:4" x14ac:dyDescent="0.25">
      <c r="A371" s="30" t="s">
        <v>152</v>
      </c>
      <c r="B371" s="30" t="s">
        <v>184</v>
      </c>
      <c r="C371" s="34">
        <v>1</v>
      </c>
      <c r="D371" s="35">
        <v>14863.24</v>
      </c>
    </row>
    <row r="372" spans="1:4" x14ac:dyDescent="0.25">
      <c r="A372" s="30" t="s">
        <v>152</v>
      </c>
      <c r="B372" s="30" t="s">
        <v>185</v>
      </c>
      <c r="C372" s="34">
        <v>1</v>
      </c>
      <c r="D372" s="35">
        <v>2500</v>
      </c>
    </row>
    <row r="373" spans="1:4" x14ac:dyDescent="0.25">
      <c r="A373" s="30" t="s">
        <v>152</v>
      </c>
      <c r="B373" s="30" t="s">
        <v>186</v>
      </c>
      <c r="C373" s="34">
        <v>3</v>
      </c>
      <c r="D373" s="35">
        <v>11486.48</v>
      </c>
    </row>
    <row r="374" spans="1:4" x14ac:dyDescent="0.25">
      <c r="A374" s="30" t="s">
        <v>152</v>
      </c>
      <c r="B374" s="30" t="s">
        <v>187</v>
      </c>
      <c r="C374" s="34">
        <v>1</v>
      </c>
      <c r="D374" s="35">
        <v>2200</v>
      </c>
    </row>
    <row r="375" spans="1:4" x14ac:dyDescent="0.25">
      <c r="A375" s="30" t="s">
        <v>152</v>
      </c>
      <c r="B375" s="30" t="s">
        <v>188</v>
      </c>
      <c r="C375" s="34">
        <v>2</v>
      </c>
      <c r="D375" s="35">
        <v>3000</v>
      </c>
    </row>
    <row r="376" spans="1:4" x14ac:dyDescent="0.25">
      <c r="A376" s="30" t="s">
        <v>152</v>
      </c>
      <c r="B376" s="30" t="s">
        <v>189</v>
      </c>
      <c r="C376" s="34">
        <v>3</v>
      </c>
      <c r="D376" s="35">
        <v>7429.6</v>
      </c>
    </row>
    <row r="377" spans="1:4" x14ac:dyDescent="0.25">
      <c r="A377" s="30" t="s">
        <v>152</v>
      </c>
      <c r="B377" s="30" t="s">
        <v>190</v>
      </c>
      <c r="C377" s="34">
        <v>1</v>
      </c>
      <c r="D377" s="35">
        <v>2037.54</v>
      </c>
    </row>
    <row r="378" spans="1:4" x14ac:dyDescent="0.25">
      <c r="A378" s="30" t="s">
        <v>152</v>
      </c>
      <c r="B378" s="30" t="s">
        <v>175</v>
      </c>
      <c r="C378" s="34">
        <v>3</v>
      </c>
      <c r="D378" s="35">
        <v>8956.09</v>
      </c>
    </row>
    <row r="379" spans="1:4" x14ac:dyDescent="0.25">
      <c r="A379" s="30" t="s">
        <v>152</v>
      </c>
      <c r="B379" s="30" t="s">
        <v>196</v>
      </c>
      <c r="C379" s="34">
        <v>1</v>
      </c>
      <c r="D379" s="35">
        <v>3029.34</v>
      </c>
    </row>
    <row r="380" spans="1:4" x14ac:dyDescent="0.25">
      <c r="A380" s="30" t="s">
        <v>152</v>
      </c>
      <c r="B380" s="30" t="s">
        <v>191</v>
      </c>
      <c r="C380" s="34">
        <v>1</v>
      </c>
      <c r="D380" s="35">
        <v>6500</v>
      </c>
    </row>
    <row r="381" spans="1:4" x14ac:dyDescent="0.25">
      <c r="A381" s="30" t="s">
        <v>152</v>
      </c>
      <c r="B381" s="30" t="s">
        <v>192</v>
      </c>
      <c r="C381" s="34">
        <v>1</v>
      </c>
      <c r="D381" s="35">
        <v>4563.4799999999996</v>
      </c>
    </row>
    <row r="382" spans="1:4" x14ac:dyDescent="0.25">
      <c r="A382" s="30" t="s">
        <v>152</v>
      </c>
      <c r="B382" s="30" t="s">
        <v>193</v>
      </c>
      <c r="C382" s="34">
        <v>1</v>
      </c>
      <c r="D382" s="35">
        <v>1178.82</v>
      </c>
    </row>
    <row r="383" spans="1:4" x14ac:dyDescent="0.25">
      <c r="A383" s="30" t="s">
        <v>152</v>
      </c>
      <c r="B383" s="30" t="s">
        <v>195</v>
      </c>
      <c r="C383" s="34">
        <v>1</v>
      </c>
      <c r="D383" s="35">
        <v>1132.05</v>
      </c>
    </row>
    <row r="384" spans="1:4" x14ac:dyDescent="0.25">
      <c r="A384" s="30" t="s">
        <v>153</v>
      </c>
      <c r="B384" s="30" t="s">
        <v>171</v>
      </c>
      <c r="C384" s="34">
        <v>3</v>
      </c>
      <c r="D384" s="35">
        <v>28477.31</v>
      </c>
    </row>
    <row r="385" spans="1:4" x14ac:dyDescent="0.25">
      <c r="A385" s="30" t="s">
        <v>153</v>
      </c>
      <c r="B385" s="30" t="s">
        <v>182</v>
      </c>
      <c r="C385" s="34">
        <v>2</v>
      </c>
      <c r="D385" s="35">
        <v>3292.15</v>
      </c>
    </row>
    <row r="386" spans="1:4" x14ac:dyDescent="0.25">
      <c r="A386" s="30" t="s">
        <v>153</v>
      </c>
      <c r="B386" s="30" t="s">
        <v>183</v>
      </c>
      <c r="C386" s="34">
        <v>2</v>
      </c>
      <c r="D386" s="35">
        <v>2200</v>
      </c>
    </row>
    <row r="387" spans="1:4" x14ac:dyDescent="0.25">
      <c r="A387" s="30" t="s">
        <v>153</v>
      </c>
      <c r="B387" s="30" t="s">
        <v>184</v>
      </c>
      <c r="C387" s="34">
        <v>1</v>
      </c>
      <c r="D387" s="35">
        <v>13488.45</v>
      </c>
    </row>
    <row r="388" spans="1:4" x14ac:dyDescent="0.25">
      <c r="A388" s="30" t="s">
        <v>153</v>
      </c>
      <c r="B388" s="30" t="s">
        <v>185</v>
      </c>
      <c r="C388" s="34">
        <v>1</v>
      </c>
      <c r="D388" s="35">
        <v>2500</v>
      </c>
    </row>
    <row r="389" spans="1:4" x14ac:dyDescent="0.25">
      <c r="A389" s="30" t="s">
        <v>153</v>
      </c>
      <c r="B389" s="30" t="s">
        <v>186</v>
      </c>
      <c r="C389" s="34">
        <v>1</v>
      </c>
      <c r="D389" s="35">
        <v>10922</v>
      </c>
    </row>
    <row r="390" spans="1:4" x14ac:dyDescent="0.25">
      <c r="A390" s="30" t="s">
        <v>153</v>
      </c>
      <c r="B390" s="30" t="s">
        <v>187</v>
      </c>
      <c r="C390" s="34">
        <v>3</v>
      </c>
      <c r="D390" s="35">
        <v>2199.9899999999998</v>
      </c>
    </row>
    <row r="391" spans="1:4" x14ac:dyDescent="0.25">
      <c r="A391" s="30" t="s">
        <v>153</v>
      </c>
      <c r="B391" s="30" t="s">
        <v>188</v>
      </c>
      <c r="C391" s="34">
        <v>2</v>
      </c>
      <c r="D391" s="35">
        <v>3000</v>
      </c>
    </row>
    <row r="392" spans="1:4" x14ac:dyDescent="0.25">
      <c r="A392" s="30" t="s">
        <v>153</v>
      </c>
      <c r="B392" s="30" t="s">
        <v>189</v>
      </c>
      <c r="C392" s="34">
        <v>2</v>
      </c>
      <c r="D392" s="35">
        <v>6961.23</v>
      </c>
    </row>
    <row r="393" spans="1:4" x14ac:dyDescent="0.25">
      <c r="A393" s="30" t="s">
        <v>153</v>
      </c>
      <c r="B393" s="30" t="s">
        <v>175</v>
      </c>
      <c r="C393" s="34">
        <v>2</v>
      </c>
      <c r="D393" s="35">
        <v>8665.57</v>
      </c>
    </row>
    <row r="394" spans="1:4" x14ac:dyDescent="0.25">
      <c r="A394" s="30" t="s">
        <v>153</v>
      </c>
      <c r="B394" s="30" t="s">
        <v>191</v>
      </c>
      <c r="C394" s="34">
        <v>2</v>
      </c>
      <c r="D394" s="35">
        <v>6500</v>
      </c>
    </row>
    <row r="395" spans="1:4" x14ac:dyDescent="0.25">
      <c r="A395" s="30" t="s">
        <v>153</v>
      </c>
      <c r="B395" s="30" t="s">
        <v>192</v>
      </c>
      <c r="C395" s="34">
        <v>1</v>
      </c>
      <c r="D395" s="35">
        <v>4314.91</v>
      </c>
    </row>
    <row r="396" spans="1:4" x14ac:dyDescent="0.25">
      <c r="A396" s="30" t="s">
        <v>153</v>
      </c>
      <c r="B396" s="30" t="s">
        <v>193</v>
      </c>
      <c r="C396" s="34">
        <v>2</v>
      </c>
      <c r="D396" s="35">
        <v>1292.18</v>
      </c>
    </row>
    <row r="397" spans="1:4" x14ac:dyDescent="0.25">
      <c r="A397" s="30" t="s">
        <v>153</v>
      </c>
      <c r="B397" s="30" t="s">
        <v>194</v>
      </c>
      <c r="C397" s="34">
        <v>3</v>
      </c>
      <c r="D397" s="35">
        <v>5167.3100000000004</v>
      </c>
    </row>
    <row r="398" spans="1:4" x14ac:dyDescent="0.25">
      <c r="A398" s="30" t="s">
        <v>153</v>
      </c>
      <c r="B398" s="30" t="s">
        <v>195</v>
      </c>
      <c r="C398" s="34">
        <v>3</v>
      </c>
      <c r="D398" s="35">
        <v>797.15</v>
      </c>
    </row>
    <row r="399" spans="1:4" x14ac:dyDescent="0.25">
      <c r="A399" s="30" t="s">
        <v>154</v>
      </c>
      <c r="B399" s="30" t="s">
        <v>171</v>
      </c>
      <c r="C399" s="34">
        <v>2</v>
      </c>
      <c r="D399" s="35">
        <v>28250.28</v>
      </c>
    </row>
    <row r="400" spans="1:4" x14ac:dyDescent="0.25">
      <c r="A400" s="30" t="s">
        <v>154</v>
      </c>
      <c r="B400" s="30" t="s">
        <v>182</v>
      </c>
      <c r="C400" s="34">
        <v>2</v>
      </c>
      <c r="D400" s="35">
        <v>3049.71</v>
      </c>
    </row>
    <row r="401" spans="1:4" x14ac:dyDescent="0.25">
      <c r="A401" s="30" t="s">
        <v>154</v>
      </c>
      <c r="B401" s="30" t="s">
        <v>183</v>
      </c>
      <c r="C401" s="34">
        <v>1</v>
      </c>
      <c r="D401" s="35">
        <v>2200</v>
      </c>
    </row>
    <row r="402" spans="1:4" x14ac:dyDescent="0.25">
      <c r="A402" s="30" t="s">
        <v>154</v>
      </c>
      <c r="B402" s="30" t="s">
        <v>185</v>
      </c>
      <c r="C402" s="34">
        <v>1</v>
      </c>
      <c r="D402" s="35">
        <v>2500</v>
      </c>
    </row>
    <row r="403" spans="1:4" x14ac:dyDescent="0.25">
      <c r="A403" s="30" t="s">
        <v>154</v>
      </c>
      <c r="B403" s="30" t="s">
        <v>186</v>
      </c>
      <c r="C403" s="34">
        <v>2</v>
      </c>
      <c r="D403" s="35">
        <v>13778.72</v>
      </c>
    </row>
    <row r="404" spans="1:4" x14ac:dyDescent="0.25">
      <c r="A404" s="30" t="s">
        <v>154</v>
      </c>
      <c r="B404" s="30" t="s">
        <v>187</v>
      </c>
      <c r="C404" s="34">
        <v>1</v>
      </c>
      <c r="D404" s="35">
        <v>2200</v>
      </c>
    </row>
    <row r="405" spans="1:4" x14ac:dyDescent="0.25">
      <c r="A405" s="30" t="s">
        <v>154</v>
      </c>
      <c r="B405" s="30" t="s">
        <v>188</v>
      </c>
      <c r="C405" s="34">
        <v>1</v>
      </c>
      <c r="D405" s="35">
        <v>3000</v>
      </c>
    </row>
    <row r="406" spans="1:4" x14ac:dyDescent="0.25">
      <c r="A406" s="30" t="s">
        <v>154</v>
      </c>
      <c r="B406" s="30" t="s">
        <v>189</v>
      </c>
      <c r="C406" s="34">
        <v>2</v>
      </c>
      <c r="D406" s="35">
        <v>6868.43</v>
      </c>
    </row>
    <row r="407" spans="1:4" x14ac:dyDescent="0.25">
      <c r="A407" s="30" t="s">
        <v>154</v>
      </c>
      <c r="B407" s="30" t="s">
        <v>175</v>
      </c>
      <c r="C407" s="34">
        <v>1</v>
      </c>
      <c r="D407" s="35">
        <v>8549.56</v>
      </c>
    </row>
    <row r="408" spans="1:4" x14ac:dyDescent="0.25">
      <c r="A408" s="30" t="s">
        <v>154</v>
      </c>
      <c r="B408" s="30" t="s">
        <v>196</v>
      </c>
      <c r="C408" s="34">
        <v>1</v>
      </c>
      <c r="D408" s="35">
        <v>15114.11</v>
      </c>
    </row>
    <row r="409" spans="1:4" x14ac:dyDescent="0.25">
      <c r="A409" s="30" t="s">
        <v>154</v>
      </c>
      <c r="B409" s="30" t="s">
        <v>191</v>
      </c>
      <c r="C409" s="34">
        <v>1</v>
      </c>
      <c r="D409" s="35">
        <v>6500</v>
      </c>
    </row>
    <row r="410" spans="1:4" x14ac:dyDescent="0.25">
      <c r="A410" s="30" t="s">
        <v>154</v>
      </c>
      <c r="B410" s="30" t="s">
        <v>192</v>
      </c>
      <c r="C410" s="34">
        <v>1</v>
      </c>
      <c r="D410" s="35">
        <v>4335.45</v>
      </c>
    </row>
    <row r="411" spans="1:4" x14ac:dyDescent="0.25">
      <c r="A411" s="30" t="s">
        <v>154</v>
      </c>
      <c r="B411" s="30" t="s">
        <v>193</v>
      </c>
      <c r="C411" s="34">
        <v>3</v>
      </c>
      <c r="D411" s="35">
        <v>1297.56</v>
      </c>
    </row>
    <row r="412" spans="1:4" x14ac:dyDescent="0.25">
      <c r="A412" s="30" t="s">
        <v>154</v>
      </c>
      <c r="B412" s="30" t="s">
        <v>194</v>
      </c>
      <c r="C412" s="34">
        <v>1</v>
      </c>
      <c r="D412" s="35">
        <v>4403.38</v>
      </c>
    </row>
    <row r="413" spans="1:4" x14ac:dyDescent="0.25">
      <c r="A413" s="30" t="s">
        <v>154</v>
      </c>
      <c r="B413" s="30" t="s">
        <v>195</v>
      </c>
      <c r="C413" s="34">
        <v>3</v>
      </c>
      <c r="D413" s="35">
        <v>767.13</v>
      </c>
    </row>
    <row r="414" spans="1:4" x14ac:dyDescent="0.25">
      <c r="A414" s="30" t="s">
        <v>155</v>
      </c>
      <c r="B414" s="30" t="s">
        <v>171</v>
      </c>
      <c r="C414" s="34">
        <v>1</v>
      </c>
      <c r="D414" s="35">
        <v>28470.27</v>
      </c>
    </row>
    <row r="415" spans="1:4" x14ac:dyDescent="0.25">
      <c r="A415" s="30" t="s">
        <v>155</v>
      </c>
      <c r="B415" s="30" t="s">
        <v>182</v>
      </c>
      <c r="C415" s="34">
        <v>2</v>
      </c>
      <c r="D415" s="35">
        <v>2812.16</v>
      </c>
    </row>
    <row r="416" spans="1:4" x14ac:dyDescent="0.25">
      <c r="A416" s="30" t="s">
        <v>155</v>
      </c>
      <c r="B416" s="30" t="s">
        <v>183</v>
      </c>
      <c r="C416" s="34">
        <v>1</v>
      </c>
      <c r="D416" s="35">
        <v>2200</v>
      </c>
    </row>
    <row r="417" spans="1:4" x14ac:dyDescent="0.25">
      <c r="A417" s="30" t="s">
        <v>155</v>
      </c>
      <c r="B417" s="30" t="s">
        <v>184</v>
      </c>
      <c r="C417" s="34">
        <v>1</v>
      </c>
      <c r="D417" s="35">
        <v>14317.36</v>
      </c>
    </row>
    <row r="418" spans="1:4" x14ac:dyDescent="0.25">
      <c r="A418" s="30" t="s">
        <v>155</v>
      </c>
      <c r="B418" s="30" t="s">
        <v>185</v>
      </c>
      <c r="C418" s="34">
        <v>3</v>
      </c>
      <c r="D418" s="35">
        <v>2499.9899999999998</v>
      </c>
    </row>
    <row r="419" spans="1:4" x14ac:dyDescent="0.25">
      <c r="A419" s="30" t="s">
        <v>155</v>
      </c>
      <c r="B419" s="30" t="s">
        <v>186</v>
      </c>
      <c r="C419" s="34">
        <v>1</v>
      </c>
      <c r="D419" s="35">
        <v>5690.71</v>
      </c>
    </row>
    <row r="420" spans="1:4" x14ac:dyDescent="0.25">
      <c r="A420" s="30" t="s">
        <v>155</v>
      </c>
      <c r="B420" s="30" t="s">
        <v>187</v>
      </c>
      <c r="C420" s="34">
        <v>3</v>
      </c>
      <c r="D420" s="35">
        <v>2199.9899999999998</v>
      </c>
    </row>
    <row r="421" spans="1:4" x14ac:dyDescent="0.25">
      <c r="A421" s="30" t="s">
        <v>155</v>
      </c>
      <c r="B421" s="30" t="s">
        <v>188</v>
      </c>
      <c r="C421" s="34">
        <v>3</v>
      </c>
      <c r="D421" s="35">
        <v>3000</v>
      </c>
    </row>
    <row r="422" spans="1:4" x14ac:dyDescent="0.25">
      <c r="A422" s="30" t="s">
        <v>155</v>
      </c>
      <c r="B422" s="30" t="s">
        <v>189</v>
      </c>
      <c r="C422" s="34">
        <v>3</v>
      </c>
      <c r="D422" s="35">
        <v>6652.2</v>
      </c>
    </row>
    <row r="423" spans="1:4" x14ac:dyDescent="0.25">
      <c r="A423" s="30" t="s">
        <v>155</v>
      </c>
      <c r="B423" s="30" t="s">
        <v>190</v>
      </c>
      <c r="C423" s="34">
        <v>1</v>
      </c>
      <c r="D423" s="35">
        <v>2052.5</v>
      </c>
    </row>
    <row r="424" spans="1:4" x14ac:dyDescent="0.25">
      <c r="A424" s="30" t="s">
        <v>155</v>
      </c>
      <c r="B424" s="30" t="s">
        <v>175</v>
      </c>
      <c r="C424" s="34">
        <v>2</v>
      </c>
      <c r="D424" s="35">
        <v>8843.84</v>
      </c>
    </row>
    <row r="425" spans="1:4" x14ac:dyDescent="0.25">
      <c r="A425" s="30" t="s">
        <v>155</v>
      </c>
      <c r="B425" s="30" t="s">
        <v>196</v>
      </c>
      <c r="C425" s="34">
        <v>1</v>
      </c>
      <c r="D425" s="35">
        <v>5487.78</v>
      </c>
    </row>
    <row r="426" spans="1:4" x14ac:dyDescent="0.25">
      <c r="A426" s="30" t="s">
        <v>155</v>
      </c>
      <c r="B426" s="30" t="s">
        <v>191</v>
      </c>
      <c r="C426" s="34">
        <v>3</v>
      </c>
      <c r="D426" s="35">
        <v>6500.01</v>
      </c>
    </row>
    <row r="427" spans="1:4" x14ac:dyDescent="0.25">
      <c r="A427" s="30" t="s">
        <v>155</v>
      </c>
      <c r="B427" s="30" t="s">
        <v>192</v>
      </c>
      <c r="C427" s="34">
        <v>1</v>
      </c>
      <c r="D427" s="35">
        <v>4320.63</v>
      </c>
    </row>
    <row r="428" spans="1:4" x14ac:dyDescent="0.25">
      <c r="A428" s="30" t="s">
        <v>155</v>
      </c>
      <c r="B428" s="30" t="s">
        <v>193</v>
      </c>
      <c r="C428" s="34">
        <v>2</v>
      </c>
      <c r="D428" s="35">
        <v>1209.68</v>
      </c>
    </row>
    <row r="429" spans="1:4" x14ac:dyDescent="0.25">
      <c r="A429" s="30" t="s">
        <v>155</v>
      </c>
      <c r="B429" s="30" t="s">
        <v>194</v>
      </c>
      <c r="C429" s="34">
        <v>1</v>
      </c>
      <c r="D429" s="35">
        <v>3866.02</v>
      </c>
    </row>
    <row r="430" spans="1:4" x14ac:dyDescent="0.25">
      <c r="A430" s="30" t="s">
        <v>155</v>
      </c>
      <c r="B430" s="30" t="s">
        <v>195</v>
      </c>
      <c r="C430" s="34">
        <v>1</v>
      </c>
      <c r="D430" s="35">
        <v>589.94000000000005</v>
      </c>
    </row>
    <row r="431" spans="1:4" x14ac:dyDescent="0.25">
      <c r="A431" s="30" t="s">
        <v>156</v>
      </c>
      <c r="B431" s="30" t="s">
        <v>171</v>
      </c>
      <c r="C431" s="34">
        <v>1</v>
      </c>
      <c r="D431" s="35">
        <v>28604.47</v>
      </c>
    </row>
    <row r="432" spans="1:4" x14ac:dyDescent="0.25">
      <c r="A432" s="30" t="s">
        <v>156</v>
      </c>
      <c r="B432" s="30" t="s">
        <v>182</v>
      </c>
      <c r="C432" s="34">
        <v>3</v>
      </c>
      <c r="D432" s="35">
        <v>3039.91</v>
      </c>
    </row>
    <row r="433" spans="1:4" x14ac:dyDescent="0.25">
      <c r="A433" s="30" t="s">
        <v>156</v>
      </c>
      <c r="B433" s="30" t="s">
        <v>183</v>
      </c>
      <c r="C433" s="34">
        <v>1</v>
      </c>
      <c r="D433" s="35">
        <v>2200</v>
      </c>
    </row>
    <row r="434" spans="1:4" x14ac:dyDescent="0.25">
      <c r="A434" s="30" t="s">
        <v>156</v>
      </c>
      <c r="B434" s="30" t="s">
        <v>184</v>
      </c>
      <c r="C434" s="34">
        <v>3</v>
      </c>
      <c r="D434" s="35">
        <v>14628.43</v>
      </c>
    </row>
    <row r="435" spans="1:4" x14ac:dyDescent="0.25">
      <c r="A435" s="30" t="s">
        <v>156</v>
      </c>
      <c r="B435" s="30" t="s">
        <v>185</v>
      </c>
      <c r="C435" s="34">
        <v>3</v>
      </c>
      <c r="D435" s="35">
        <v>2499.9899999999998</v>
      </c>
    </row>
    <row r="436" spans="1:4" x14ac:dyDescent="0.25">
      <c r="A436" s="30" t="s">
        <v>156</v>
      </c>
      <c r="B436" s="30" t="s">
        <v>186</v>
      </c>
      <c r="C436" s="34">
        <v>2</v>
      </c>
      <c r="D436" s="35">
        <v>8396.16</v>
      </c>
    </row>
    <row r="437" spans="1:4" x14ac:dyDescent="0.25">
      <c r="A437" s="30" t="s">
        <v>156</v>
      </c>
      <c r="B437" s="30" t="s">
        <v>188</v>
      </c>
      <c r="C437" s="34">
        <v>2</v>
      </c>
      <c r="D437" s="35">
        <v>3000</v>
      </c>
    </row>
    <row r="438" spans="1:4" x14ac:dyDescent="0.25">
      <c r="A438" s="30" t="s">
        <v>156</v>
      </c>
      <c r="B438" s="30" t="s">
        <v>189</v>
      </c>
      <c r="C438" s="34">
        <v>3</v>
      </c>
      <c r="D438" s="35">
        <v>7348.58</v>
      </c>
    </row>
    <row r="439" spans="1:4" x14ac:dyDescent="0.25">
      <c r="A439" s="30" t="s">
        <v>156</v>
      </c>
      <c r="B439" s="30" t="s">
        <v>175</v>
      </c>
      <c r="C439" s="34">
        <v>1</v>
      </c>
      <c r="D439" s="35">
        <v>8463.5300000000007</v>
      </c>
    </row>
    <row r="440" spans="1:4" x14ac:dyDescent="0.25">
      <c r="A440" s="30" t="s">
        <v>156</v>
      </c>
      <c r="B440" s="30" t="s">
        <v>196</v>
      </c>
      <c r="C440" s="34">
        <v>1</v>
      </c>
      <c r="D440" s="35">
        <v>2200</v>
      </c>
    </row>
    <row r="441" spans="1:4" x14ac:dyDescent="0.25">
      <c r="A441" s="30" t="s">
        <v>156</v>
      </c>
      <c r="B441" s="30" t="s">
        <v>191</v>
      </c>
      <c r="C441" s="34">
        <v>1</v>
      </c>
      <c r="D441" s="35">
        <v>6500</v>
      </c>
    </row>
    <row r="442" spans="1:4" x14ac:dyDescent="0.25">
      <c r="A442" s="30" t="s">
        <v>156</v>
      </c>
      <c r="B442" s="30" t="s">
        <v>192</v>
      </c>
      <c r="C442" s="34">
        <v>2</v>
      </c>
      <c r="D442" s="35">
        <v>4486.54</v>
      </c>
    </row>
    <row r="443" spans="1:4" x14ac:dyDescent="0.25">
      <c r="A443" s="30" t="s">
        <v>156</v>
      </c>
      <c r="B443" s="30" t="s">
        <v>193</v>
      </c>
      <c r="C443" s="34">
        <v>2</v>
      </c>
      <c r="D443" s="35">
        <v>1271.53</v>
      </c>
    </row>
    <row r="444" spans="1:4" x14ac:dyDescent="0.25">
      <c r="A444" s="30" t="s">
        <v>156</v>
      </c>
      <c r="B444" s="30" t="s">
        <v>194</v>
      </c>
      <c r="C444" s="34">
        <v>3</v>
      </c>
      <c r="D444" s="35">
        <v>3720.35</v>
      </c>
    </row>
    <row r="445" spans="1:4" x14ac:dyDescent="0.25">
      <c r="A445" s="30" t="s">
        <v>156</v>
      </c>
      <c r="B445" s="30" t="s">
        <v>195</v>
      </c>
      <c r="C445" s="34">
        <v>1</v>
      </c>
      <c r="D445" s="35">
        <v>632.86</v>
      </c>
    </row>
    <row r="446" spans="1:4" x14ac:dyDescent="0.25">
      <c r="A446" s="30" t="s">
        <v>157</v>
      </c>
      <c r="B446" s="30" t="s">
        <v>171</v>
      </c>
      <c r="C446" s="34">
        <v>2</v>
      </c>
      <c r="D446" s="35">
        <v>28604.82</v>
      </c>
    </row>
    <row r="447" spans="1:4" x14ac:dyDescent="0.25">
      <c r="A447" s="30" t="s">
        <v>157</v>
      </c>
      <c r="B447" s="30" t="s">
        <v>182</v>
      </c>
      <c r="C447" s="34">
        <v>3</v>
      </c>
      <c r="D447" s="35">
        <v>3191.74</v>
      </c>
    </row>
    <row r="448" spans="1:4" x14ac:dyDescent="0.25">
      <c r="A448" s="30" t="s">
        <v>157</v>
      </c>
      <c r="B448" s="30" t="s">
        <v>183</v>
      </c>
      <c r="C448" s="34">
        <v>1</v>
      </c>
      <c r="D448" s="35">
        <v>2200</v>
      </c>
    </row>
    <row r="449" spans="1:4" x14ac:dyDescent="0.25">
      <c r="A449" s="30" t="s">
        <v>157</v>
      </c>
      <c r="B449" s="30" t="s">
        <v>184</v>
      </c>
      <c r="C449" s="34">
        <v>2</v>
      </c>
      <c r="D449" s="35">
        <v>14477.51</v>
      </c>
    </row>
    <row r="450" spans="1:4" x14ac:dyDescent="0.25">
      <c r="A450" s="30" t="s">
        <v>157</v>
      </c>
      <c r="B450" s="30" t="s">
        <v>185</v>
      </c>
      <c r="C450" s="34">
        <v>1</v>
      </c>
      <c r="D450" s="35">
        <v>2500</v>
      </c>
    </row>
    <row r="451" spans="1:4" x14ac:dyDescent="0.25">
      <c r="A451" s="30" t="s">
        <v>157</v>
      </c>
      <c r="B451" s="30" t="s">
        <v>186</v>
      </c>
      <c r="C451" s="34">
        <v>2</v>
      </c>
      <c r="D451" s="35">
        <v>12082.56</v>
      </c>
    </row>
    <row r="452" spans="1:4" x14ac:dyDescent="0.25">
      <c r="A452" s="30" t="s">
        <v>157</v>
      </c>
      <c r="B452" s="30" t="s">
        <v>187</v>
      </c>
      <c r="C452" s="34">
        <v>1</v>
      </c>
      <c r="D452" s="35">
        <v>1100</v>
      </c>
    </row>
    <row r="453" spans="1:4" x14ac:dyDescent="0.25">
      <c r="A453" s="30" t="s">
        <v>157</v>
      </c>
      <c r="B453" s="30" t="s">
        <v>188</v>
      </c>
      <c r="C453" s="34">
        <v>1</v>
      </c>
      <c r="D453" s="35">
        <v>3000</v>
      </c>
    </row>
    <row r="454" spans="1:4" x14ac:dyDescent="0.25">
      <c r="A454" s="30" t="s">
        <v>157</v>
      </c>
      <c r="B454" s="30" t="s">
        <v>189</v>
      </c>
      <c r="C454" s="34">
        <v>3</v>
      </c>
      <c r="D454" s="35">
        <v>7966.19</v>
      </c>
    </row>
    <row r="455" spans="1:4" x14ac:dyDescent="0.25">
      <c r="A455" s="30" t="s">
        <v>157</v>
      </c>
      <c r="B455" s="30" t="s">
        <v>175</v>
      </c>
      <c r="C455" s="34">
        <v>1</v>
      </c>
      <c r="D455" s="35">
        <v>9086.14</v>
      </c>
    </row>
    <row r="456" spans="1:4" x14ac:dyDescent="0.25">
      <c r="A456" s="30" t="s">
        <v>157</v>
      </c>
      <c r="B456" s="30" t="s">
        <v>196</v>
      </c>
      <c r="C456" s="34">
        <v>1</v>
      </c>
      <c r="D456" s="35">
        <v>1100</v>
      </c>
    </row>
    <row r="457" spans="1:4" x14ac:dyDescent="0.25">
      <c r="A457" s="30" t="s">
        <v>157</v>
      </c>
      <c r="B457" s="30" t="s">
        <v>191</v>
      </c>
      <c r="C457" s="34">
        <v>1</v>
      </c>
      <c r="D457" s="35">
        <v>6500</v>
      </c>
    </row>
    <row r="458" spans="1:4" x14ac:dyDescent="0.25">
      <c r="A458" s="30" t="s">
        <v>157</v>
      </c>
      <c r="B458" s="30" t="s">
        <v>192</v>
      </c>
      <c r="C458" s="34">
        <v>2</v>
      </c>
      <c r="D458" s="35">
        <v>4518.6000000000004</v>
      </c>
    </row>
    <row r="459" spans="1:4" x14ac:dyDescent="0.25">
      <c r="A459" s="30" t="s">
        <v>157</v>
      </c>
      <c r="B459" s="30" t="s">
        <v>193</v>
      </c>
      <c r="C459" s="34">
        <v>1</v>
      </c>
      <c r="D459" s="35">
        <v>1313.88</v>
      </c>
    </row>
    <row r="460" spans="1:4" x14ac:dyDescent="0.25">
      <c r="A460" s="30" t="s">
        <v>157</v>
      </c>
      <c r="B460" s="30" t="s">
        <v>194</v>
      </c>
      <c r="C460" s="34">
        <v>3</v>
      </c>
      <c r="D460" s="35">
        <v>3852.78</v>
      </c>
    </row>
    <row r="461" spans="1:4" x14ac:dyDescent="0.25">
      <c r="A461" s="30" t="s">
        <v>157</v>
      </c>
      <c r="B461" s="30" t="s">
        <v>195</v>
      </c>
      <c r="C461" s="34">
        <v>2</v>
      </c>
      <c r="D461" s="35">
        <v>922.21</v>
      </c>
    </row>
    <row r="462" spans="1:4" x14ac:dyDescent="0.25">
      <c r="A462" s="30" t="s">
        <v>158</v>
      </c>
      <c r="B462" s="30" t="s">
        <v>171</v>
      </c>
      <c r="C462" s="34">
        <v>1</v>
      </c>
      <c r="D462" s="35">
        <v>29318.41</v>
      </c>
    </row>
    <row r="463" spans="1:4" x14ac:dyDescent="0.25">
      <c r="A463" s="30" t="s">
        <v>158</v>
      </c>
      <c r="B463" s="30" t="s">
        <v>182</v>
      </c>
      <c r="C463" s="34">
        <v>1</v>
      </c>
      <c r="D463" s="35">
        <v>2668.27</v>
      </c>
    </row>
    <row r="464" spans="1:4" x14ac:dyDescent="0.25">
      <c r="A464" s="30" t="s">
        <v>158</v>
      </c>
      <c r="B464" s="30" t="s">
        <v>183</v>
      </c>
      <c r="C464" s="34">
        <v>2</v>
      </c>
      <c r="D464" s="35">
        <v>2200</v>
      </c>
    </row>
    <row r="465" spans="1:4" x14ac:dyDescent="0.25">
      <c r="A465" s="30" t="s">
        <v>158</v>
      </c>
      <c r="B465" s="30" t="s">
        <v>184</v>
      </c>
      <c r="C465" s="34">
        <v>3</v>
      </c>
      <c r="D465" s="35">
        <v>13969.29</v>
      </c>
    </row>
    <row r="466" spans="1:4" x14ac:dyDescent="0.25">
      <c r="A466" s="30" t="s">
        <v>158</v>
      </c>
      <c r="B466" s="30" t="s">
        <v>185</v>
      </c>
      <c r="C466" s="34">
        <v>2</v>
      </c>
      <c r="D466" s="35">
        <v>2500</v>
      </c>
    </row>
    <row r="467" spans="1:4" x14ac:dyDescent="0.25">
      <c r="A467" s="30" t="s">
        <v>158</v>
      </c>
      <c r="B467" s="30" t="s">
        <v>186</v>
      </c>
      <c r="C467" s="34">
        <v>2</v>
      </c>
      <c r="D467" s="35">
        <v>9485.89</v>
      </c>
    </row>
    <row r="468" spans="1:4" x14ac:dyDescent="0.25">
      <c r="A468" s="30" t="s">
        <v>158</v>
      </c>
      <c r="B468" s="30" t="s">
        <v>187</v>
      </c>
      <c r="C468" s="34">
        <v>3</v>
      </c>
      <c r="D468" s="35">
        <v>2199.9899999999998</v>
      </c>
    </row>
    <row r="469" spans="1:4" x14ac:dyDescent="0.25">
      <c r="A469" s="30" t="s">
        <v>158</v>
      </c>
      <c r="B469" s="30" t="s">
        <v>188</v>
      </c>
      <c r="C469" s="34">
        <v>2</v>
      </c>
      <c r="D469" s="35">
        <v>3000</v>
      </c>
    </row>
    <row r="470" spans="1:4" x14ac:dyDescent="0.25">
      <c r="A470" s="30" t="s">
        <v>158</v>
      </c>
      <c r="B470" s="30" t="s">
        <v>189</v>
      </c>
      <c r="C470" s="34">
        <v>2</v>
      </c>
      <c r="D470" s="35">
        <v>6775.57</v>
      </c>
    </row>
    <row r="471" spans="1:4" x14ac:dyDescent="0.25">
      <c r="A471" s="30" t="s">
        <v>158</v>
      </c>
      <c r="B471" s="30" t="s">
        <v>190</v>
      </c>
      <c r="C471" s="34">
        <v>1</v>
      </c>
      <c r="D471" s="35">
        <v>1982.28</v>
      </c>
    </row>
    <row r="472" spans="1:4" x14ac:dyDescent="0.25">
      <c r="A472" s="30" t="s">
        <v>158</v>
      </c>
      <c r="B472" s="30" t="s">
        <v>175</v>
      </c>
      <c r="C472" s="34">
        <v>1</v>
      </c>
      <c r="D472" s="35">
        <v>8638.4599999999991</v>
      </c>
    </row>
    <row r="473" spans="1:4" x14ac:dyDescent="0.25">
      <c r="A473" s="30" t="s">
        <v>158</v>
      </c>
      <c r="B473" s="30" t="s">
        <v>191</v>
      </c>
      <c r="C473" s="34">
        <v>2</v>
      </c>
      <c r="D473" s="35">
        <v>6500</v>
      </c>
    </row>
    <row r="474" spans="1:4" x14ac:dyDescent="0.25">
      <c r="A474" s="30" t="s">
        <v>158</v>
      </c>
      <c r="B474" s="30" t="s">
        <v>192</v>
      </c>
      <c r="C474" s="34">
        <v>1</v>
      </c>
      <c r="D474" s="35">
        <v>4517.1899999999996</v>
      </c>
    </row>
    <row r="475" spans="1:4" x14ac:dyDescent="0.25">
      <c r="A475" s="30" t="s">
        <v>158</v>
      </c>
      <c r="B475" s="30" t="s">
        <v>193</v>
      </c>
      <c r="C475" s="34">
        <v>3</v>
      </c>
      <c r="D475" s="35">
        <v>1394.83</v>
      </c>
    </row>
    <row r="476" spans="1:4" x14ac:dyDescent="0.25">
      <c r="A476" s="30" t="s">
        <v>158</v>
      </c>
      <c r="B476" s="30" t="s">
        <v>194</v>
      </c>
      <c r="C476" s="34">
        <v>2</v>
      </c>
      <c r="D476" s="35">
        <v>2598.02</v>
      </c>
    </row>
    <row r="477" spans="1:4" x14ac:dyDescent="0.25">
      <c r="A477" s="30" t="s">
        <v>158</v>
      </c>
      <c r="B477" s="30" t="s">
        <v>195</v>
      </c>
      <c r="C477" s="34">
        <v>2</v>
      </c>
      <c r="D477" s="35">
        <v>882.14</v>
      </c>
    </row>
    <row r="478" spans="1:4" x14ac:dyDescent="0.25">
      <c r="A478" s="30" t="s">
        <v>159</v>
      </c>
      <c r="B478" s="30" t="s">
        <v>171</v>
      </c>
      <c r="C478" s="34">
        <v>1</v>
      </c>
      <c r="D478" s="35">
        <v>29191.64</v>
      </c>
    </row>
    <row r="479" spans="1:4" x14ac:dyDescent="0.25">
      <c r="A479" s="30" t="s">
        <v>159</v>
      </c>
      <c r="B479" s="30" t="s">
        <v>182</v>
      </c>
      <c r="C479" s="34">
        <v>1</v>
      </c>
      <c r="D479" s="35">
        <v>3317.13</v>
      </c>
    </row>
    <row r="480" spans="1:4" x14ac:dyDescent="0.25">
      <c r="A480" s="30" t="s">
        <v>159</v>
      </c>
      <c r="B480" s="30" t="s">
        <v>183</v>
      </c>
      <c r="C480" s="34">
        <v>3</v>
      </c>
      <c r="D480" s="35">
        <v>2199.9899999999998</v>
      </c>
    </row>
    <row r="481" spans="1:4" x14ac:dyDescent="0.25">
      <c r="A481" s="30" t="s">
        <v>159</v>
      </c>
      <c r="B481" s="30" t="s">
        <v>184</v>
      </c>
      <c r="C481" s="34">
        <v>3</v>
      </c>
      <c r="D481" s="35">
        <v>14252.23</v>
      </c>
    </row>
    <row r="482" spans="1:4" x14ac:dyDescent="0.25">
      <c r="A482" s="30" t="s">
        <v>159</v>
      </c>
      <c r="B482" s="30" t="s">
        <v>185</v>
      </c>
      <c r="C482" s="34">
        <v>3</v>
      </c>
      <c r="D482" s="35">
        <v>2499.9899999999998</v>
      </c>
    </row>
    <row r="483" spans="1:4" x14ac:dyDescent="0.25">
      <c r="A483" s="30" t="s">
        <v>159</v>
      </c>
      <c r="B483" s="30" t="s">
        <v>186</v>
      </c>
      <c r="C483" s="34">
        <v>1</v>
      </c>
      <c r="D483" s="35">
        <v>16041.5</v>
      </c>
    </row>
    <row r="484" spans="1:4" x14ac:dyDescent="0.25">
      <c r="A484" s="30" t="s">
        <v>159</v>
      </c>
      <c r="B484" s="30" t="s">
        <v>187</v>
      </c>
      <c r="C484" s="34">
        <v>3</v>
      </c>
      <c r="D484" s="35">
        <v>2199.9899999999998</v>
      </c>
    </row>
    <row r="485" spans="1:4" x14ac:dyDescent="0.25">
      <c r="A485" s="30" t="s">
        <v>159</v>
      </c>
      <c r="B485" s="30" t="s">
        <v>188</v>
      </c>
      <c r="C485" s="34">
        <v>1</v>
      </c>
      <c r="D485" s="35">
        <v>1500</v>
      </c>
    </row>
    <row r="486" spans="1:4" x14ac:dyDescent="0.25">
      <c r="A486" s="30" t="s">
        <v>159</v>
      </c>
      <c r="B486" s="30" t="s">
        <v>189</v>
      </c>
      <c r="C486" s="34">
        <v>3</v>
      </c>
      <c r="D486" s="35">
        <v>7182.11</v>
      </c>
    </row>
    <row r="487" spans="1:4" x14ac:dyDescent="0.25">
      <c r="A487" s="30" t="s">
        <v>159</v>
      </c>
      <c r="B487" s="30" t="s">
        <v>175</v>
      </c>
      <c r="C487" s="34">
        <v>2</v>
      </c>
      <c r="D487" s="35">
        <v>8803.6200000000008</v>
      </c>
    </row>
    <row r="488" spans="1:4" x14ac:dyDescent="0.25">
      <c r="A488" s="30" t="s">
        <v>159</v>
      </c>
      <c r="B488" s="30" t="s">
        <v>196</v>
      </c>
      <c r="C488" s="34">
        <v>1</v>
      </c>
      <c r="D488" s="35">
        <v>1453.92</v>
      </c>
    </row>
    <row r="489" spans="1:4" x14ac:dyDescent="0.25">
      <c r="A489" s="30" t="s">
        <v>159</v>
      </c>
      <c r="B489" s="30" t="s">
        <v>191</v>
      </c>
      <c r="C489" s="34">
        <v>4</v>
      </c>
      <c r="D489" s="35">
        <v>8000.01</v>
      </c>
    </row>
    <row r="490" spans="1:4" x14ac:dyDescent="0.25">
      <c r="A490" s="30" t="s">
        <v>159</v>
      </c>
      <c r="B490" s="30" t="s">
        <v>192</v>
      </c>
      <c r="C490" s="34">
        <v>2</v>
      </c>
      <c r="D490" s="35">
        <v>2945.24</v>
      </c>
    </row>
    <row r="491" spans="1:4" x14ac:dyDescent="0.25">
      <c r="A491" s="30" t="s">
        <v>159</v>
      </c>
      <c r="B491" s="30" t="s">
        <v>193</v>
      </c>
      <c r="C491" s="34">
        <v>3</v>
      </c>
      <c r="D491" s="35">
        <v>1344.64</v>
      </c>
    </row>
    <row r="492" spans="1:4" x14ac:dyDescent="0.25">
      <c r="A492" s="30" t="s">
        <v>159</v>
      </c>
      <c r="B492" s="30" t="s">
        <v>194</v>
      </c>
      <c r="C492" s="34">
        <v>1</v>
      </c>
      <c r="D492" s="35">
        <v>4845.12</v>
      </c>
    </row>
    <row r="493" spans="1:4" x14ac:dyDescent="0.25">
      <c r="A493" s="30" t="s">
        <v>159</v>
      </c>
      <c r="B493" s="30" t="s">
        <v>195</v>
      </c>
      <c r="C493" s="34">
        <v>3</v>
      </c>
      <c r="D493" s="35">
        <v>863.62</v>
      </c>
    </row>
    <row r="494" spans="1:4" x14ac:dyDescent="0.25">
      <c r="A494" s="30" t="s">
        <v>160</v>
      </c>
      <c r="B494" s="30" t="s">
        <v>171</v>
      </c>
      <c r="C494" s="34">
        <v>2</v>
      </c>
      <c r="D494" s="35">
        <v>27205.56</v>
      </c>
    </row>
    <row r="495" spans="1:4" x14ac:dyDescent="0.25">
      <c r="A495" s="30" t="s">
        <v>160</v>
      </c>
      <c r="B495" s="30" t="s">
        <v>182</v>
      </c>
      <c r="C495" s="34">
        <v>1</v>
      </c>
      <c r="D495" s="35">
        <v>2839.97</v>
      </c>
    </row>
    <row r="496" spans="1:4" x14ac:dyDescent="0.25">
      <c r="A496" s="30" t="s">
        <v>160</v>
      </c>
      <c r="B496" s="30" t="s">
        <v>183</v>
      </c>
      <c r="C496" s="34">
        <v>2</v>
      </c>
      <c r="D496" s="35">
        <v>2200</v>
      </c>
    </row>
    <row r="497" spans="1:4" x14ac:dyDescent="0.25">
      <c r="A497" s="30" t="s">
        <v>160</v>
      </c>
      <c r="B497" s="30" t="s">
        <v>184</v>
      </c>
      <c r="C497" s="34">
        <v>2</v>
      </c>
      <c r="D497" s="35">
        <v>14342.53</v>
      </c>
    </row>
    <row r="498" spans="1:4" x14ac:dyDescent="0.25">
      <c r="A498" s="30" t="s">
        <v>160</v>
      </c>
      <c r="B498" s="30" t="s">
        <v>185</v>
      </c>
      <c r="C498" s="34">
        <v>3</v>
      </c>
      <c r="D498" s="35">
        <v>2499.9899999999998</v>
      </c>
    </row>
    <row r="499" spans="1:4" x14ac:dyDescent="0.25">
      <c r="A499" s="30" t="s">
        <v>160</v>
      </c>
      <c r="B499" s="30" t="s">
        <v>186</v>
      </c>
      <c r="C499" s="34">
        <v>2</v>
      </c>
      <c r="D499" s="35">
        <v>11080.48</v>
      </c>
    </row>
    <row r="500" spans="1:4" x14ac:dyDescent="0.25">
      <c r="A500" s="30" t="s">
        <v>160</v>
      </c>
      <c r="B500" s="30" t="s">
        <v>187</v>
      </c>
      <c r="C500" s="34">
        <v>3</v>
      </c>
      <c r="D500" s="35">
        <v>2199.9899999999998</v>
      </c>
    </row>
    <row r="501" spans="1:4" x14ac:dyDescent="0.25">
      <c r="A501" s="30" t="s">
        <v>160</v>
      </c>
      <c r="B501" s="30" t="s">
        <v>188</v>
      </c>
      <c r="C501" s="34">
        <v>3</v>
      </c>
      <c r="D501" s="35">
        <v>3000</v>
      </c>
    </row>
    <row r="502" spans="1:4" x14ac:dyDescent="0.25">
      <c r="A502" s="30" t="s">
        <v>160</v>
      </c>
      <c r="B502" s="30" t="s">
        <v>189</v>
      </c>
      <c r="C502" s="34">
        <v>1</v>
      </c>
      <c r="D502" s="35">
        <v>2871.63</v>
      </c>
    </row>
    <row r="503" spans="1:4" x14ac:dyDescent="0.25">
      <c r="A503" s="30" t="s">
        <v>160</v>
      </c>
      <c r="B503" s="30" t="s">
        <v>175</v>
      </c>
      <c r="C503" s="34">
        <v>2</v>
      </c>
      <c r="D503" s="35">
        <v>8873.75</v>
      </c>
    </row>
    <row r="504" spans="1:4" x14ac:dyDescent="0.25">
      <c r="A504" s="30" t="s">
        <v>160</v>
      </c>
      <c r="B504" s="30" t="s">
        <v>196</v>
      </c>
      <c r="C504" s="34">
        <v>1</v>
      </c>
      <c r="D504" s="35">
        <v>4040.59</v>
      </c>
    </row>
    <row r="505" spans="1:4" x14ac:dyDescent="0.25">
      <c r="A505" s="30" t="s">
        <v>160</v>
      </c>
      <c r="B505" s="30" t="s">
        <v>191</v>
      </c>
      <c r="C505" s="34">
        <v>3</v>
      </c>
      <c r="D505" s="35">
        <v>6500.01</v>
      </c>
    </row>
    <row r="506" spans="1:4" x14ac:dyDescent="0.25">
      <c r="A506" s="30" t="s">
        <v>160</v>
      </c>
      <c r="B506" s="30" t="s">
        <v>192</v>
      </c>
      <c r="C506" s="34">
        <v>1</v>
      </c>
      <c r="D506" s="35">
        <v>4510.58</v>
      </c>
    </row>
    <row r="507" spans="1:4" x14ac:dyDescent="0.25">
      <c r="A507" s="30" t="s">
        <v>160</v>
      </c>
      <c r="B507" s="30" t="s">
        <v>193</v>
      </c>
      <c r="C507" s="34">
        <v>2</v>
      </c>
      <c r="D507" s="35">
        <v>1358.12</v>
      </c>
    </row>
    <row r="508" spans="1:4" x14ac:dyDescent="0.25">
      <c r="A508" s="30" t="s">
        <v>160</v>
      </c>
      <c r="B508" s="30" t="s">
        <v>194</v>
      </c>
      <c r="C508" s="34">
        <v>2</v>
      </c>
      <c r="D508" s="35">
        <v>3956.37</v>
      </c>
    </row>
    <row r="509" spans="1:4" x14ac:dyDescent="0.25">
      <c r="A509" s="30" t="s">
        <v>160</v>
      </c>
      <c r="B509" s="30" t="s">
        <v>195</v>
      </c>
      <c r="C509" s="34">
        <v>1</v>
      </c>
      <c r="D509" s="35">
        <v>999.96</v>
      </c>
    </row>
    <row r="510" spans="1:4" x14ac:dyDescent="0.25">
      <c r="A510" s="30" t="s">
        <v>161</v>
      </c>
      <c r="B510" s="30" t="s">
        <v>171</v>
      </c>
      <c r="C510" s="34">
        <v>3</v>
      </c>
      <c r="D510" s="35">
        <v>27106.77</v>
      </c>
    </row>
    <row r="511" spans="1:4" x14ac:dyDescent="0.25">
      <c r="A511" s="30" t="s">
        <v>161</v>
      </c>
      <c r="B511" s="30" t="s">
        <v>182</v>
      </c>
      <c r="C511" s="34">
        <v>2</v>
      </c>
      <c r="D511" s="35">
        <v>2781.17</v>
      </c>
    </row>
    <row r="512" spans="1:4" x14ac:dyDescent="0.25">
      <c r="A512" s="30" t="s">
        <v>161</v>
      </c>
      <c r="B512" s="30" t="s">
        <v>183</v>
      </c>
      <c r="C512" s="34">
        <v>1</v>
      </c>
      <c r="D512" s="35">
        <v>2200</v>
      </c>
    </row>
    <row r="513" spans="1:4" x14ac:dyDescent="0.25">
      <c r="A513" s="30" t="s">
        <v>161</v>
      </c>
      <c r="B513" s="30" t="s">
        <v>184</v>
      </c>
      <c r="C513" s="34">
        <v>3</v>
      </c>
      <c r="D513" s="35">
        <v>14280</v>
      </c>
    </row>
    <row r="514" spans="1:4" x14ac:dyDescent="0.25">
      <c r="A514" s="30" t="s">
        <v>161</v>
      </c>
      <c r="B514" s="30" t="s">
        <v>185</v>
      </c>
      <c r="C514" s="34">
        <v>2</v>
      </c>
      <c r="D514" s="35">
        <v>2500</v>
      </c>
    </row>
    <row r="515" spans="1:4" x14ac:dyDescent="0.25">
      <c r="A515" s="30" t="s">
        <v>161</v>
      </c>
      <c r="B515" s="30" t="s">
        <v>186</v>
      </c>
      <c r="C515" s="34">
        <v>1</v>
      </c>
      <c r="D515" s="35">
        <v>10579.05</v>
      </c>
    </row>
    <row r="516" spans="1:4" x14ac:dyDescent="0.25">
      <c r="A516" s="30" t="s">
        <v>161</v>
      </c>
      <c r="B516" s="30" t="s">
        <v>187</v>
      </c>
      <c r="C516" s="34">
        <v>1</v>
      </c>
      <c r="D516" s="35">
        <v>2200</v>
      </c>
    </row>
    <row r="517" spans="1:4" x14ac:dyDescent="0.25">
      <c r="A517" s="30" t="s">
        <v>161</v>
      </c>
      <c r="B517" s="30" t="s">
        <v>188</v>
      </c>
      <c r="C517" s="34">
        <v>1</v>
      </c>
      <c r="D517" s="35">
        <v>3000</v>
      </c>
    </row>
    <row r="518" spans="1:4" x14ac:dyDescent="0.25">
      <c r="A518" s="30" t="s">
        <v>161</v>
      </c>
      <c r="B518" s="30" t="s">
        <v>189</v>
      </c>
      <c r="C518" s="34">
        <v>1</v>
      </c>
      <c r="D518" s="35">
        <v>6615.06</v>
      </c>
    </row>
    <row r="519" spans="1:4" x14ac:dyDescent="0.25">
      <c r="A519" s="30" t="s">
        <v>161</v>
      </c>
      <c r="B519" s="30" t="s">
        <v>190</v>
      </c>
      <c r="C519" s="34">
        <v>1</v>
      </c>
      <c r="D519" s="35">
        <v>1664.47</v>
      </c>
    </row>
    <row r="520" spans="1:4" x14ac:dyDescent="0.25">
      <c r="A520" s="30" t="s">
        <v>161</v>
      </c>
      <c r="B520" s="30" t="s">
        <v>175</v>
      </c>
      <c r="C520" s="34">
        <v>3</v>
      </c>
      <c r="D520" s="35">
        <v>9055.1</v>
      </c>
    </row>
    <row r="521" spans="1:4" x14ac:dyDescent="0.25">
      <c r="A521" s="30" t="s">
        <v>161</v>
      </c>
      <c r="B521" s="30" t="s">
        <v>191</v>
      </c>
      <c r="C521" s="34">
        <v>3</v>
      </c>
      <c r="D521" s="35">
        <v>6500.01</v>
      </c>
    </row>
    <row r="522" spans="1:4" x14ac:dyDescent="0.25">
      <c r="A522" s="30" t="s">
        <v>161</v>
      </c>
      <c r="B522" s="30" t="s">
        <v>192</v>
      </c>
      <c r="C522" s="34">
        <v>2</v>
      </c>
      <c r="D522" s="35">
        <v>4629.25</v>
      </c>
    </row>
    <row r="523" spans="1:4" x14ac:dyDescent="0.25">
      <c r="A523" s="30" t="s">
        <v>161</v>
      </c>
      <c r="B523" s="30" t="s">
        <v>193</v>
      </c>
      <c r="C523" s="34">
        <v>1</v>
      </c>
      <c r="D523" s="35">
        <v>1311.67</v>
      </c>
    </row>
    <row r="524" spans="1:4" x14ac:dyDescent="0.25">
      <c r="A524" s="30" t="s">
        <v>161</v>
      </c>
      <c r="B524" s="30" t="s">
        <v>194</v>
      </c>
      <c r="C524" s="34">
        <v>3</v>
      </c>
      <c r="D524" s="35">
        <v>3262.18</v>
      </c>
    </row>
    <row r="525" spans="1:4" x14ac:dyDescent="0.25">
      <c r="A525" s="30" t="s">
        <v>161</v>
      </c>
      <c r="B525" s="30" t="s">
        <v>195</v>
      </c>
      <c r="C525" s="34">
        <v>3</v>
      </c>
      <c r="D525" s="35">
        <v>818.51</v>
      </c>
    </row>
    <row r="526" spans="1:4" x14ac:dyDescent="0.25">
      <c r="A526" s="30" t="s">
        <v>162</v>
      </c>
      <c r="B526" s="30" t="s">
        <v>171</v>
      </c>
      <c r="C526" s="34">
        <v>2</v>
      </c>
      <c r="D526" s="35">
        <v>28234.53</v>
      </c>
    </row>
    <row r="527" spans="1:4" x14ac:dyDescent="0.25">
      <c r="A527" s="30" t="s">
        <v>162</v>
      </c>
      <c r="B527" s="30" t="s">
        <v>182</v>
      </c>
      <c r="C527" s="34">
        <v>3</v>
      </c>
      <c r="D527" s="35">
        <v>2972.33</v>
      </c>
    </row>
    <row r="528" spans="1:4" x14ac:dyDescent="0.25">
      <c r="A528" s="30" t="s">
        <v>162</v>
      </c>
      <c r="B528" s="30" t="s">
        <v>183</v>
      </c>
      <c r="C528" s="34">
        <v>1</v>
      </c>
      <c r="D528" s="35">
        <v>2200</v>
      </c>
    </row>
    <row r="529" spans="1:4" x14ac:dyDescent="0.25">
      <c r="A529" s="30" t="s">
        <v>162</v>
      </c>
      <c r="B529" s="30" t="s">
        <v>184</v>
      </c>
      <c r="C529" s="34">
        <v>3</v>
      </c>
      <c r="D529" s="35">
        <v>13973.71</v>
      </c>
    </row>
    <row r="530" spans="1:4" x14ac:dyDescent="0.25">
      <c r="A530" s="30" t="s">
        <v>162</v>
      </c>
      <c r="B530" s="30" t="s">
        <v>186</v>
      </c>
      <c r="C530" s="34">
        <v>3</v>
      </c>
      <c r="D530" s="35">
        <v>9658.14</v>
      </c>
    </row>
    <row r="531" spans="1:4" x14ac:dyDescent="0.25">
      <c r="A531" s="30" t="s">
        <v>162</v>
      </c>
      <c r="B531" s="30" t="s">
        <v>187</v>
      </c>
      <c r="C531" s="34">
        <v>1</v>
      </c>
      <c r="D531" s="35">
        <v>2200</v>
      </c>
    </row>
    <row r="532" spans="1:4" x14ac:dyDescent="0.25">
      <c r="A532" s="30" t="s">
        <v>162</v>
      </c>
      <c r="B532" s="30" t="s">
        <v>188</v>
      </c>
      <c r="C532" s="34">
        <v>1</v>
      </c>
      <c r="D532" s="35">
        <v>3000</v>
      </c>
    </row>
    <row r="533" spans="1:4" x14ac:dyDescent="0.25">
      <c r="A533" s="30" t="s">
        <v>162</v>
      </c>
      <c r="B533" s="30" t="s">
        <v>189</v>
      </c>
      <c r="C533" s="34">
        <v>3</v>
      </c>
      <c r="D533" s="35">
        <v>6862.91</v>
      </c>
    </row>
    <row r="534" spans="1:4" x14ac:dyDescent="0.25">
      <c r="A534" s="30" t="s">
        <v>162</v>
      </c>
      <c r="B534" s="30" t="s">
        <v>175</v>
      </c>
      <c r="C534" s="34">
        <v>1</v>
      </c>
      <c r="D534" s="35">
        <v>8992.0300000000007</v>
      </c>
    </row>
    <row r="535" spans="1:4" x14ac:dyDescent="0.25">
      <c r="A535" s="30" t="s">
        <v>162</v>
      </c>
      <c r="B535" s="30" t="s">
        <v>196</v>
      </c>
      <c r="C535" s="34">
        <v>1</v>
      </c>
      <c r="D535" s="35">
        <v>2500</v>
      </c>
    </row>
    <row r="536" spans="1:4" x14ac:dyDescent="0.25">
      <c r="A536" s="30" t="s">
        <v>162</v>
      </c>
      <c r="B536" s="30" t="s">
        <v>191</v>
      </c>
      <c r="C536" s="34">
        <v>1</v>
      </c>
      <c r="D536" s="35">
        <v>6500</v>
      </c>
    </row>
    <row r="537" spans="1:4" x14ac:dyDescent="0.25">
      <c r="A537" s="30" t="s">
        <v>162</v>
      </c>
      <c r="B537" s="30" t="s">
        <v>192</v>
      </c>
      <c r="C537" s="34">
        <v>1</v>
      </c>
      <c r="D537" s="35">
        <v>4670.7700000000004</v>
      </c>
    </row>
    <row r="538" spans="1:4" x14ac:dyDescent="0.25">
      <c r="A538" s="30" t="s">
        <v>162</v>
      </c>
      <c r="B538" s="30" t="s">
        <v>193</v>
      </c>
      <c r="C538" s="34">
        <v>1</v>
      </c>
      <c r="D538" s="35">
        <v>1364.52</v>
      </c>
    </row>
    <row r="539" spans="1:4" x14ac:dyDescent="0.25">
      <c r="A539" s="30" t="s">
        <v>162</v>
      </c>
      <c r="B539" s="30" t="s">
        <v>194</v>
      </c>
      <c r="C539" s="34">
        <v>1</v>
      </c>
      <c r="D539" s="35">
        <v>3333.11</v>
      </c>
    </row>
    <row r="540" spans="1:4" x14ac:dyDescent="0.25">
      <c r="A540" s="30" t="s">
        <v>162</v>
      </c>
      <c r="B540" s="30" t="s">
        <v>195</v>
      </c>
      <c r="C540" s="34">
        <v>3</v>
      </c>
      <c r="D540" s="35">
        <v>1058.21</v>
      </c>
    </row>
    <row r="541" spans="1:4" x14ac:dyDescent="0.25">
      <c r="A541" s="30" t="s">
        <v>163</v>
      </c>
      <c r="B541" s="30" t="s">
        <v>171</v>
      </c>
      <c r="C541" s="34">
        <v>2</v>
      </c>
      <c r="D541" s="35">
        <v>28567.200000000001</v>
      </c>
    </row>
    <row r="542" spans="1:4" x14ac:dyDescent="0.25">
      <c r="A542" s="30" t="s">
        <v>163</v>
      </c>
      <c r="B542" s="30" t="s">
        <v>182</v>
      </c>
      <c r="C542" s="34">
        <v>2</v>
      </c>
      <c r="D542" s="35">
        <v>2672.36</v>
      </c>
    </row>
    <row r="543" spans="1:4" x14ac:dyDescent="0.25">
      <c r="A543" s="30" t="s">
        <v>163</v>
      </c>
      <c r="B543" s="30" t="s">
        <v>183</v>
      </c>
      <c r="C543" s="34">
        <v>2</v>
      </c>
      <c r="D543" s="35">
        <v>2200</v>
      </c>
    </row>
    <row r="544" spans="1:4" x14ac:dyDescent="0.25">
      <c r="A544" s="30" t="s">
        <v>163</v>
      </c>
      <c r="B544" s="30" t="s">
        <v>184</v>
      </c>
      <c r="C544" s="34">
        <v>1</v>
      </c>
      <c r="D544" s="35">
        <v>13766.43</v>
      </c>
    </row>
    <row r="545" spans="1:4" x14ac:dyDescent="0.25">
      <c r="A545" s="30" t="s">
        <v>163</v>
      </c>
      <c r="B545" s="30" t="s">
        <v>185</v>
      </c>
      <c r="C545" s="34">
        <v>2</v>
      </c>
      <c r="D545" s="35">
        <v>2500</v>
      </c>
    </row>
    <row r="546" spans="1:4" x14ac:dyDescent="0.25">
      <c r="A546" s="30" t="s">
        <v>163</v>
      </c>
      <c r="B546" s="30" t="s">
        <v>186</v>
      </c>
      <c r="C546" s="34">
        <v>3</v>
      </c>
      <c r="D546" s="35">
        <v>8556.89</v>
      </c>
    </row>
    <row r="547" spans="1:4" x14ac:dyDescent="0.25">
      <c r="A547" s="30" t="s">
        <v>163</v>
      </c>
      <c r="B547" s="30" t="s">
        <v>187</v>
      </c>
      <c r="C547" s="34">
        <v>1</v>
      </c>
      <c r="D547" s="35">
        <v>2200</v>
      </c>
    </row>
    <row r="548" spans="1:4" x14ac:dyDescent="0.25">
      <c r="A548" s="30" t="s">
        <v>163</v>
      </c>
      <c r="B548" s="30" t="s">
        <v>188</v>
      </c>
      <c r="C548" s="34">
        <v>1</v>
      </c>
      <c r="D548" s="35">
        <v>3000</v>
      </c>
    </row>
    <row r="549" spans="1:4" x14ac:dyDescent="0.25">
      <c r="A549" s="30" t="s">
        <v>163</v>
      </c>
      <c r="B549" s="30" t="s">
        <v>189</v>
      </c>
      <c r="C549" s="34">
        <v>3</v>
      </c>
      <c r="D549" s="35">
        <v>6396.44</v>
      </c>
    </row>
    <row r="550" spans="1:4" x14ac:dyDescent="0.25">
      <c r="A550" s="30" t="s">
        <v>163</v>
      </c>
      <c r="B550" s="30" t="s">
        <v>175</v>
      </c>
      <c r="C550" s="34">
        <v>2</v>
      </c>
      <c r="D550" s="35">
        <v>8903.14</v>
      </c>
    </row>
    <row r="551" spans="1:4" x14ac:dyDescent="0.25">
      <c r="A551" s="30" t="s">
        <v>163</v>
      </c>
      <c r="B551" s="30" t="s">
        <v>191</v>
      </c>
      <c r="C551" s="34">
        <v>1</v>
      </c>
      <c r="D551" s="35">
        <v>6500</v>
      </c>
    </row>
    <row r="552" spans="1:4" x14ac:dyDescent="0.25">
      <c r="A552" s="30" t="s">
        <v>163</v>
      </c>
      <c r="B552" s="30" t="s">
        <v>192</v>
      </c>
      <c r="C552" s="34">
        <v>2</v>
      </c>
      <c r="D552" s="35">
        <v>4516.18</v>
      </c>
    </row>
    <row r="553" spans="1:4" x14ac:dyDescent="0.25">
      <c r="A553" s="30" t="s">
        <v>163</v>
      </c>
      <c r="B553" s="30" t="s">
        <v>193</v>
      </c>
      <c r="C553" s="34">
        <v>1</v>
      </c>
      <c r="D553" s="35">
        <v>1209.68</v>
      </c>
    </row>
    <row r="554" spans="1:4" x14ac:dyDescent="0.25">
      <c r="A554" s="30" t="s">
        <v>163</v>
      </c>
      <c r="B554" s="30" t="s">
        <v>194</v>
      </c>
      <c r="C554" s="34">
        <v>2</v>
      </c>
      <c r="D554" s="35">
        <v>3257.59</v>
      </c>
    </row>
    <row r="555" spans="1:4" x14ac:dyDescent="0.25">
      <c r="A555" s="30" t="s">
        <v>163</v>
      </c>
      <c r="B555" s="30" t="s">
        <v>195</v>
      </c>
      <c r="C555" s="34">
        <v>2</v>
      </c>
      <c r="D555" s="35">
        <v>896.54</v>
      </c>
    </row>
    <row r="556" spans="1:4" x14ac:dyDescent="0.25">
      <c r="A556" s="30" t="s">
        <v>164</v>
      </c>
      <c r="B556" s="30" t="s">
        <v>171</v>
      </c>
      <c r="C556" s="34">
        <v>2</v>
      </c>
      <c r="D556" s="35">
        <v>28322.32</v>
      </c>
    </row>
    <row r="557" spans="1:4" x14ac:dyDescent="0.25">
      <c r="A557" s="30" t="s">
        <v>164</v>
      </c>
      <c r="B557" s="30" t="s">
        <v>182</v>
      </c>
      <c r="C557" s="34">
        <v>3</v>
      </c>
      <c r="D557" s="35">
        <v>2906.17</v>
      </c>
    </row>
    <row r="558" spans="1:4" x14ac:dyDescent="0.25">
      <c r="A558" s="30" t="s">
        <v>164</v>
      </c>
      <c r="B558" s="30" t="s">
        <v>183</v>
      </c>
      <c r="C558" s="34">
        <v>3</v>
      </c>
      <c r="D558" s="35">
        <v>2199.9899999999998</v>
      </c>
    </row>
    <row r="559" spans="1:4" x14ac:dyDescent="0.25">
      <c r="A559" s="30" t="s">
        <v>164</v>
      </c>
      <c r="B559" s="30" t="s">
        <v>184</v>
      </c>
      <c r="C559" s="34">
        <v>3</v>
      </c>
      <c r="D559" s="35">
        <v>14110.95</v>
      </c>
    </row>
    <row r="560" spans="1:4" x14ac:dyDescent="0.25">
      <c r="A560" s="30" t="s">
        <v>164</v>
      </c>
      <c r="B560" s="30" t="s">
        <v>185</v>
      </c>
      <c r="C560" s="34">
        <v>2</v>
      </c>
      <c r="D560" s="35">
        <v>2500</v>
      </c>
    </row>
    <row r="561" spans="1:4" x14ac:dyDescent="0.25">
      <c r="A561" s="30" t="s">
        <v>164</v>
      </c>
      <c r="B561" s="30" t="s">
        <v>186</v>
      </c>
      <c r="C561" s="34">
        <v>1</v>
      </c>
      <c r="D561" s="35">
        <v>11111.91</v>
      </c>
    </row>
    <row r="562" spans="1:4" x14ac:dyDescent="0.25">
      <c r="A562" s="30" t="s">
        <v>164</v>
      </c>
      <c r="B562" s="30" t="s">
        <v>187</v>
      </c>
      <c r="C562" s="34">
        <v>2</v>
      </c>
      <c r="D562" s="35">
        <v>2200</v>
      </c>
    </row>
    <row r="563" spans="1:4" x14ac:dyDescent="0.25">
      <c r="A563" s="30" t="s">
        <v>164</v>
      </c>
      <c r="B563" s="30" t="s">
        <v>188</v>
      </c>
      <c r="C563" s="34">
        <v>2</v>
      </c>
      <c r="D563" s="35">
        <v>3000</v>
      </c>
    </row>
    <row r="564" spans="1:4" x14ac:dyDescent="0.25">
      <c r="A564" s="30" t="s">
        <v>164</v>
      </c>
      <c r="B564" s="30" t="s">
        <v>189</v>
      </c>
      <c r="C564" s="34">
        <v>1</v>
      </c>
      <c r="D564" s="35">
        <v>6665.82</v>
      </c>
    </row>
    <row r="565" spans="1:4" x14ac:dyDescent="0.25">
      <c r="A565" s="30" t="s">
        <v>164</v>
      </c>
      <c r="B565" s="30" t="s">
        <v>190</v>
      </c>
      <c r="C565" s="34">
        <v>1</v>
      </c>
      <c r="D565" s="35">
        <v>1976.36</v>
      </c>
    </row>
    <row r="566" spans="1:4" x14ac:dyDescent="0.25">
      <c r="A566" s="30" t="s">
        <v>164</v>
      </c>
      <c r="B566" s="30" t="s">
        <v>175</v>
      </c>
      <c r="C566" s="34">
        <v>3</v>
      </c>
      <c r="D566" s="35">
        <v>8798.14</v>
      </c>
    </row>
    <row r="567" spans="1:4" x14ac:dyDescent="0.25">
      <c r="A567" s="30" t="s">
        <v>164</v>
      </c>
      <c r="B567" s="30" t="s">
        <v>191</v>
      </c>
      <c r="C567" s="34">
        <v>2</v>
      </c>
      <c r="D567" s="35">
        <v>6500</v>
      </c>
    </row>
    <row r="568" spans="1:4" x14ac:dyDescent="0.25">
      <c r="A568" s="30" t="s">
        <v>164</v>
      </c>
      <c r="B568" s="30" t="s">
        <v>192</v>
      </c>
      <c r="C568" s="34">
        <v>3</v>
      </c>
      <c r="D568" s="35">
        <v>4469.1400000000003</v>
      </c>
    </row>
    <row r="569" spans="1:4" x14ac:dyDescent="0.25">
      <c r="A569" s="30" t="s">
        <v>164</v>
      </c>
      <c r="B569" s="30" t="s">
        <v>193</v>
      </c>
      <c r="C569" s="34">
        <v>3</v>
      </c>
      <c r="D569" s="35">
        <v>1335.64</v>
      </c>
    </row>
    <row r="570" spans="1:4" x14ac:dyDescent="0.25">
      <c r="A570" s="30" t="s">
        <v>164</v>
      </c>
      <c r="B570" s="30" t="s">
        <v>194</v>
      </c>
      <c r="C570" s="34">
        <v>2</v>
      </c>
      <c r="D570" s="35">
        <v>4029.65</v>
      </c>
    </row>
    <row r="571" spans="1:4" x14ac:dyDescent="0.25">
      <c r="A571" s="30" t="s">
        <v>164</v>
      </c>
      <c r="B571" s="30" t="s">
        <v>195</v>
      </c>
      <c r="C571" s="34">
        <v>2</v>
      </c>
      <c r="D571" s="35">
        <v>852.41</v>
      </c>
    </row>
    <row r="572" spans="1:4" x14ac:dyDescent="0.25">
      <c r="A572" s="30" t="s">
        <v>165</v>
      </c>
      <c r="B572" s="30" t="s">
        <v>171</v>
      </c>
      <c r="C572" s="34">
        <v>3</v>
      </c>
      <c r="D572" s="35">
        <v>27813.89</v>
      </c>
    </row>
    <row r="573" spans="1:4" x14ac:dyDescent="0.25">
      <c r="A573" s="30" t="s">
        <v>165</v>
      </c>
      <c r="B573" s="30" t="s">
        <v>182</v>
      </c>
      <c r="C573" s="34">
        <v>3</v>
      </c>
      <c r="D573" s="35">
        <v>3052.56</v>
      </c>
    </row>
    <row r="574" spans="1:4" x14ac:dyDescent="0.25">
      <c r="A574" s="30" t="s">
        <v>165</v>
      </c>
      <c r="B574" s="30" t="s">
        <v>183</v>
      </c>
      <c r="C574" s="34">
        <v>1</v>
      </c>
      <c r="D574" s="35">
        <v>2200</v>
      </c>
    </row>
    <row r="575" spans="1:4" x14ac:dyDescent="0.25">
      <c r="A575" s="30" t="s">
        <v>165</v>
      </c>
      <c r="B575" s="30" t="s">
        <v>184</v>
      </c>
      <c r="C575" s="34">
        <v>3</v>
      </c>
      <c r="D575" s="35">
        <v>14445.06</v>
      </c>
    </row>
    <row r="576" spans="1:4" x14ac:dyDescent="0.25">
      <c r="A576" s="30" t="s">
        <v>165</v>
      </c>
      <c r="B576" s="30" t="s">
        <v>186</v>
      </c>
      <c r="C576" s="34">
        <v>1</v>
      </c>
      <c r="D576" s="35">
        <v>11210.2</v>
      </c>
    </row>
    <row r="577" spans="1:4" x14ac:dyDescent="0.25">
      <c r="A577" s="30" t="s">
        <v>165</v>
      </c>
      <c r="B577" s="30" t="s">
        <v>187</v>
      </c>
      <c r="C577" s="34">
        <v>1</v>
      </c>
      <c r="D577" s="35">
        <v>2200</v>
      </c>
    </row>
    <row r="578" spans="1:4" x14ac:dyDescent="0.25">
      <c r="A578" s="30" t="s">
        <v>165</v>
      </c>
      <c r="B578" s="30" t="s">
        <v>188</v>
      </c>
      <c r="C578" s="34">
        <v>3</v>
      </c>
      <c r="D578" s="35">
        <v>3000</v>
      </c>
    </row>
    <row r="579" spans="1:4" x14ac:dyDescent="0.25">
      <c r="A579" s="30" t="s">
        <v>165</v>
      </c>
      <c r="B579" s="30" t="s">
        <v>189</v>
      </c>
      <c r="C579" s="34">
        <v>2</v>
      </c>
      <c r="D579" s="35">
        <v>7133.47</v>
      </c>
    </row>
    <row r="580" spans="1:4" x14ac:dyDescent="0.25">
      <c r="A580" s="30" t="s">
        <v>165</v>
      </c>
      <c r="B580" s="30" t="s">
        <v>175</v>
      </c>
      <c r="C580" s="34">
        <v>2</v>
      </c>
      <c r="D580" s="35">
        <v>8975.98</v>
      </c>
    </row>
    <row r="581" spans="1:4" x14ac:dyDescent="0.25">
      <c r="A581" s="30" t="s">
        <v>165</v>
      </c>
      <c r="B581" s="30" t="s">
        <v>196</v>
      </c>
      <c r="C581" s="34">
        <v>1</v>
      </c>
      <c r="D581" s="35">
        <v>2500</v>
      </c>
    </row>
    <row r="582" spans="1:4" x14ac:dyDescent="0.25">
      <c r="A582" s="30" t="s">
        <v>165</v>
      </c>
      <c r="B582" s="30" t="s">
        <v>191</v>
      </c>
      <c r="C582" s="34">
        <v>1</v>
      </c>
      <c r="D582" s="35">
        <v>6500</v>
      </c>
    </row>
    <row r="583" spans="1:4" x14ac:dyDescent="0.25">
      <c r="A583" s="30" t="s">
        <v>165</v>
      </c>
      <c r="B583" s="30" t="s">
        <v>192</v>
      </c>
      <c r="C583" s="34">
        <v>3</v>
      </c>
      <c r="D583" s="35">
        <v>4551.82</v>
      </c>
    </row>
    <row r="584" spans="1:4" x14ac:dyDescent="0.25">
      <c r="A584" s="30" t="s">
        <v>165</v>
      </c>
      <c r="B584" s="30" t="s">
        <v>193</v>
      </c>
      <c r="C584" s="34">
        <v>2</v>
      </c>
      <c r="D584" s="35">
        <v>1308.6400000000001</v>
      </c>
    </row>
    <row r="585" spans="1:4" x14ac:dyDescent="0.25">
      <c r="A585" s="30" t="s">
        <v>165</v>
      </c>
      <c r="B585" s="30" t="s">
        <v>194</v>
      </c>
      <c r="C585" s="34">
        <v>2</v>
      </c>
      <c r="D585" s="35">
        <v>5920.92</v>
      </c>
    </row>
    <row r="586" spans="1:4" x14ac:dyDescent="0.25">
      <c r="A586" s="30" t="s">
        <v>165</v>
      </c>
      <c r="B586" s="30" t="s">
        <v>195</v>
      </c>
      <c r="C586" s="34">
        <v>3</v>
      </c>
      <c r="D586" s="35">
        <v>889.93</v>
      </c>
    </row>
    <row r="587" spans="1:4" x14ac:dyDescent="0.25">
      <c r="A587" s="30" t="s">
        <v>166</v>
      </c>
      <c r="B587" s="30" t="s">
        <v>171</v>
      </c>
      <c r="C587" s="34">
        <v>3</v>
      </c>
      <c r="D587" s="35">
        <v>28107.65</v>
      </c>
    </row>
    <row r="588" spans="1:4" x14ac:dyDescent="0.25">
      <c r="A588" s="30" t="s">
        <v>166</v>
      </c>
      <c r="B588" s="30" t="s">
        <v>182</v>
      </c>
      <c r="C588" s="34">
        <v>3</v>
      </c>
      <c r="D588" s="35">
        <v>2953.18</v>
      </c>
    </row>
    <row r="589" spans="1:4" x14ac:dyDescent="0.25">
      <c r="A589" s="30" t="s">
        <v>166</v>
      </c>
      <c r="B589" s="30" t="s">
        <v>183</v>
      </c>
      <c r="C589" s="34">
        <v>1</v>
      </c>
      <c r="D589" s="35">
        <v>2200</v>
      </c>
    </row>
    <row r="590" spans="1:4" x14ac:dyDescent="0.25">
      <c r="A590" s="30" t="s">
        <v>166</v>
      </c>
      <c r="B590" s="30" t="s">
        <v>184</v>
      </c>
      <c r="C590" s="34">
        <v>1</v>
      </c>
      <c r="D590" s="35">
        <v>14037.36</v>
      </c>
    </row>
    <row r="591" spans="1:4" x14ac:dyDescent="0.25">
      <c r="A591" s="30" t="s">
        <v>166</v>
      </c>
      <c r="B591" s="30" t="s">
        <v>185</v>
      </c>
      <c r="C591" s="34">
        <v>1</v>
      </c>
      <c r="D591" s="35">
        <v>2500</v>
      </c>
    </row>
    <row r="592" spans="1:4" x14ac:dyDescent="0.25">
      <c r="A592" s="30" t="s">
        <v>166</v>
      </c>
      <c r="B592" s="30" t="s">
        <v>186</v>
      </c>
      <c r="C592" s="34">
        <v>2</v>
      </c>
      <c r="D592" s="35">
        <v>10510.02</v>
      </c>
    </row>
    <row r="593" spans="1:4" x14ac:dyDescent="0.25">
      <c r="A593" s="30" t="s">
        <v>166</v>
      </c>
      <c r="B593" s="30" t="s">
        <v>187</v>
      </c>
      <c r="C593" s="34">
        <v>1</v>
      </c>
      <c r="D593" s="35">
        <v>2200</v>
      </c>
    </row>
    <row r="594" spans="1:4" x14ac:dyDescent="0.25">
      <c r="A594" s="30" t="s">
        <v>166</v>
      </c>
      <c r="B594" s="30" t="s">
        <v>188</v>
      </c>
      <c r="C594" s="34">
        <v>2</v>
      </c>
      <c r="D594" s="35">
        <v>3000</v>
      </c>
    </row>
    <row r="595" spans="1:4" x14ac:dyDescent="0.25">
      <c r="A595" s="30" t="s">
        <v>166</v>
      </c>
      <c r="B595" s="30" t="s">
        <v>189</v>
      </c>
      <c r="C595" s="34">
        <v>1</v>
      </c>
      <c r="D595" s="35">
        <v>6349.99</v>
      </c>
    </row>
    <row r="596" spans="1:4" x14ac:dyDescent="0.25">
      <c r="A596" s="30" t="s">
        <v>166</v>
      </c>
      <c r="B596" s="30" t="s">
        <v>175</v>
      </c>
      <c r="C596" s="34">
        <v>3</v>
      </c>
      <c r="D596" s="35">
        <v>8964.31</v>
      </c>
    </row>
    <row r="597" spans="1:4" x14ac:dyDescent="0.25">
      <c r="A597" s="30" t="s">
        <v>166</v>
      </c>
      <c r="B597" s="30" t="s">
        <v>191</v>
      </c>
      <c r="C597" s="34">
        <v>3</v>
      </c>
      <c r="D597" s="35">
        <v>6500.01</v>
      </c>
    </row>
    <row r="598" spans="1:4" x14ac:dyDescent="0.25">
      <c r="A598" s="30" t="s">
        <v>166</v>
      </c>
      <c r="B598" s="30" t="s">
        <v>192</v>
      </c>
      <c r="C598" s="34">
        <v>2</v>
      </c>
      <c r="D598" s="35">
        <v>4396.33</v>
      </c>
    </row>
    <row r="599" spans="1:4" x14ac:dyDescent="0.25">
      <c r="A599" s="30" t="s">
        <v>166</v>
      </c>
      <c r="B599" s="30" t="s">
        <v>193</v>
      </c>
      <c r="C599" s="34">
        <v>2</v>
      </c>
      <c r="D599" s="35">
        <v>1383.86</v>
      </c>
    </row>
    <row r="600" spans="1:4" x14ac:dyDescent="0.25">
      <c r="A600" s="30" t="s">
        <v>166</v>
      </c>
      <c r="B600" s="30" t="s">
        <v>194</v>
      </c>
      <c r="C600" s="34">
        <v>2</v>
      </c>
      <c r="D600" s="35">
        <v>3620.95</v>
      </c>
    </row>
    <row r="601" spans="1:4" x14ac:dyDescent="0.25">
      <c r="A601" s="30" t="s">
        <v>166</v>
      </c>
      <c r="B601" s="30" t="s">
        <v>195</v>
      </c>
      <c r="C601" s="34">
        <v>1</v>
      </c>
      <c r="D601" s="35">
        <v>648.47</v>
      </c>
    </row>
  </sheetData>
  <mergeCells count="3">
    <mergeCell ref="A1:G1"/>
    <mergeCell ref="A2:G2"/>
    <mergeCell ref="A223:G2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1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14" customWidth="1"/>
    <col min="2" max="2" width="18" customWidth="1"/>
    <col min="3" max="4" width="16" customWidth="1"/>
    <col min="5" max="6" width="18" customWidth="1"/>
    <col min="7" max="8" width="16" customWidth="1"/>
  </cols>
  <sheetData>
    <row r="1" spans="1:9" ht="27.75" customHeight="1" x14ac:dyDescent="0.25">
      <c r="A1" s="8" t="s">
        <v>198</v>
      </c>
      <c r="B1" s="8"/>
      <c r="C1" s="8"/>
      <c r="D1" s="8"/>
      <c r="E1" s="8"/>
      <c r="F1" s="8"/>
      <c r="G1" s="8"/>
      <c r="H1" s="8"/>
    </row>
    <row r="2" spans="1:9" x14ac:dyDescent="0.25">
      <c r="A2" s="7" t="s">
        <v>199</v>
      </c>
      <c r="B2" s="7"/>
      <c r="C2" s="7"/>
      <c r="D2" s="7"/>
      <c r="E2" s="7"/>
      <c r="F2" s="7"/>
      <c r="G2" s="7"/>
      <c r="H2" s="7"/>
    </row>
    <row r="4" spans="1:9" ht="19.5" customHeight="1" x14ac:dyDescent="0.25">
      <c r="A4" s="6" t="s">
        <v>200</v>
      </c>
      <c r="B4" s="6"/>
      <c r="C4" s="6"/>
      <c r="D4" s="6"/>
      <c r="E4" s="6"/>
      <c r="F4" s="6"/>
      <c r="G4" s="6"/>
      <c r="H4" s="6"/>
    </row>
    <row r="5" spans="1:9" x14ac:dyDescent="0.25">
      <c r="A5" s="33" t="s">
        <v>123</v>
      </c>
      <c r="B5" s="33" t="s">
        <v>124</v>
      </c>
      <c r="C5" s="33" t="s">
        <v>169</v>
      </c>
      <c r="D5" s="33" t="s">
        <v>201</v>
      </c>
      <c r="E5" s="33" t="s">
        <v>202</v>
      </c>
      <c r="F5" s="33" t="s">
        <v>203</v>
      </c>
      <c r="G5" s="33" t="s">
        <v>204</v>
      </c>
      <c r="H5" s="33" t="s">
        <v>205</v>
      </c>
      <c r="I5" s="33" t="s">
        <v>206</v>
      </c>
    </row>
    <row r="6" spans="1:9" x14ac:dyDescent="0.25">
      <c r="A6" s="30" t="s">
        <v>135</v>
      </c>
      <c r="B6" s="30" t="s">
        <v>136</v>
      </c>
      <c r="C6" s="34">
        <v>1</v>
      </c>
      <c r="D6" s="35">
        <v>63887.11</v>
      </c>
      <c r="E6" s="35">
        <v>62698.31</v>
      </c>
      <c r="F6" s="35">
        <v>951.92</v>
      </c>
      <c r="G6" s="35">
        <v>-236.88</v>
      </c>
      <c r="H6" s="36">
        <v>2</v>
      </c>
      <c r="I6" s="36">
        <v>14</v>
      </c>
    </row>
    <row r="7" spans="1:9" x14ac:dyDescent="0.25">
      <c r="A7" s="30" t="s">
        <v>135</v>
      </c>
      <c r="B7" s="30" t="s">
        <v>141</v>
      </c>
      <c r="C7" s="34">
        <v>1</v>
      </c>
      <c r="D7" s="35">
        <v>32245.45</v>
      </c>
      <c r="E7" s="35">
        <v>32681.45</v>
      </c>
      <c r="F7" s="35">
        <v>0</v>
      </c>
      <c r="G7" s="35">
        <v>436</v>
      </c>
      <c r="H7" s="36">
        <v>0</v>
      </c>
      <c r="I7" s="36">
        <v>21</v>
      </c>
    </row>
    <row r="8" spans="1:9" x14ac:dyDescent="0.25">
      <c r="A8" s="30" t="s">
        <v>135</v>
      </c>
      <c r="B8" s="30" t="s">
        <v>142</v>
      </c>
      <c r="C8" s="34">
        <v>1</v>
      </c>
      <c r="D8" s="35">
        <v>15283.02</v>
      </c>
      <c r="E8" s="35">
        <v>14978.34</v>
      </c>
      <c r="F8" s="35">
        <v>349.98</v>
      </c>
      <c r="G8" s="35">
        <v>45.3</v>
      </c>
      <c r="H8" s="36">
        <v>1</v>
      </c>
      <c r="I8" s="36">
        <v>3</v>
      </c>
    </row>
    <row r="9" spans="1:9" x14ac:dyDescent="0.25">
      <c r="A9" s="30" t="s">
        <v>135</v>
      </c>
      <c r="B9" s="30" t="s">
        <v>143</v>
      </c>
      <c r="C9" s="34">
        <v>1</v>
      </c>
      <c r="D9" s="35">
        <v>38606.57</v>
      </c>
      <c r="E9" s="35">
        <v>37838.300000000003</v>
      </c>
      <c r="F9" s="35">
        <v>768.27</v>
      </c>
      <c r="G9" s="35">
        <v>0</v>
      </c>
      <c r="H9" s="36">
        <v>2</v>
      </c>
      <c r="I9" s="36">
        <v>30</v>
      </c>
    </row>
    <row r="10" spans="1:9" x14ac:dyDescent="0.25">
      <c r="A10" s="30" t="s">
        <v>144</v>
      </c>
      <c r="B10" s="30" t="s">
        <v>136</v>
      </c>
      <c r="C10" s="34">
        <v>1</v>
      </c>
      <c r="D10" s="35">
        <v>59873.22</v>
      </c>
      <c r="E10" s="35">
        <v>59276.02</v>
      </c>
      <c r="F10" s="35">
        <v>892.11</v>
      </c>
      <c r="G10" s="35">
        <v>294.91000000000003</v>
      </c>
      <c r="H10" s="36">
        <v>2</v>
      </c>
      <c r="I10" s="36">
        <v>14</v>
      </c>
    </row>
    <row r="11" spans="1:9" x14ac:dyDescent="0.25">
      <c r="A11" s="30" t="s">
        <v>144</v>
      </c>
      <c r="B11" s="30" t="s">
        <v>141</v>
      </c>
      <c r="C11" s="34">
        <v>1</v>
      </c>
      <c r="D11" s="35">
        <v>17813.16</v>
      </c>
      <c r="E11" s="35">
        <v>17813.16</v>
      </c>
      <c r="F11" s="35">
        <v>0</v>
      </c>
      <c r="G11" s="35">
        <v>0</v>
      </c>
      <c r="H11" s="36">
        <v>0</v>
      </c>
      <c r="I11" s="36">
        <v>21</v>
      </c>
    </row>
    <row r="12" spans="1:9" x14ac:dyDescent="0.25">
      <c r="A12" s="30" t="s">
        <v>144</v>
      </c>
      <c r="B12" s="30" t="s">
        <v>142</v>
      </c>
      <c r="C12" s="34">
        <v>1</v>
      </c>
      <c r="D12" s="35">
        <v>16586.45</v>
      </c>
      <c r="E12" s="35">
        <v>16206.62</v>
      </c>
      <c r="F12" s="35">
        <v>379.83</v>
      </c>
      <c r="G12" s="35">
        <v>0</v>
      </c>
      <c r="H12" s="36">
        <v>1</v>
      </c>
      <c r="I12" s="36">
        <v>3</v>
      </c>
    </row>
    <row r="13" spans="1:9" x14ac:dyDescent="0.25">
      <c r="A13" s="30" t="s">
        <v>144</v>
      </c>
      <c r="B13" s="30" t="s">
        <v>143</v>
      </c>
      <c r="C13" s="34">
        <v>1</v>
      </c>
      <c r="D13" s="35">
        <v>30438.67</v>
      </c>
      <c r="E13" s="35">
        <v>29832.94</v>
      </c>
      <c r="F13" s="35">
        <v>605.73</v>
      </c>
      <c r="G13" s="35">
        <v>0</v>
      </c>
      <c r="H13" s="36">
        <v>2</v>
      </c>
      <c r="I13" s="36">
        <v>30</v>
      </c>
    </row>
    <row r="14" spans="1:9" x14ac:dyDescent="0.25">
      <c r="A14" s="30" t="s">
        <v>145</v>
      </c>
      <c r="B14" s="30" t="s">
        <v>136</v>
      </c>
      <c r="C14" s="34">
        <v>1</v>
      </c>
      <c r="D14" s="35">
        <v>65382.53</v>
      </c>
      <c r="E14" s="35">
        <v>64408.33</v>
      </c>
      <c r="F14" s="35">
        <v>974.2</v>
      </c>
      <c r="G14" s="35">
        <v>0</v>
      </c>
      <c r="H14" s="36">
        <v>2</v>
      </c>
      <c r="I14" s="36">
        <v>14</v>
      </c>
    </row>
    <row r="15" spans="1:9" x14ac:dyDescent="0.25">
      <c r="A15" s="30" t="s">
        <v>145</v>
      </c>
      <c r="B15" s="30" t="s">
        <v>141</v>
      </c>
      <c r="C15" s="34">
        <v>1</v>
      </c>
      <c r="D15" s="35">
        <v>22666.400000000001</v>
      </c>
      <c r="E15" s="35">
        <v>22666.400000000001</v>
      </c>
      <c r="F15" s="35">
        <v>0</v>
      </c>
      <c r="G15" s="35">
        <v>0</v>
      </c>
      <c r="H15" s="36">
        <v>0</v>
      </c>
      <c r="I15" s="36">
        <v>21</v>
      </c>
    </row>
    <row r="16" spans="1:9" x14ac:dyDescent="0.25">
      <c r="A16" s="30" t="s">
        <v>145</v>
      </c>
      <c r="B16" s="30" t="s">
        <v>142</v>
      </c>
      <c r="C16" s="34">
        <v>1</v>
      </c>
      <c r="D16" s="35">
        <v>22127.87</v>
      </c>
      <c r="E16" s="35">
        <v>21621.14</v>
      </c>
      <c r="F16" s="35">
        <v>506.73</v>
      </c>
      <c r="G16" s="35">
        <v>0</v>
      </c>
      <c r="H16" s="36">
        <v>1</v>
      </c>
      <c r="I16" s="36">
        <v>3</v>
      </c>
    </row>
    <row r="17" spans="1:9" x14ac:dyDescent="0.25">
      <c r="A17" s="30" t="s">
        <v>145</v>
      </c>
      <c r="B17" s="30" t="s">
        <v>143</v>
      </c>
      <c r="C17" s="34">
        <v>1</v>
      </c>
      <c r="D17" s="35">
        <v>41925</v>
      </c>
      <c r="E17" s="35">
        <v>41090.69</v>
      </c>
      <c r="F17" s="35">
        <v>834.31</v>
      </c>
      <c r="G17" s="35">
        <v>0</v>
      </c>
      <c r="H17" s="36">
        <v>2</v>
      </c>
      <c r="I17" s="36">
        <v>30</v>
      </c>
    </row>
    <row r="18" spans="1:9" x14ac:dyDescent="0.25">
      <c r="A18" s="30" t="s">
        <v>146</v>
      </c>
      <c r="B18" s="30" t="s">
        <v>136</v>
      </c>
      <c r="C18" s="34">
        <v>1</v>
      </c>
      <c r="D18" s="35">
        <v>60040.32</v>
      </c>
      <c r="E18" s="35">
        <v>59441.45</v>
      </c>
      <c r="F18" s="35">
        <v>894.6</v>
      </c>
      <c r="G18" s="35">
        <v>295.73</v>
      </c>
      <c r="H18" s="36">
        <v>2</v>
      </c>
      <c r="I18" s="36">
        <v>14</v>
      </c>
    </row>
    <row r="19" spans="1:9" x14ac:dyDescent="0.25">
      <c r="A19" s="30" t="s">
        <v>146</v>
      </c>
      <c r="B19" s="30" t="s">
        <v>141</v>
      </c>
      <c r="C19" s="34">
        <v>1</v>
      </c>
      <c r="D19" s="35">
        <v>22003.48</v>
      </c>
      <c r="E19" s="35">
        <v>22003.48</v>
      </c>
      <c r="F19" s="35">
        <v>0</v>
      </c>
      <c r="G19" s="35">
        <v>0</v>
      </c>
      <c r="H19" s="36">
        <v>0</v>
      </c>
      <c r="I19" s="36">
        <v>21</v>
      </c>
    </row>
    <row r="20" spans="1:9" x14ac:dyDescent="0.25">
      <c r="A20" s="30" t="s">
        <v>146</v>
      </c>
      <c r="B20" s="30" t="s">
        <v>142</v>
      </c>
      <c r="C20" s="34">
        <v>1</v>
      </c>
      <c r="D20" s="35">
        <v>23300.959999999999</v>
      </c>
      <c r="E20" s="35">
        <v>22767.37</v>
      </c>
      <c r="F20" s="35">
        <v>533.59</v>
      </c>
      <c r="G20" s="35">
        <v>0</v>
      </c>
      <c r="H20" s="36">
        <v>1</v>
      </c>
      <c r="I20" s="36">
        <v>3</v>
      </c>
    </row>
    <row r="21" spans="1:9" x14ac:dyDescent="0.25">
      <c r="A21" s="30" t="s">
        <v>146</v>
      </c>
      <c r="B21" s="30" t="s">
        <v>143</v>
      </c>
      <c r="C21" s="34">
        <v>1</v>
      </c>
      <c r="D21" s="35">
        <v>34471.4</v>
      </c>
      <c r="E21" s="35">
        <v>33852.99</v>
      </c>
      <c r="F21" s="35">
        <v>685.98</v>
      </c>
      <c r="G21" s="35">
        <v>67.569999999999993</v>
      </c>
      <c r="H21" s="36">
        <v>2</v>
      </c>
      <c r="I21" s="36">
        <v>30</v>
      </c>
    </row>
    <row r="22" spans="1:9" x14ac:dyDescent="0.25">
      <c r="A22" s="30" t="s">
        <v>147</v>
      </c>
      <c r="B22" s="30" t="s">
        <v>136</v>
      </c>
      <c r="C22" s="34">
        <v>1</v>
      </c>
      <c r="D22" s="35">
        <v>94962.35</v>
      </c>
      <c r="E22" s="35">
        <v>93547.41</v>
      </c>
      <c r="F22" s="35">
        <v>1414.94</v>
      </c>
      <c r="G22" s="35">
        <v>0</v>
      </c>
      <c r="H22" s="36">
        <v>2</v>
      </c>
      <c r="I22" s="36">
        <v>14</v>
      </c>
    </row>
    <row r="23" spans="1:9" x14ac:dyDescent="0.25">
      <c r="A23" s="30" t="s">
        <v>147</v>
      </c>
      <c r="B23" s="30" t="s">
        <v>141</v>
      </c>
      <c r="C23" s="34">
        <v>1</v>
      </c>
      <c r="D23" s="35">
        <v>32020.31</v>
      </c>
      <c r="E23" s="35">
        <v>32084.35</v>
      </c>
      <c r="F23" s="35">
        <v>0</v>
      </c>
      <c r="G23" s="35">
        <v>64.040000000000006</v>
      </c>
      <c r="H23" s="36">
        <v>0</v>
      </c>
      <c r="I23" s="36">
        <v>21</v>
      </c>
    </row>
    <row r="24" spans="1:9" x14ac:dyDescent="0.25">
      <c r="A24" s="30" t="s">
        <v>147</v>
      </c>
      <c r="B24" s="30" t="s">
        <v>142</v>
      </c>
      <c r="C24" s="34">
        <v>1</v>
      </c>
      <c r="D24" s="35">
        <v>23885.24</v>
      </c>
      <c r="E24" s="35">
        <v>23338.27</v>
      </c>
      <c r="F24" s="35">
        <v>546.97</v>
      </c>
      <c r="G24" s="35">
        <v>0</v>
      </c>
      <c r="H24" s="36">
        <v>1</v>
      </c>
      <c r="I24" s="36">
        <v>3</v>
      </c>
    </row>
    <row r="25" spans="1:9" x14ac:dyDescent="0.25">
      <c r="A25" s="30" t="s">
        <v>147</v>
      </c>
      <c r="B25" s="30" t="s">
        <v>143</v>
      </c>
      <c r="C25" s="34">
        <v>1</v>
      </c>
      <c r="D25" s="35">
        <v>44127.35</v>
      </c>
      <c r="E25" s="35">
        <v>43249.22</v>
      </c>
      <c r="F25" s="35">
        <v>878.13</v>
      </c>
      <c r="G25" s="35">
        <v>0</v>
      </c>
      <c r="H25" s="36">
        <v>2</v>
      </c>
      <c r="I25" s="36">
        <v>30</v>
      </c>
    </row>
    <row r="26" spans="1:9" x14ac:dyDescent="0.25">
      <c r="A26" s="30" t="s">
        <v>148</v>
      </c>
      <c r="B26" s="30" t="s">
        <v>136</v>
      </c>
      <c r="C26" s="34">
        <v>1</v>
      </c>
      <c r="D26" s="35">
        <v>81049.61</v>
      </c>
      <c r="E26" s="35">
        <v>80001.649999999994</v>
      </c>
      <c r="F26" s="35">
        <v>1207.6400000000001</v>
      </c>
      <c r="G26" s="35">
        <v>159.68</v>
      </c>
      <c r="H26" s="36">
        <v>2</v>
      </c>
      <c r="I26" s="36">
        <v>14</v>
      </c>
    </row>
    <row r="27" spans="1:9" x14ac:dyDescent="0.25">
      <c r="A27" s="30" t="s">
        <v>148</v>
      </c>
      <c r="B27" s="30" t="s">
        <v>141</v>
      </c>
      <c r="C27" s="34">
        <v>1</v>
      </c>
      <c r="D27" s="35">
        <v>28552.11</v>
      </c>
      <c r="E27" s="35">
        <v>28694.87</v>
      </c>
      <c r="F27" s="35">
        <v>0</v>
      </c>
      <c r="G27" s="35">
        <v>142.76</v>
      </c>
      <c r="H27" s="36">
        <v>0</v>
      </c>
      <c r="I27" s="36">
        <v>21</v>
      </c>
    </row>
    <row r="28" spans="1:9" x14ac:dyDescent="0.25">
      <c r="A28" s="30" t="s">
        <v>148</v>
      </c>
      <c r="B28" s="30" t="s">
        <v>142</v>
      </c>
      <c r="C28" s="34">
        <v>1</v>
      </c>
      <c r="D28" s="35">
        <v>24538.02</v>
      </c>
      <c r="E28" s="35">
        <v>23976.1</v>
      </c>
      <c r="F28" s="35">
        <v>561.91999999999996</v>
      </c>
      <c r="G28" s="35">
        <v>0</v>
      </c>
      <c r="H28" s="36">
        <v>1</v>
      </c>
      <c r="I28" s="36">
        <v>3</v>
      </c>
    </row>
    <row r="29" spans="1:9" x14ac:dyDescent="0.25">
      <c r="A29" s="30" t="s">
        <v>148</v>
      </c>
      <c r="B29" s="30" t="s">
        <v>143</v>
      </c>
      <c r="C29" s="34">
        <v>1</v>
      </c>
      <c r="D29" s="35">
        <v>35582.559999999998</v>
      </c>
      <c r="E29" s="35">
        <v>34769.85</v>
      </c>
      <c r="F29" s="35">
        <v>708.09</v>
      </c>
      <c r="G29" s="35">
        <v>-104.62</v>
      </c>
      <c r="H29" s="36">
        <v>2</v>
      </c>
      <c r="I29" s="36">
        <v>30</v>
      </c>
    </row>
    <row r="30" spans="1:9" x14ac:dyDescent="0.25">
      <c r="A30" s="30" t="s">
        <v>149</v>
      </c>
      <c r="B30" s="30" t="s">
        <v>136</v>
      </c>
      <c r="C30" s="34">
        <v>1</v>
      </c>
      <c r="D30" s="35">
        <v>63216.3</v>
      </c>
      <c r="E30" s="35">
        <v>62274.38</v>
      </c>
      <c r="F30" s="35">
        <v>941.92</v>
      </c>
      <c r="G30" s="35">
        <v>0</v>
      </c>
      <c r="H30" s="36">
        <v>2</v>
      </c>
      <c r="I30" s="36">
        <v>14</v>
      </c>
    </row>
    <row r="31" spans="1:9" x14ac:dyDescent="0.25">
      <c r="A31" s="30" t="s">
        <v>149</v>
      </c>
      <c r="B31" s="30" t="s">
        <v>141</v>
      </c>
      <c r="C31" s="34">
        <v>1</v>
      </c>
      <c r="D31" s="35">
        <v>22116.54</v>
      </c>
      <c r="E31" s="35">
        <v>22050.19</v>
      </c>
      <c r="F31" s="35">
        <v>0</v>
      </c>
      <c r="G31" s="35">
        <v>-66.349999999999994</v>
      </c>
      <c r="H31" s="36">
        <v>0</v>
      </c>
      <c r="I31" s="36">
        <v>21</v>
      </c>
    </row>
    <row r="32" spans="1:9" x14ac:dyDescent="0.25">
      <c r="A32" s="30" t="s">
        <v>149</v>
      </c>
      <c r="B32" s="30" t="s">
        <v>142</v>
      </c>
      <c r="C32" s="34">
        <v>1</v>
      </c>
      <c r="D32" s="35">
        <v>16273.66</v>
      </c>
      <c r="E32" s="35">
        <v>15900.99</v>
      </c>
      <c r="F32" s="35">
        <v>372.67</v>
      </c>
      <c r="G32" s="35">
        <v>0</v>
      </c>
      <c r="H32" s="36">
        <v>1</v>
      </c>
      <c r="I32" s="36">
        <v>3</v>
      </c>
    </row>
    <row r="33" spans="1:9" x14ac:dyDescent="0.25">
      <c r="A33" s="30" t="s">
        <v>149</v>
      </c>
      <c r="B33" s="30" t="s">
        <v>143</v>
      </c>
      <c r="C33" s="34">
        <v>1</v>
      </c>
      <c r="D33" s="35">
        <v>27602.23</v>
      </c>
      <c r="E33" s="35">
        <v>27052.95</v>
      </c>
      <c r="F33" s="35">
        <v>549.28</v>
      </c>
      <c r="G33" s="35">
        <v>0</v>
      </c>
      <c r="H33" s="36">
        <v>2</v>
      </c>
      <c r="I33" s="36">
        <v>30</v>
      </c>
    </row>
    <row r="34" spans="1:9" x14ac:dyDescent="0.25">
      <c r="A34" s="30" t="s">
        <v>150</v>
      </c>
      <c r="B34" s="30" t="s">
        <v>136</v>
      </c>
      <c r="C34" s="34">
        <v>1</v>
      </c>
      <c r="D34" s="35">
        <v>59666.33</v>
      </c>
      <c r="E34" s="35">
        <v>58894.85</v>
      </c>
      <c r="F34" s="35">
        <v>889.03</v>
      </c>
      <c r="G34" s="35">
        <v>117.55</v>
      </c>
      <c r="H34" s="36">
        <v>2</v>
      </c>
      <c r="I34" s="36">
        <v>14</v>
      </c>
    </row>
    <row r="35" spans="1:9" x14ac:dyDescent="0.25">
      <c r="A35" s="30" t="s">
        <v>150</v>
      </c>
      <c r="B35" s="30" t="s">
        <v>141</v>
      </c>
      <c r="C35" s="34">
        <v>1</v>
      </c>
      <c r="D35" s="35">
        <v>26262.04</v>
      </c>
      <c r="E35" s="35">
        <v>26262.04</v>
      </c>
      <c r="F35" s="35">
        <v>0</v>
      </c>
      <c r="G35" s="35">
        <v>0</v>
      </c>
      <c r="H35" s="36">
        <v>0</v>
      </c>
      <c r="I35" s="36">
        <v>21</v>
      </c>
    </row>
    <row r="36" spans="1:9" x14ac:dyDescent="0.25">
      <c r="A36" s="30" t="s">
        <v>150</v>
      </c>
      <c r="B36" s="30" t="s">
        <v>142</v>
      </c>
      <c r="C36" s="34">
        <v>1</v>
      </c>
      <c r="D36" s="35">
        <v>17211.349999999999</v>
      </c>
      <c r="E36" s="35">
        <v>16817.21</v>
      </c>
      <c r="F36" s="35">
        <v>394.14</v>
      </c>
      <c r="G36" s="35">
        <v>0</v>
      </c>
      <c r="H36" s="36">
        <v>1</v>
      </c>
      <c r="I36" s="36">
        <v>3</v>
      </c>
    </row>
    <row r="37" spans="1:9" x14ac:dyDescent="0.25">
      <c r="A37" s="30" t="s">
        <v>150</v>
      </c>
      <c r="B37" s="30" t="s">
        <v>143</v>
      </c>
      <c r="C37" s="34">
        <v>1</v>
      </c>
      <c r="D37" s="35">
        <v>25804.99</v>
      </c>
      <c r="E37" s="35">
        <v>25291.47</v>
      </c>
      <c r="F37" s="35">
        <v>513.52</v>
      </c>
      <c r="G37" s="35">
        <v>0</v>
      </c>
      <c r="H37" s="36">
        <v>2</v>
      </c>
      <c r="I37" s="36">
        <v>30</v>
      </c>
    </row>
    <row r="38" spans="1:9" x14ac:dyDescent="0.25">
      <c r="A38" s="30" t="s">
        <v>151</v>
      </c>
      <c r="B38" s="30" t="s">
        <v>136</v>
      </c>
      <c r="C38" s="34">
        <v>1</v>
      </c>
      <c r="D38" s="35">
        <v>66145.58</v>
      </c>
      <c r="E38" s="35">
        <v>64964.53</v>
      </c>
      <c r="F38" s="35">
        <v>985.57</v>
      </c>
      <c r="G38" s="35">
        <v>-195.48</v>
      </c>
      <c r="H38" s="36">
        <v>2</v>
      </c>
      <c r="I38" s="36">
        <v>14</v>
      </c>
    </row>
    <row r="39" spans="1:9" x14ac:dyDescent="0.25">
      <c r="A39" s="30" t="s">
        <v>151</v>
      </c>
      <c r="B39" s="30" t="s">
        <v>141</v>
      </c>
      <c r="C39" s="34">
        <v>1</v>
      </c>
      <c r="D39" s="35">
        <v>19852.41</v>
      </c>
      <c r="E39" s="35">
        <v>19951.669999999998</v>
      </c>
      <c r="F39" s="35">
        <v>0</v>
      </c>
      <c r="G39" s="35">
        <v>99.26</v>
      </c>
      <c r="H39" s="36">
        <v>0</v>
      </c>
      <c r="I39" s="36">
        <v>21</v>
      </c>
    </row>
    <row r="40" spans="1:9" x14ac:dyDescent="0.25">
      <c r="A40" s="30" t="s">
        <v>151</v>
      </c>
      <c r="B40" s="30" t="s">
        <v>142</v>
      </c>
      <c r="C40" s="34">
        <v>1</v>
      </c>
      <c r="D40" s="35">
        <v>17836.509999999998</v>
      </c>
      <c r="E40" s="35">
        <v>17428.05</v>
      </c>
      <c r="F40" s="35">
        <v>408.46</v>
      </c>
      <c r="G40" s="35">
        <v>0</v>
      </c>
      <c r="H40" s="36">
        <v>1</v>
      </c>
      <c r="I40" s="36">
        <v>3</v>
      </c>
    </row>
    <row r="41" spans="1:9" x14ac:dyDescent="0.25">
      <c r="A41" s="30" t="s">
        <v>151</v>
      </c>
      <c r="B41" s="30" t="s">
        <v>143</v>
      </c>
      <c r="C41" s="34">
        <v>1</v>
      </c>
      <c r="D41" s="35">
        <v>31116.45</v>
      </c>
      <c r="E41" s="35">
        <v>30497.23</v>
      </c>
      <c r="F41" s="35">
        <v>619.22</v>
      </c>
      <c r="G41" s="35">
        <v>0</v>
      </c>
      <c r="H41" s="36">
        <v>2</v>
      </c>
      <c r="I41" s="36">
        <v>30</v>
      </c>
    </row>
    <row r="42" spans="1:9" x14ac:dyDescent="0.25">
      <c r="A42" s="30" t="s">
        <v>152</v>
      </c>
      <c r="B42" s="30" t="s">
        <v>136</v>
      </c>
      <c r="C42" s="34">
        <v>1</v>
      </c>
      <c r="D42" s="35">
        <v>69852.97</v>
      </c>
      <c r="E42" s="35">
        <v>68812.160000000003</v>
      </c>
      <c r="F42" s="35">
        <v>1040.81</v>
      </c>
      <c r="G42" s="35">
        <v>0</v>
      </c>
      <c r="H42" s="36">
        <v>2</v>
      </c>
      <c r="I42" s="36">
        <v>14</v>
      </c>
    </row>
    <row r="43" spans="1:9" x14ac:dyDescent="0.25">
      <c r="A43" s="30" t="s">
        <v>152</v>
      </c>
      <c r="B43" s="30" t="s">
        <v>141</v>
      </c>
      <c r="C43" s="34">
        <v>1</v>
      </c>
      <c r="D43" s="35">
        <v>29122.6</v>
      </c>
      <c r="E43" s="35">
        <v>29122.6</v>
      </c>
      <c r="F43" s="35">
        <v>0</v>
      </c>
      <c r="G43" s="35">
        <v>0</v>
      </c>
      <c r="H43" s="36">
        <v>0</v>
      </c>
      <c r="I43" s="36">
        <v>21</v>
      </c>
    </row>
    <row r="44" spans="1:9" x14ac:dyDescent="0.25">
      <c r="A44" s="30" t="s">
        <v>152</v>
      </c>
      <c r="B44" s="30" t="s">
        <v>142</v>
      </c>
      <c r="C44" s="34">
        <v>1</v>
      </c>
      <c r="D44" s="35">
        <v>14460.42</v>
      </c>
      <c r="E44" s="35">
        <v>14217.48</v>
      </c>
      <c r="F44" s="35">
        <v>331.14</v>
      </c>
      <c r="G44" s="35">
        <v>88.2</v>
      </c>
      <c r="H44" s="36">
        <v>1</v>
      </c>
      <c r="I44" s="36">
        <v>3</v>
      </c>
    </row>
    <row r="45" spans="1:9" x14ac:dyDescent="0.25">
      <c r="A45" s="30" t="s">
        <v>152</v>
      </c>
      <c r="B45" s="30" t="s">
        <v>143</v>
      </c>
      <c r="C45" s="34">
        <v>1</v>
      </c>
      <c r="D45" s="35">
        <v>34873.99</v>
      </c>
      <c r="E45" s="35">
        <v>34350.9</v>
      </c>
      <c r="F45" s="35">
        <v>693.99</v>
      </c>
      <c r="G45" s="35">
        <v>170.9</v>
      </c>
      <c r="H45" s="36">
        <v>2</v>
      </c>
      <c r="I45" s="36">
        <v>30</v>
      </c>
    </row>
    <row r="46" spans="1:9" x14ac:dyDescent="0.25">
      <c r="A46" s="30" t="s">
        <v>153</v>
      </c>
      <c r="B46" s="30" t="s">
        <v>136</v>
      </c>
      <c r="C46" s="34">
        <v>1</v>
      </c>
      <c r="D46" s="35">
        <v>93759.1</v>
      </c>
      <c r="E46" s="35">
        <v>92546.81</v>
      </c>
      <c r="F46" s="35">
        <v>1397.01</v>
      </c>
      <c r="G46" s="35">
        <v>184.72</v>
      </c>
      <c r="H46" s="36">
        <v>2</v>
      </c>
      <c r="I46" s="36">
        <v>14</v>
      </c>
    </row>
    <row r="47" spans="1:9" x14ac:dyDescent="0.25">
      <c r="A47" s="30" t="s">
        <v>153</v>
      </c>
      <c r="B47" s="30" t="s">
        <v>141</v>
      </c>
      <c r="C47" s="34">
        <v>1</v>
      </c>
      <c r="D47" s="35">
        <v>34024.21</v>
      </c>
      <c r="E47" s="35">
        <v>34092.26</v>
      </c>
      <c r="F47" s="35">
        <v>0</v>
      </c>
      <c r="G47" s="35">
        <v>68.05</v>
      </c>
      <c r="H47" s="36">
        <v>0</v>
      </c>
      <c r="I47" s="36">
        <v>21</v>
      </c>
    </row>
    <row r="48" spans="1:9" x14ac:dyDescent="0.25">
      <c r="A48" s="30" t="s">
        <v>153</v>
      </c>
      <c r="B48" s="30" t="s">
        <v>142</v>
      </c>
      <c r="C48" s="34">
        <v>1</v>
      </c>
      <c r="D48" s="35">
        <v>22275.200000000001</v>
      </c>
      <c r="E48" s="35">
        <v>21765.1</v>
      </c>
      <c r="F48" s="35">
        <v>510.1</v>
      </c>
      <c r="G48" s="35">
        <v>0</v>
      </c>
      <c r="H48" s="36">
        <v>1</v>
      </c>
      <c r="I48" s="36">
        <v>3</v>
      </c>
    </row>
    <row r="49" spans="1:9" x14ac:dyDescent="0.25">
      <c r="A49" s="30" t="s">
        <v>153</v>
      </c>
      <c r="B49" s="30" t="s">
        <v>143</v>
      </c>
      <c r="C49" s="34">
        <v>1</v>
      </c>
      <c r="D49" s="35">
        <v>53001.06</v>
      </c>
      <c r="E49" s="35">
        <v>51946.34</v>
      </c>
      <c r="F49" s="35">
        <v>1054.72</v>
      </c>
      <c r="G49" s="35">
        <v>0</v>
      </c>
      <c r="H49" s="36">
        <v>2</v>
      </c>
      <c r="I49" s="36">
        <v>30</v>
      </c>
    </row>
    <row r="50" spans="1:9" x14ac:dyDescent="0.25">
      <c r="A50" s="30" t="s">
        <v>154</v>
      </c>
      <c r="B50" s="30" t="s">
        <v>136</v>
      </c>
      <c r="C50" s="34">
        <v>1</v>
      </c>
      <c r="D50" s="35">
        <v>89618.43</v>
      </c>
      <c r="E50" s="35">
        <v>88283.12</v>
      </c>
      <c r="F50" s="35">
        <v>1335.31</v>
      </c>
      <c r="G50" s="35">
        <v>0</v>
      </c>
      <c r="H50" s="36">
        <v>2</v>
      </c>
      <c r="I50" s="36">
        <v>14</v>
      </c>
    </row>
    <row r="51" spans="1:9" x14ac:dyDescent="0.25">
      <c r="A51" s="30" t="s">
        <v>154</v>
      </c>
      <c r="B51" s="30" t="s">
        <v>141</v>
      </c>
      <c r="C51" s="34">
        <v>1</v>
      </c>
      <c r="D51" s="35">
        <v>33822.379999999997</v>
      </c>
      <c r="E51" s="35">
        <v>33720.910000000003</v>
      </c>
      <c r="F51" s="35">
        <v>0</v>
      </c>
      <c r="G51" s="35">
        <v>-101.47</v>
      </c>
      <c r="H51" s="36">
        <v>0</v>
      </c>
      <c r="I51" s="36">
        <v>21</v>
      </c>
    </row>
    <row r="52" spans="1:9" x14ac:dyDescent="0.25">
      <c r="A52" s="30" t="s">
        <v>154</v>
      </c>
      <c r="B52" s="30" t="s">
        <v>142</v>
      </c>
      <c r="C52" s="34">
        <v>1</v>
      </c>
      <c r="D52" s="35">
        <v>22854.18</v>
      </c>
      <c r="E52" s="35">
        <v>22442.47</v>
      </c>
      <c r="F52" s="35">
        <v>523.36</v>
      </c>
      <c r="G52" s="35">
        <v>111.65</v>
      </c>
      <c r="H52" s="36">
        <v>1</v>
      </c>
      <c r="I52" s="36">
        <v>3</v>
      </c>
    </row>
    <row r="53" spans="1:9" x14ac:dyDescent="0.25">
      <c r="A53" s="30" t="s">
        <v>154</v>
      </c>
      <c r="B53" s="30" t="s">
        <v>143</v>
      </c>
      <c r="C53" s="34">
        <v>1</v>
      </c>
      <c r="D53" s="35">
        <v>50579.8</v>
      </c>
      <c r="E53" s="35">
        <v>49573.26</v>
      </c>
      <c r="F53" s="35">
        <v>1006.54</v>
      </c>
      <c r="G53" s="35">
        <v>0</v>
      </c>
      <c r="H53" s="36">
        <v>2</v>
      </c>
      <c r="I53" s="36">
        <v>30</v>
      </c>
    </row>
    <row r="54" spans="1:9" x14ac:dyDescent="0.25">
      <c r="A54" s="30" t="s">
        <v>155</v>
      </c>
      <c r="B54" s="30" t="s">
        <v>136</v>
      </c>
      <c r="C54" s="34">
        <v>1</v>
      </c>
      <c r="D54" s="35">
        <v>80628.320000000007</v>
      </c>
      <c r="E54" s="35">
        <v>79426.960000000006</v>
      </c>
      <c r="F54" s="35">
        <v>1201.3599999999999</v>
      </c>
      <c r="G54" s="35">
        <v>0</v>
      </c>
      <c r="H54" s="36">
        <v>2</v>
      </c>
      <c r="I54" s="36">
        <v>14</v>
      </c>
    </row>
    <row r="55" spans="1:9" x14ac:dyDescent="0.25">
      <c r="A55" s="30" t="s">
        <v>155</v>
      </c>
      <c r="B55" s="30" t="s">
        <v>141</v>
      </c>
      <c r="C55" s="34">
        <v>1</v>
      </c>
      <c r="D55" s="35">
        <v>25328.3</v>
      </c>
      <c r="E55" s="35">
        <v>25328.3</v>
      </c>
      <c r="F55" s="35">
        <v>0</v>
      </c>
      <c r="G55" s="35">
        <v>0</v>
      </c>
      <c r="H55" s="36">
        <v>0</v>
      </c>
      <c r="I55" s="36">
        <v>21</v>
      </c>
    </row>
    <row r="56" spans="1:9" x14ac:dyDescent="0.25">
      <c r="A56" s="30" t="s">
        <v>155</v>
      </c>
      <c r="B56" s="30" t="s">
        <v>142</v>
      </c>
      <c r="C56" s="34">
        <v>1</v>
      </c>
      <c r="D56" s="35">
        <v>21895.759999999998</v>
      </c>
      <c r="E56" s="35">
        <v>21173.56</v>
      </c>
      <c r="F56" s="35">
        <v>501.41</v>
      </c>
      <c r="G56" s="35">
        <v>-220.79</v>
      </c>
      <c r="H56" s="36">
        <v>1</v>
      </c>
      <c r="I56" s="36">
        <v>3</v>
      </c>
    </row>
    <row r="57" spans="1:9" x14ac:dyDescent="0.25">
      <c r="A57" s="30" t="s">
        <v>155</v>
      </c>
      <c r="B57" s="30" t="s">
        <v>143</v>
      </c>
      <c r="C57" s="34">
        <v>1</v>
      </c>
      <c r="D57" s="35">
        <v>47888.07</v>
      </c>
      <c r="E57" s="35">
        <v>47169.78</v>
      </c>
      <c r="F57" s="35">
        <v>952.97</v>
      </c>
      <c r="G57" s="35">
        <v>234.68</v>
      </c>
      <c r="H57" s="36">
        <v>2</v>
      </c>
      <c r="I57" s="36">
        <v>30</v>
      </c>
    </row>
    <row r="58" spans="1:9" x14ac:dyDescent="0.25">
      <c r="A58" s="30" t="s">
        <v>156</v>
      </c>
      <c r="B58" s="30" t="s">
        <v>136</v>
      </c>
      <c r="C58" s="34">
        <v>1</v>
      </c>
      <c r="D58" s="35">
        <v>64751.519999999997</v>
      </c>
      <c r="E58" s="35">
        <v>63595.360000000001</v>
      </c>
      <c r="F58" s="35">
        <v>964.8</v>
      </c>
      <c r="G58" s="35">
        <v>-191.36</v>
      </c>
      <c r="H58" s="36">
        <v>2</v>
      </c>
      <c r="I58" s="36">
        <v>14</v>
      </c>
    </row>
    <row r="59" spans="1:9" x14ac:dyDescent="0.25">
      <c r="A59" s="30" t="s">
        <v>156</v>
      </c>
      <c r="B59" s="30" t="s">
        <v>141</v>
      </c>
      <c r="C59" s="34">
        <v>1</v>
      </c>
      <c r="D59" s="35">
        <v>25685.52</v>
      </c>
      <c r="E59" s="35">
        <v>25608.46</v>
      </c>
      <c r="F59" s="35">
        <v>0</v>
      </c>
      <c r="G59" s="35">
        <v>-77.06</v>
      </c>
      <c r="H59" s="36">
        <v>0</v>
      </c>
      <c r="I59" s="36">
        <v>21</v>
      </c>
    </row>
    <row r="60" spans="1:9" x14ac:dyDescent="0.25">
      <c r="A60" s="30" t="s">
        <v>156</v>
      </c>
      <c r="B60" s="30" t="s">
        <v>142</v>
      </c>
      <c r="C60" s="34">
        <v>1</v>
      </c>
      <c r="D60" s="35">
        <v>15861.8</v>
      </c>
      <c r="E60" s="35">
        <v>15498.56</v>
      </c>
      <c r="F60" s="35">
        <v>363.24</v>
      </c>
      <c r="G60" s="35">
        <v>0</v>
      </c>
      <c r="H60" s="36">
        <v>1</v>
      </c>
      <c r="I60" s="36">
        <v>3</v>
      </c>
    </row>
    <row r="61" spans="1:9" x14ac:dyDescent="0.25">
      <c r="A61" s="30" t="s">
        <v>156</v>
      </c>
      <c r="B61" s="30" t="s">
        <v>143</v>
      </c>
      <c r="C61" s="34">
        <v>1</v>
      </c>
      <c r="D61" s="35">
        <v>38834.519999999997</v>
      </c>
      <c r="E61" s="35">
        <v>38061.71</v>
      </c>
      <c r="F61" s="35">
        <v>772.81</v>
      </c>
      <c r="G61" s="35">
        <v>0</v>
      </c>
      <c r="H61" s="36">
        <v>2</v>
      </c>
      <c r="I61" s="36">
        <v>30</v>
      </c>
    </row>
    <row r="62" spans="1:9" x14ac:dyDescent="0.25">
      <c r="A62" s="30" t="s">
        <v>157</v>
      </c>
      <c r="B62" s="30" t="s">
        <v>136</v>
      </c>
      <c r="C62" s="34">
        <v>1</v>
      </c>
      <c r="D62" s="35">
        <v>75741.460000000006</v>
      </c>
      <c r="E62" s="35">
        <v>74762.14</v>
      </c>
      <c r="F62" s="35">
        <v>1128.55</v>
      </c>
      <c r="G62" s="35">
        <v>149.22999999999999</v>
      </c>
      <c r="H62" s="36">
        <v>2</v>
      </c>
      <c r="I62" s="36">
        <v>14</v>
      </c>
    </row>
    <row r="63" spans="1:9" x14ac:dyDescent="0.25">
      <c r="A63" s="30" t="s">
        <v>157</v>
      </c>
      <c r="B63" s="30" t="s">
        <v>141</v>
      </c>
      <c r="C63" s="34">
        <v>1</v>
      </c>
      <c r="D63" s="35">
        <v>27169.439999999999</v>
      </c>
      <c r="E63" s="35">
        <v>27169.439999999999</v>
      </c>
      <c r="F63" s="35">
        <v>0</v>
      </c>
      <c r="G63" s="35">
        <v>0</v>
      </c>
      <c r="H63" s="36">
        <v>0</v>
      </c>
      <c r="I63" s="36">
        <v>21</v>
      </c>
    </row>
    <row r="64" spans="1:9" x14ac:dyDescent="0.25">
      <c r="A64" s="30" t="s">
        <v>157</v>
      </c>
      <c r="B64" s="30" t="s">
        <v>142</v>
      </c>
      <c r="C64" s="34">
        <v>1</v>
      </c>
      <c r="D64" s="35">
        <v>24420.41</v>
      </c>
      <c r="E64" s="35">
        <v>24027.25</v>
      </c>
      <c r="F64" s="35">
        <v>559.23</v>
      </c>
      <c r="G64" s="35">
        <v>166.07</v>
      </c>
      <c r="H64" s="36">
        <v>1</v>
      </c>
      <c r="I64" s="36">
        <v>3</v>
      </c>
    </row>
    <row r="65" spans="1:9" x14ac:dyDescent="0.25">
      <c r="A65" s="30" t="s">
        <v>157</v>
      </c>
      <c r="B65" s="30" t="s">
        <v>143</v>
      </c>
      <c r="C65" s="34">
        <v>1</v>
      </c>
      <c r="D65" s="35">
        <v>43522.879999999997</v>
      </c>
      <c r="E65" s="35">
        <v>42656.77</v>
      </c>
      <c r="F65" s="35">
        <v>866.11</v>
      </c>
      <c r="G65" s="35">
        <v>0</v>
      </c>
      <c r="H65" s="36">
        <v>2</v>
      </c>
      <c r="I65" s="36">
        <v>30</v>
      </c>
    </row>
    <row r="66" spans="1:9" x14ac:dyDescent="0.25">
      <c r="A66" s="30" t="s">
        <v>158</v>
      </c>
      <c r="B66" s="30" t="s">
        <v>136</v>
      </c>
      <c r="C66" s="34">
        <v>1</v>
      </c>
      <c r="D66" s="35">
        <v>71635.7</v>
      </c>
      <c r="E66" s="35">
        <v>70356.63</v>
      </c>
      <c r="F66" s="35">
        <v>1067.3699999999999</v>
      </c>
      <c r="G66" s="35">
        <v>-211.7</v>
      </c>
      <c r="H66" s="36">
        <v>2</v>
      </c>
      <c r="I66" s="36">
        <v>14</v>
      </c>
    </row>
    <row r="67" spans="1:9" x14ac:dyDescent="0.25">
      <c r="A67" s="30" t="s">
        <v>158</v>
      </c>
      <c r="B67" s="30" t="s">
        <v>141</v>
      </c>
      <c r="C67" s="34">
        <v>1</v>
      </c>
      <c r="D67" s="35">
        <v>21733.99</v>
      </c>
      <c r="E67" s="35">
        <v>21777.46</v>
      </c>
      <c r="F67" s="35">
        <v>0</v>
      </c>
      <c r="G67" s="35">
        <v>43.47</v>
      </c>
      <c r="H67" s="36">
        <v>0</v>
      </c>
      <c r="I67" s="36">
        <v>21</v>
      </c>
    </row>
    <row r="68" spans="1:9" x14ac:dyDescent="0.25">
      <c r="A68" s="30" t="s">
        <v>158</v>
      </c>
      <c r="B68" s="30" t="s">
        <v>142</v>
      </c>
      <c r="C68" s="34">
        <v>1</v>
      </c>
      <c r="D68" s="35">
        <v>18559.03</v>
      </c>
      <c r="E68" s="35">
        <v>18134.03</v>
      </c>
      <c r="F68" s="35">
        <v>425</v>
      </c>
      <c r="G68" s="35">
        <v>0</v>
      </c>
      <c r="H68" s="36">
        <v>1</v>
      </c>
      <c r="I68" s="36">
        <v>3</v>
      </c>
    </row>
    <row r="69" spans="1:9" x14ac:dyDescent="0.25">
      <c r="A69" s="30" t="s">
        <v>158</v>
      </c>
      <c r="B69" s="30" t="s">
        <v>143</v>
      </c>
      <c r="C69" s="34">
        <v>1</v>
      </c>
      <c r="D69" s="35">
        <v>32985.730000000003</v>
      </c>
      <c r="E69" s="35">
        <v>32329.31</v>
      </c>
      <c r="F69" s="35">
        <v>656.42</v>
      </c>
      <c r="G69" s="35">
        <v>0</v>
      </c>
      <c r="H69" s="36">
        <v>2</v>
      </c>
      <c r="I69" s="36">
        <v>30</v>
      </c>
    </row>
    <row r="70" spans="1:9" x14ac:dyDescent="0.25">
      <c r="A70" s="30" t="s">
        <v>159</v>
      </c>
      <c r="B70" s="30" t="s">
        <v>136</v>
      </c>
      <c r="C70" s="34">
        <v>1</v>
      </c>
      <c r="D70" s="35">
        <v>90831.13</v>
      </c>
      <c r="E70" s="35">
        <v>89477.75</v>
      </c>
      <c r="F70" s="35">
        <v>1353.38</v>
      </c>
      <c r="G70" s="35">
        <v>0</v>
      </c>
      <c r="H70" s="36">
        <v>2</v>
      </c>
      <c r="I70" s="36">
        <v>14</v>
      </c>
    </row>
    <row r="71" spans="1:9" x14ac:dyDescent="0.25">
      <c r="A71" s="30" t="s">
        <v>159</v>
      </c>
      <c r="B71" s="30" t="s">
        <v>141</v>
      </c>
      <c r="C71" s="34">
        <v>1</v>
      </c>
      <c r="D71" s="35">
        <v>29433.89</v>
      </c>
      <c r="E71" s="35">
        <v>29433.89</v>
      </c>
      <c r="F71" s="35">
        <v>0</v>
      </c>
      <c r="G71" s="35">
        <v>0</v>
      </c>
      <c r="H71" s="36">
        <v>0</v>
      </c>
      <c r="I71" s="36">
        <v>21</v>
      </c>
    </row>
    <row r="72" spans="1:9" x14ac:dyDescent="0.25">
      <c r="A72" s="30" t="s">
        <v>159</v>
      </c>
      <c r="B72" s="30" t="s">
        <v>142</v>
      </c>
      <c r="C72" s="34">
        <v>1</v>
      </c>
      <c r="D72" s="35">
        <v>28414.11</v>
      </c>
      <c r="E72" s="35">
        <v>27763.43</v>
      </c>
      <c r="F72" s="35">
        <v>650.67999999999995</v>
      </c>
      <c r="G72" s="35">
        <v>0</v>
      </c>
      <c r="H72" s="36">
        <v>1</v>
      </c>
      <c r="I72" s="36">
        <v>3</v>
      </c>
    </row>
    <row r="73" spans="1:9" x14ac:dyDescent="0.25">
      <c r="A73" s="30" t="s">
        <v>159</v>
      </c>
      <c r="B73" s="30" t="s">
        <v>143</v>
      </c>
      <c r="C73" s="34">
        <v>1</v>
      </c>
      <c r="D73" s="35">
        <v>60332.61</v>
      </c>
      <c r="E73" s="35">
        <v>58521.78</v>
      </c>
      <c r="F73" s="35">
        <v>1200.6199999999999</v>
      </c>
      <c r="G73" s="35">
        <v>-610.21</v>
      </c>
      <c r="H73" s="36">
        <v>2</v>
      </c>
      <c r="I73" s="36">
        <v>30</v>
      </c>
    </row>
    <row r="74" spans="1:9" x14ac:dyDescent="0.25">
      <c r="A74" s="30" t="s">
        <v>160</v>
      </c>
      <c r="B74" s="30" t="s">
        <v>136</v>
      </c>
      <c r="C74" s="34">
        <v>1</v>
      </c>
      <c r="D74" s="35">
        <v>84560.62</v>
      </c>
      <c r="E74" s="35">
        <v>83300.67</v>
      </c>
      <c r="F74" s="35">
        <v>1259.95</v>
      </c>
      <c r="G74" s="35">
        <v>0</v>
      </c>
      <c r="H74" s="36">
        <v>2</v>
      </c>
      <c r="I74" s="36">
        <v>14</v>
      </c>
    </row>
    <row r="75" spans="1:9" x14ac:dyDescent="0.25">
      <c r="A75" s="30" t="s">
        <v>160</v>
      </c>
      <c r="B75" s="30" t="s">
        <v>141</v>
      </c>
      <c r="C75" s="34">
        <v>1</v>
      </c>
      <c r="D75" s="35">
        <v>30758.799999999999</v>
      </c>
      <c r="E75" s="35">
        <v>30758.799999999999</v>
      </c>
      <c r="F75" s="35">
        <v>0</v>
      </c>
      <c r="G75" s="35">
        <v>0</v>
      </c>
      <c r="H75" s="36">
        <v>0</v>
      </c>
      <c r="I75" s="36">
        <v>21</v>
      </c>
    </row>
    <row r="76" spans="1:9" x14ac:dyDescent="0.25">
      <c r="A76" s="30" t="s">
        <v>160</v>
      </c>
      <c r="B76" s="30" t="s">
        <v>142</v>
      </c>
      <c r="C76" s="34">
        <v>1</v>
      </c>
      <c r="D76" s="35">
        <v>25749.919999999998</v>
      </c>
      <c r="E76" s="35">
        <v>25210.57</v>
      </c>
      <c r="F76" s="35">
        <v>589.66999999999996</v>
      </c>
      <c r="G76" s="35">
        <v>50.32</v>
      </c>
      <c r="H76" s="36">
        <v>1</v>
      </c>
      <c r="I76" s="36">
        <v>3</v>
      </c>
    </row>
    <row r="77" spans="1:9" x14ac:dyDescent="0.25">
      <c r="A77" s="30" t="s">
        <v>160</v>
      </c>
      <c r="B77" s="30" t="s">
        <v>143</v>
      </c>
      <c r="C77" s="34">
        <v>1</v>
      </c>
      <c r="D77" s="35">
        <v>43523.53</v>
      </c>
      <c r="E77" s="35">
        <v>42657.41</v>
      </c>
      <c r="F77" s="35">
        <v>866.12</v>
      </c>
      <c r="G77" s="35">
        <v>0</v>
      </c>
      <c r="H77" s="36">
        <v>2</v>
      </c>
      <c r="I77" s="36">
        <v>30</v>
      </c>
    </row>
    <row r="78" spans="1:9" x14ac:dyDescent="0.25">
      <c r="A78" s="30" t="s">
        <v>161</v>
      </c>
      <c r="B78" s="30" t="s">
        <v>136</v>
      </c>
      <c r="C78" s="34">
        <v>1</v>
      </c>
      <c r="D78" s="35">
        <v>65380.24</v>
      </c>
      <c r="E78" s="35">
        <v>64406.07</v>
      </c>
      <c r="F78" s="35">
        <v>974.17</v>
      </c>
      <c r="G78" s="35">
        <v>0</v>
      </c>
      <c r="H78" s="36">
        <v>2</v>
      </c>
      <c r="I78" s="36">
        <v>14</v>
      </c>
    </row>
    <row r="79" spans="1:9" x14ac:dyDescent="0.25">
      <c r="A79" s="30" t="s">
        <v>161</v>
      </c>
      <c r="B79" s="30" t="s">
        <v>141</v>
      </c>
      <c r="C79" s="34">
        <v>1</v>
      </c>
      <c r="D79" s="35">
        <v>25196.04</v>
      </c>
      <c r="E79" s="35">
        <v>25196.04</v>
      </c>
      <c r="F79" s="35">
        <v>0</v>
      </c>
      <c r="G79" s="35">
        <v>0</v>
      </c>
      <c r="H79" s="36">
        <v>0</v>
      </c>
      <c r="I79" s="36">
        <v>21</v>
      </c>
    </row>
    <row r="80" spans="1:9" x14ac:dyDescent="0.25">
      <c r="A80" s="30" t="s">
        <v>161</v>
      </c>
      <c r="B80" s="30" t="s">
        <v>142</v>
      </c>
      <c r="C80" s="34">
        <v>1</v>
      </c>
      <c r="D80" s="35">
        <v>19827.54</v>
      </c>
      <c r="E80" s="35">
        <v>19315.37</v>
      </c>
      <c r="F80" s="35">
        <v>454.05</v>
      </c>
      <c r="G80" s="35">
        <v>-58.12</v>
      </c>
      <c r="H80" s="36">
        <v>1</v>
      </c>
      <c r="I80" s="36">
        <v>3</v>
      </c>
    </row>
    <row r="81" spans="1:9" x14ac:dyDescent="0.25">
      <c r="A81" s="30" t="s">
        <v>161</v>
      </c>
      <c r="B81" s="30" t="s">
        <v>143</v>
      </c>
      <c r="C81" s="34">
        <v>1</v>
      </c>
      <c r="D81" s="35">
        <v>43307.93</v>
      </c>
      <c r="E81" s="35">
        <v>42530.99</v>
      </c>
      <c r="F81" s="35">
        <v>861.83</v>
      </c>
      <c r="G81" s="35">
        <v>84.89</v>
      </c>
      <c r="H81" s="36">
        <v>2</v>
      </c>
      <c r="I81" s="36">
        <v>30</v>
      </c>
    </row>
    <row r="82" spans="1:9" x14ac:dyDescent="0.25">
      <c r="A82" s="30" t="s">
        <v>162</v>
      </c>
      <c r="B82" s="30" t="s">
        <v>136</v>
      </c>
      <c r="C82" s="34">
        <v>1</v>
      </c>
      <c r="D82" s="35">
        <v>56661.45</v>
      </c>
      <c r="E82" s="35">
        <v>56096.28</v>
      </c>
      <c r="F82" s="35">
        <v>844.26</v>
      </c>
      <c r="G82" s="35">
        <v>279.08999999999997</v>
      </c>
      <c r="H82" s="36">
        <v>2</v>
      </c>
      <c r="I82" s="36">
        <v>14</v>
      </c>
    </row>
    <row r="83" spans="1:9" x14ac:dyDescent="0.25">
      <c r="A83" s="30" t="s">
        <v>162</v>
      </c>
      <c r="B83" s="30" t="s">
        <v>141</v>
      </c>
      <c r="C83" s="34">
        <v>1</v>
      </c>
      <c r="D83" s="35">
        <v>32799.01</v>
      </c>
      <c r="E83" s="35">
        <v>32799.01</v>
      </c>
      <c r="F83" s="35">
        <v>0</v>
      </c>
      <c r="G83" s="35">
        <v>0</v>
      </c>
      <c r="H83" s="36">
        <v>0</v>
      </c>
      <c r="I83" s="36">
        <v>21</v>
      </c>
    </row>
    <row r="84" spans="1:9" x14ac:dyDescent="0.25">
      <c r="A84" s="30" t="s">
        <v>162</v>
      </c>
      <c r="B84" s="30" t="s">
        <v>142</v>
      </c>
      <c r="C84" s="34">
        <v>1</v>
      </c>
      <c r="D84" s="35">
        <v>25710.71</v>
      </c>
      <c r="E84" s="35">
        <v>25247.54</v>
      </c>
      <c r="F84" s="35">
        <v>588.78</v>
      </c>
      <c r="G84" s="35">
        <v>125.61</v>
      </c>
      <c r="H84" s="36">
        <v>1</v>
      </c>
      <c r="I84" s="36">
        <v>3</v>
      </c>
    </row>
    <row r="85" spans="1:9" x14ac:dyDescent="0.25">
      <c r="A85" s="30" t="s">
        <v>162</v>
      </c>
      <c r="B85" s="30" t="s">
        <v>143</v>
      </c>
      <c r="C85" s="34">
        <v>1</v>
      </c>
      <c r="D85" s="35">
        <v>35962.480000000003</v>
      </c>
      <c r="E85" s="35">
        <v>35246.83</v>
      </c>
      <c r="F85" s="35">
        <v>715.65</v>
      </c>
      <c r="G85" s="35">
        <v>0</v>
      </c>
      <c r="H85" s="36">
        <v>2</v>
      </c>
      <c r="I85" s="36">
        <v>30</v>
      </c>
    </row>
    <row r="86" spans="1:9" x14ac:dyDescent="0.25">
      <c r="A86" s="30" t="s">
        <v>163</v>
      </c>
      <c r="B86" s="30" t="s">
        <v>136</v>
      </c>
      <c r="C86" s="34">
        <v>1</v>
      </c>
      <c r="D86" s="35">
        <v>71681.34</v>
      </c>
      <c r="E86" s="35">
        <v>70613.289999999994</v>
      </c>
      <c r="F86" s="35">
        <v>1068.05</v>
      </c>
      <c r="G86" s="35">
        <v>0</v>
      </c>
      <c r="H86" s="36">
        <v>2</v>
      </c>
      <c r="I86" s="36">
        <v>14</v>
      </c>
    </row>
    <row r="87" spans="1:9" x14ac:dyDescent="0.25">
      <c r="A87" s="30" t="s">
        <v>163</v>
      </c>
      <c r="B87" s="30" t="s">
        <v>141</v>
      </c>
      <c r="C87" s="34">
        <v>1</v>
      </c>
      <c r="D87" s="35">
        <v>26737.21</v>
      </c>
      <c r="E87" s="35">
        <v>26737.21</v>
      </c>
      <c r="F87" s="35">
        <v>0</v>
      </c>
      <c r="G87" s="35">
        <v>0</v>
      </c>
      <c r="H87" s="36">
        <v>0</v>
      </c>
      <c r="I87" s="36">
        <v>21</v>
      </c>
    </row>
    <row r="88" spans="1:9" x14ac:dyDescent="0.25">
      <c r="A88" s="30" t="s">
        <v>163</v>
      </c>
      <c r="B88" s="30" t="s">
        <v>142</v>
      </c>
      <c r="C88" s="34">
        <v>1</v>
      </c>
      <c r="D88" s="35">
        <v>17011.849999999999</v>
      </c>
      <c r="E88" s="35">
        <v>16671.48</v>
      </c>
      <c r="F88" s="35">
        <v>389.57</v>
      </c>
      <c r="G88" s="35">
        <v>49.2</v>
      </c>
      <c r="H88" s="36">
        <v>1</v>
      </c>
      <c r="I88" s="36">
        <v>3</v>
      </c>
    </row>
    <row r="89" spans="1:9" x14ac:dyDescent="0.25">
      <c r="A89" s="30" t="s">
        <v>163</v>
      </c>
      <c r="B89" s="30" t="s">
        <v>143</v>
      </c>
      <c r="C89" s="34">
        <v>1</v>
      </c>
      <c r="D89" s="35">
        <v>40891.79</v>
      </c>
      <c r="E89" s="35">
        <v>40078.04</v>
      </c>
      <c r="F89" s="35">
        <v>813.75</v>
      </c>
      <c r="G89" s="35">
        <v>0</v>
      </c>
      <c r="H89" s="36">
        <v>2</v>
      </c>
      <c r="I89" s="36">
        <v>30</v>
      </c>
    </row>
    <row r="90" spans="1:9" x14ac:dyDescent="0.25">
      <c r="A90" s="30" t="s">
        <v>164</v>
      </c>
      <c r="B90" s="30" t="s">
        <v>136</v>
      </c>
      <c r="C90" s="34">
        <v>1</v>
      </c>
      <c r="D90" s="35">
        <v>71645.440000000002</v>
      </c>
      <c r="E90" s="35">
        <v>70577.919999999998</v>
      </c>
      <c r="F90" s="35">
        <v>1067.52</v>
      </c>
      <c r="G90" s="35">
        <v>0</v>
      </c>
      <c r="H90" s="36">
        <v>2</v>
      </c>
      <c r="I90" s="36">
        <v>14</v>
      </c>
    </row>
    <row r="91" spans="1:9" x14ac:dyDescent="0.25">
      <c r="A91" s="30" t="s">
        <v>164</v>
      </c>
      <c r="B91" s="30" t="s">
        <v>141</v>
      </c>
      <c r="C91" s="34">
        <v>1</v>
      </c>
      <c r="D91" s="35">
        <v>29996.65</v>
      </c>
      <c r="E91" s="35">
        <v>30056.639999999999</v>
      </c>
      <c r="F91" s="35">
        <v>0</v>
      </c>
      <c r="G91" s="35">
        <v>59.99</v>
      </c>
      <c r="H91" s="36">
        <v>0</v>
      </c>
      <c r="I91" s="36">
        <v>21</v>
      </c>
    </row>
    <row r="92" spans="1:9" x14ac:dyDescent="0.25">
      <c r="A92" s="30" t="s">
        <v>164</v>
      </c>
      <c r="B92" s="30" t="s">
        <v>142</v>
      </c>
      <c r="C92" s="34">
        <v>1</v>
      </c>
      <c r="D92" s="35">
        <v>21812.51</v>
      </c>
      <c r="E92" s="35">
        <v>21313</v>
      </c>
      <c r="F92" s="35">
        <v>499.51</v>
      </c>
      <c r="G92" s="35">
        <v>0</v>
      </c>
      <c r="H92" s="36">
        <v>1</v>
      </c>
      <c r="I92" s="36">
        <v>3</v>
      </c>
    </row>
    <row r="93" spans="1:9" x14ac:dyDescent="0.25">
      <c r="A93" s="30" t="s">
        <v>164</v>
      </c>
      <c r="B93" s="30" t="s">
        <v>143</v>
      </c>
      <c r="C93" s="34">
        <v>1</v>
      </c>
      <c r="D93" s="35">
        <v>44867.11</v>
      </c>
      <c r="E93" s="35">
        <v>43974.25</v>
      </c>
      <c r="F93" s="35">
        <v>892.86</v>
      </c>
      <c r="G93" s="35">
        <v>0</v>
      </c>
      <c r="H93" s="36">
        <v>2</v>
      </c>
      <c r="I93" s="36">
        <v>30</v>
      </c>
    </row>
    <row r="94" spans="1:9" x14ac:dyDescent="0.25">
      <c r="A94" s="30" t="s">
        <v>165</v>
      </c>
      <c r="B94" s="30" t="s">
        <v>136</v>
      </c>
      <c r="C94" s="34">
        <v>1</v>
      </c>
      <c r="D94" s="35">
        <v>107964.65</v>
      </c>
      <c r="E94" s="35">
        <v>106355.98</v>
      </c>
      <c r="F94" s="35">
        <v>1608.67</v>
      </c>
      <c r="G94" s="35">
        <v>0</v>
      </c>
      <c r="H94" s="36">
        <v>2</v>
      </c>
      <c r="I94" s="36">
        <v>14</v>
      </c>
    </row>
    <row r="95" spans="1:9" x14ac:dyDescent="0.25">
      <c r="A95" s="30" t="s">
        <v>165</v>
      </c>
      <c r="B95" s="30" t="s">
        <v>141</v>
      </c>
      <c r="C95" s="34">
        <v>1</v>
      </c>
      <c r="D95" s="35">
        <v>39420.370000000003</v>
      </c>
      <c r="E95" s="35">
        <v>39853.410000000003</v>
      </c>
      <c r="F95" s="35">
        <v>0</v>
      </c>
      <c r="G95" s="35">
        <v>433.04</v>
      </c>
      <c r="H95" s="36">
        <v>0</v>
      </c>
      <c r="I95" s="36">
        <v>21</v>
      </c>
    </row>
    <row r="96" spans="1:9" x14ac:dyDescent="0.25">
      <c r="A96" s="30" t="s">
        <v>165</v>
      </c>
      <c r="B96" s="30" t="s">
        <v>142</v>
      </c>
      <c r="C96" s="34">
        <v>1</v>
      </c>
      <c r="D96" s="35">
        <v>36103.68</v>
      </c>
      <c r="E96" s="35">
        <v>35276.910000000003</v>
      </c>
      <c r="F96" s="35">
        <v>826.77</v>
      </c>
      <c r="G96" s="35">
        <v>0</v>
      </c>
      <c r="H96" s="36">
        <v>1</v>
      </c>
      <c r="I96" s="36">
        <v>3</v>
      </c>
    </row>
    <row r="97" spans="1:9" x14ac:dyDescent="0.25">
      <c r="A97" s="30" t="s">
        <v>165</v>
      </c>
      <c r="B97" s="30" t="s">
        <v>143</v>
      </c>
      <c r="C97" s="34">
        <v>1</v>
      </c>
      <c r="D97" s="35">
        <v>64835.54</v>
      </c>
      <c r="E97" s="35">
        <v>63545.31</v>
      </c>
      <c r="F97" s="35">
        <v>1290.23</v>
      </c>
      <c r="G97" s="35">
        <v>0</v>
      </c>
      <c r="H97" s="36">
        <v>2</v>
      </c>
      <c r="I97" s="36">
        <v>30</v>
      </c>
    </row>
    <row r="98" spans="1:9" x14ac:dyDescent="0.25">
      <c r="A98" s="30" t="s">
        <v>166</v>
      </c>
      <c r="B98" s="30" t="s">
        <v>136</v>
      </c>
      <c r="C98" s="34">
        <v>1</v>
      </c>
      <c r="D98" s="35">
        <v>98943.74</v>
      </c>
      <c r="E98" s="35">
        <v>97956.83</v>
      </c>
      <c r="F98" s="35">
        <v>1474.26</v>
      </c>
      <c r="G98" s="35">
        <v>487.35</v>
      </c>
      <c r="H98" s="36">
        <v>2</v>
      </c>
      <c r="I98" s="36">
        <v>14</v>
      </c>
    </row>
    <row r="99" spans="1:9" x14ac:dyDescent="0.25">
      <c r="A99" s="30" t="s">
        <v>166</v>
      </c>
      <c r="B99" s="30" t="s">
        <v>141</v>
      </c>
      <c r="C99" s="34">
        <v>1</v>
      </c>
      <c r="D99" s="35">
        <v>38860.230000000003</v>
      </c>
      <c r="E99" s="35">
        <v>38937.949999999997</v>
      </c>
      <c r="F99" s="35">
        <v>0</v>
      </c>
      <c r="G99" s="35">
        <v>77.72</v>
      </c>
      <c r="H99" s="36">
        <v>0</v>
      </c>
      <c r="I99" s="36">
        <v>21</v>
      </c>
    </row>
    <row r="100" spans="1:9" x14ac:dyDescent="0.25">
      <c r="A100" s="30" t="s">
        <v>166</v>
      </c>
      <c r="B100" s="30" t="s">
        <v>142</v>
      </c>
      <c r="C100" s="34">
        <v>1</v>
      </c>
      <c r="D100" s="35">
        <v>24172.84</v>
      </c>
      <c r="E100" s="35">
        <v>23619.279999999999</v>
      </c>
      <c r="F100" s="35">
        <v>553.55999999999995</v>
      </c>
      <c r="G100" s="35">
        <v>0</v>
      </c>
      <c r="H100" s="36">
        <v>1</v>
      </c>
      <c r="I100" s="36">
        <v>3</v>
      </c>
    </row>
    <row r="101" spans="1:9" x14ac:dyDescent="0.25">
      <c r="A101" s="30" t="s">
        <v>166</v>
      </c>
      <c r="B101" s="30" t="s">
        <v>143</v>
      </c>
      <c r="C101" s="34">
        <v>1</v>
      </c>
      <c r="D101" s="35">
        <v>53544.75</v>
      </c>
      <c r="E101" s="35">
        <v>51783.47</v>
      </c>
      <c r="F101" s="35">
        <v>1065.54</v>
      </c>
      <c r="G101" s="35">
        <v>-695.74</v>
      </c>
      <c r="H101" s="36">
        <v>2</v>
      </c>
      <c r="I101" s="36">
        <v>30</v>
      </c>
    </row>
    <row r="104" spans="1:9" ht="19.5" customHeight="1" x14ac:dyDescent="0.25">
      <c r="A104" s="6" t="s">
        <v>207</v>
      </c>
      <c r="B104" s="6"/>
      <c r="C104" s="6"/>
      <c r="D104" s="6"/>
      <c r="E104" s="6"/>
      <c r="F104" s="6"/>
      <c r="G104" s="6"/>
      <c r="H104" s="6"/>
    </row>
    <row r="105" spans="1:9" x14ac:dyDescent="0.25">
      <c r="A105" s="33" t="s">
        <v>123</v>
      </c>
      <c r="B105" s="33" t="s">
        <v>124</v>
      </c>
      <c r="C105" s="33" t="s">
        <v>208</v>
      </c>
      <c r="D105" s="33" t="s">
        <v>209</v>
      </c>
    </row>
    <row r="106" spans="1:9" x14ac:dyDescent="0.25">
      <c r="A106" s="30" t="s">
        <v>135</v>
      </c>
      <c r="B106" s="30" t="s">
        <v>136</v>
      </c>
      <c r="C106" s="35">
        <v>13459.69</v>
      </c>
      <c r="D106" s="35">
        <v>50427.42</v>
      </c>
    </row>
    <row r="107" spans="1:9" x14ac:dyDescent="0.25">
      <c r="A107" s="30" t="s">
        <v>135</v>
      </c>
      <c r="B107" s="30" t="s">
        <v>141</v>
      </c>
      <c r="C107" s="35">
        <v>11086.46</v>
      </c>
      <c r="D107" s="35">
        <v>21158.99</v>
      </c>
    </row>
    <row r="108" spans="1:9" x14ac:dyDescent="0.25">
      <c r="A108" s="30" t="s">
        <v>135</v>
      </c>
      <c r="B108" s="30" t="s">
        <v>142</v>
      </c>
      <c r="C108" s="35">
        <v>4673.91</v>
      </c>
      <c r="D108" s="35">
        <v>10609.11</v>
      </c>
    </row>
    <row r="109" spans="1:9" x14ac:dyDescent="0.25">
      <c r="A109" s="30" t="s">
        <v>135</v>
      </c>
      <c r="B109" s="30" t="s">
        <v>143</v>
      </c>
      <c r="C109" s="35">
        <v>14283.4</v>
      </c>
      <c r="D109" s="35">
        <v>24323.17</v>
      </c>
    </row>
    <row r="110" spans="1:9" x14ac:dyDescent="0.25">
      <c r="A110" s="30" t="s">
        <v>144</v>
      </c>
      <c r="B110" s="30" t="s">
        <v>136</v>
      </c>
      <c r="C110" s="35">
        <v>14781.29</v>
      </c>
      <c r="D110" s="35">
        <v>45091.93</v>
      </c>
    </row>
    <row r="111" spans="1:9" x14ac:dyDescent="0.25">
      <c r="A111" s="30" t="s">
        <v>144</v>
      </c>
      <c r="B111" s="30" t="s">
        <v>141</v>
      </c>
      <c r="C111" s="35">
        <v>3254.25</v>
      </c>
      <c r="D111" s="35">
        <v>14558.91</v>
      </c>
    </row>
    <row r="112" spans="1:9" x14ac:dyDescent="0.25">
      <c r="A112" s="30" t="s">
        <v>144</v>
      </c>
      <c r="B112" s="30" t="s">
        <v>142</v>
      </c>
      <c r="C112" s="35">
        <v>5465.85</v>
      </c>
      <c r="D112" s="35">
        <v>11120.6</v>
      </c>
    </row>
    <row r="113" spans="1:4" x14ac:dyDescent="0.25">
      <c r="A113" s="30" t="s">
        <v>144</v>
      </c>
      <c r="B113" s="30" t="s">
        <v>143</v>
      </c>
      <c r="C113" s="35">
        <v>10966.61</v>
      </c>
      <c r="D113" s="35">
        <v>19472.060000000001</v>
      </c>
    </row>
    <row r="114" spans="1:4" x14ac:dyDescent="0.25">
      <c r="A114" s="30" t="s">
        <v>145</v>
      </c>
      <c r="B114" s="30" t="s">
        <v>136</v>
      </c>
      <c r="C114" s="35">
        <v>18029.009999999998</v>
      </c>
      <c r="D114" s="35">
        <v>47353.52</v>
      </c>
    </row>
    <row r="115" spans="1:4" x14ac:dyDescent="0.25">
      <c r="A115" s="30" t="s">
        <v>145</v>
      </c>
      <c r="B115" s="30" t="s">
        <v>141</v>
      </c>
      <c r="C115" s="35">
        <v>6158.79</v>
      </c>
      <c r="D115" s="35">
        <v>16507.61</v>
      </c>
    </row>
    <row r="116" spans="1:4" x14ac:dyDescent="0.25">
      <c r="A116" s="30" t="s">
        <v>145</v>
      </c>
      <c r="B116" s="30" t="s">
        <v>142</v>
      </c>
      <c r="C116" s="35">
        <v>6647.19</v>
      </c>
      <c r="D116" s="35">
        <v>15480.68</v>
      </c>
    </row>
    <row r="117" spans="1:4" x14ac:dyDescent="0.25">
      <c r="A117" s="30" t="s">
        <v>145</v>
      </c>
      <c r="B117" s="30" t="s">
        <v>143</v>
      </c>
      <c r="C117" s="35">
        <v>14649.28</v>
      </c>
      <c r="D117" s="35">
        <v>27275.72</v>
      </c>
    </row>
    <row r="118" spans="1:4" x14ac:dyDescent="0.25">
      <c r="A118" s="30" t="s">
        <v>146</v>
      </c>
      <c r="B118" s="30" t="s">
        <v>136</v>
      </c>
      <c r="C118" s="35">
        <v>21643.11</v>
      </c>
      <c r="D118" s="35">
        <v>38397.21</v>
      </c>
    </row>
    <row r="119" spans="1:4" x14ac:dyDescent="0.25">
      <c r="A119" s="30" t="s">
        <v>146</v>
      </c>
      <c r="B119" s="30" t="s">
        <v>141</v>
      </c>
      <c r="C119" s="35">
        <v>7732.28</v>
      </c>
      <c r="D119" s="35">
        <v>14271.2</v>
      </c>
    </row>
    <row r="120" spans="1:4" x14ac:dyDescent="0.25">
      <c r="A120" s="30" t="s">
        <v>146</v>
      </c>
      <c r="B120" s="30" t="s">
        <v>142</v>
      </c>
      <c r="C120" s="35">
        <v>5482.21</v>
      </c>
      <c r="D120" s="35">
        <v>17818.75</v>
      </c>
    </row>
    <row r="121" spans="1:4" x14ac:dyDescent="0.25">
      <c r="A121" s="30" t="s">
        <v>146</v>
      </c>
      <c r="B121" s="30" t="s">
        <v>143</v>
      </c>
      <c r="C121" s="35">
        <v>9379.93</v>
      </c>
      <c r="D121" s="35">
        <v>25091.47</v>
      </c>
    </row>
    <row r="122" spans="1:4" x14ac:dyDescent="0.25">
      <c r="A122" s="30" t="s">
        <v>147</v>
      </c>
      <c r="B122" s="30" t="s">
        <v>136</v>
      </c>
      <c r="C122" s="35">
        <v>22866.39</v>
      </c>
      <c r="D122" s="35">
        <v>72095.960000000006</v>
      </c>
    </row>
    <row r="123" spans="1:4" x14ac:dyDescent="0.25">
      <c r="A123" s="30" t="s">
        <v>147</v>
      </c>
      <c r="B123" s="30" t="s">
        <v>141</v>
      </c>
      <c r="C123" s="35">
        <v>10635.44</v>
      </c>
      <c r="D123" s="35">
        <v>21384.87</v>
      </c>
    </row>
    <row r="124" spans="1:4" x14ac:dyDescent="0.25">
      <c r="A124" s="30" t="s">
        <v>147</v>
      </c>
      <c r="B124" s="30" t="s">
        <v>142</v>
      </c>
      <c r="C124" s="35">
        <v>7271.41</v>
      </c>
      <c r="D124" s="35">
        <v>16613.830000000002</v>
      </c>
    </row>
    <row r="125" spans="1:4" x14ac:dyDescent="0.25">
      <c r="A125" s="30" t="s">
        <v>147</v>
      </c>
      <c r="B125" s="30" t="s">
        <v>143</v>
      </c>
      <c r="C125" s="35">
        <v>11693.41</v>
      </c>
      <c r="D125" s="35">
        <v>32433.94</v>
      </c>
    </row>
    <row r="126" spans="1:4" x14ac:dyDescent="0.25">
      <c r="A126" s="30" t="s">
        <v>148</v>
      </c>
      <c r="B126" s="30" t="s">
        <v>136</v>
      </c>
      <c r="C126" s="35">
        <v>24235.1</v>
      </c>
      <c r="D126" s="35">
        <v>56814.51</v>
      </c>
    </row>
    <row r="127" spans="1:4" x14ac:dyDescent="0.25">
      <c r="A127" s="30" t="s">
        <v>148</v>
      </c>
      <c r="B127" s="30" t="s">
        <v>141</v>
      </c>
      <c r="C127" s="35">
        <v>8881.94</v>
      </c>
      <c r="D127" s="35">
        <v>19670.169999999998</v>
      </c>
    </row>
    <row r="128" spans="1:4" x14ac:dyDescent="0.25">
      <c r="A128" s="30" t="s">
        <v>148</v>
      </c>
      <c r="B128" s="30" t="s">
        <v>142</v>
      </c>
      <c r="C128" s="35">
        <v>7939.32</v>
      </c>
      <c r="D128" s="35">
        <v>16598.7</v>
      </c>
    </row>
    <row r="129" spans="1:4" x14ac:dyDescent="0.25">
      <c r="A129" s="30" t="s">
        <v>148</v>
      </c>
      <c r="B129" s="30" t="s">
        <v>143</v>
      </c>
      <c r="C129" s="35">
        <v>14210.67</v>
      </c>
      <c r="D129" s="35">
        <v>21371.89</v>
      </c>
    </row>
    <row r="130" spans="1:4" x14ac:dyDescent="0.25">
      <c r="A130" s="30" t="s">
        <v>149</v>
      </c>
      <c r="B130" s="30" t="s">
        <v>136</v>
      </c>
      <c r="C130" s="35">
        <v>15721.21</v>
      </c>
      <c r="D130" s="35">
        <v>47495.09</v>
      </c>
    </row>
    <row r="131" spans="1:4" x14ac:dyDescent="0.25">
      <c r="A131" s="30" t="s">
        <v>149</v>
      </c>
      <c r="B131" s="30" t="s">
        <v>141</v>
      </c>
      <c r="C131" s="35">
        <v>8351.23</v>
      </c>
      <c r="D131" s="35">
        <v>13765.31</v>
      </c>
    </row>
    <row r="132" spans="1:4" x14ac:dyDescent="0.25">
      <c r="A132" s="30" t="s">
        <v>149</v>
      </c>
      <c r="B132" s="30" t="s">
        <v>142</v>
      </c>
      <c r="C132" s="35">
        <v>4779.6000000000004</v>
      </c>
      <c r="D132" s="35">
        <v>11494.06</v>
      </c>
    </row>
    <row r="133" spans="1:4" x14ac:dyDescent="0.25">
      <c r="A133" s="30" t="s">
        <v>149</v>
      </c>
      <c r="B133" s="30" t="s">
        <v>143</v>
      </c>
      <c r="C133" s="35">
        <v>10800.34</v>
      </c>
      <c r="D133" s="35">
        <v>16801.89</v>
      </c>
    </row>
    <row r="134" spans="1:4" x14ac:dyDescent="0.25">
      <c r="A134" s="30" t="s">
        <v>150</v>
      </c>
      <c r="B134" s="30" t="s">
        <v>136</v>
      </c>
      <c r="C134" s="35">
        <v>17100.77</v>
      </c>
      <c r="D134" s="35">
        <v>42565.56</v>
      </c>
    </row>
    <row r="135" spans="1:4" x14ac:dyDescent="0.25">
      <c r="A135" s="30" t="s">
        <v>150</v>
      </c>
      <c r="B135" s="30" t="s">
        <v>141</v>
      </c>
      <c r="C135" s="35">
        <v>7657.25</v>
      </c>
      <c r="D135" s="35">
        <v>18604.79</v>
      </c>
    </row>
    <row r="136" spans="1:4" x14ac:dyDescent="0.25">
      <c r="A136" s="30" t="s">
        <v>150</v>
      </c>
      <c r="B136" s="30" t="s">
        <v>142</v>
      </c>
      <c r="C136" s="35">
        <v>5767.23</v>
      </c>
      <c r="D136" s="35">
        <v>11444.12</v>
      </c>
    </row>
    <row r="137" spans="1:4" x14ac:dyDescent="0.25">
      <c r="A137" s="30" t="s">
        <v>150</v>
      </c>
      <c r="B137" s="30" t="s">
        <v>143</v>
      </c>
      <c r="C137" s="35">
        <v>5438.65</v>
      </c>
      <c r="D137" s="35">
        <v>20366.34</v>
      </c>
    </row>
    <row r="138" spans="1:4" x14ac:dyDescent="0.25">
      <c r="A138" s="30" t="s">
        <v>151</v>
      </c>
      <c r="B138" s="30" t="s">
        <v>136</v>
      </c>
      <c r="C138" s="35">
        <v>18817.63</v>
      </c>
      <c r="D138" s="35">
        <v>47327.95</v>
      </c>
    </row>
    <row r="139" spans="1:4" x14ac:dyDescent="0.25">
      <c r="A139" s="30" t="s">
        <v>151</v>
      </c>
      <c r="B139" s="30" t="s">
        <v>141</v>
      </c>
      <c r="C139" s="35">
        <v>7076.41</v>
      </c>
      <c r="D139" s="35">
        <v>12776</v>
      </c>
    </row>
    <row r="140" spans="1:4" x14ac:dyDescent="0.25">
      <c r="A140" s="30" t="s">
        <v>151</v>
      </c>
      <c r="B140" s="30" t="s">
        <v>142</v>
      </c>
      <c r="C140" s="35">
        <v>6050.24</v>
      </c>
      <c r="D140" s="35">
        <v>11786.27</v>
      </c>
    </row>
    <row r="141" spans="1:4" x14ac:dyDescent="0.25">
      <c r="A141" s="30" t="s">
        <v>151</v>
      </c>
      <c r="B141" s="30" t="s">
        <v>143</v>
      </c>
      <c r="C141" s="35">
        <v>10358.44</v>
      </c>
      <c r="D141" s="35">
        <v>20758.009999999998</v>
      </c>
    </row>
    <row r="142" spans="1:4" x14ac:dyDescent="0.25">
      <c r="A142" s="30" t="s">
        <v>152</v>
      </c>
      <c r="B142" s="30" t="s">
        <v>136</v>
      </c>
      <c r="C142" s="35">
        <v>19551.84</v>
      </c>
      <c r="D142" s="35">
        <v>50301.13</v>
      </c>
    </row>
    <row r="143" spans="1:4" x14ac:dyDescent="0.25">
      <c r="A143" s="30" t="s">
        <v>152</v>
      </c>
      <c r="B143" s="30" t="s">
        <v>141</v>
      </c>
      <c r="C143" s="35">
        <v>6789.71</v>
      </c>
      <c r="D143" s="35">
        <v>22332.89</v>
      </c>
    </row>
    <row r="144" spans="1:4" x14ac:dyDescent="0.25">
      <c r="A144" s="30" t="s">
        <v>152</v>
      </c>
      <c r="B144" s="30" t="s">
        <v>142</v>
      </c>
      <c r="C144" s="35">
        <v>4414</v>
      </c>
      <c r="D144" s="35">
        <v>10046.42</v>
      </c>
    </row>
    <row r="145" spans="1:4" x14ac:dyDescent="0.25">
      <c r="A145" s="30" t="s">
        <v>152</v>
      </c>
      <c r="B145" s="30" t="s">
        <v>143</v>
      </c>
      <c r="C145" s="35">
        <v>10255.61</v>
      </c>
      <c r="D145" s="35">
        <v>24618.38</v>
      </c>
    </row>
    <row r="146" spans="1:4" x14ac:dyDescent="0.25">
      <c r="A146" s="30" t="s">
        <v>153</v>
      </c>
      <c r="B146" s="30" t="s">
        <v>136</v>
      </c>
      <c r="C146" s="35">
        <v>27175.79</v>
      </c>
      <c r="D146" s="35">
        <v>66583.31</v>
      </c>
    </row>
    <row r="147" spans="1:4" x14ac:dyDescent="0.25">
      <c r="A147" s="30" t="s">
        <v>153</v>
      </c>
      <c r="B147" s="30" t="s">
        <v>141</v>
      </c>
      <c r="C147" s="35">
        <v>7978.92</v>
      </c>
      <c r="D147" s="35">
        <v>26045.29</v>
      </c>
    </row>
    <row r="148" spans="1:4" x14ac:dyDescent="0.25">
      <c r="A148" s="30" t="s">
        <v>153</v>
      </c>
      <c r="B148" s="30" t="s">
        <v>142</v>
      </c>
      <c r="C148" s="35">
        <v>6420.02</v>
      </c>
      <c r="D148" s="35">
        <v>15855.18</v>
      </c>
    </row>
    <row r="149" spans="1:4" x14ac:dyDescent="0.25">
      <c r="A149" s="30" t="s">
        <v>153</v>
      </c>
      <c r="B149" s="30" t="s">
        <v>143</v>
      </c>
      <c r="C149" s="35">
        <v>17016.54</v>
      </c>
      <c r="D149" s="35">
        <v>35984.519999999997</v>
      </c>
    </row>
    <row r="150" spans="1:4" x14ac:dyDescent="0.25">
      <c r="A150" s="30" t="s">
        <v>154</v>
      </c>
      <c r="B150" s="30" t="s">
        <v>136</v>
      </c>
      <c r="C150" s="35">
        <v>24010.26</v>
      </c>
      <c r="D150" s="35">
        <v>65608.17</v>
      </c>
    </row>
    <row r="151" spans="1:4" x14ac:dyDescent="0.25">
      <c r="A151" s="30" t="s">
        <v>154</v>
      </c>
      <c r="B151" s="30" t="s">
        <v>141</v>
      </c>
      <c r="C151" s="35">
        <v>9765.15</v>
      </c>
      <c r="D151" s="35">
        <v>24057.23</v>
      </c>
    </row>
    <row r="152" spans="1:4" x14ac:dyDescent="0.25">
      <c r="A152" s="30" t="s">
        <v>154</v>
      </c>
      <c r="B152" s="30" t="s">
        <v>142</v>
      </c>
      <c r="C152" s="35">
        <v>4910.0600000000004</v>
      </c>
      <c r="D152" s="35">
        <v>17944.12</v>
      </c>
    </row>
    <row r="153" spans="1:4" x14ac:dyDescent="0.25">
      <c r="A153" s="30" t="s">
        <v>154</v>
      </c>
      <c r="B153" s="30" t="s">
        <v>143</v>
      </c>
      <c r="C153" s="35">
        <v>10683.65</v>
      </c>
      <c r="D153" s="35">
        <v>39896.15</v>
      </c>
    </row>
    <row r="154" spans="1:4" x14ac:dyDescent="0.25">
      <c r="A154" s="30" t="s">
        <v>155</v>
      </c>
      <c r="B154" s="30" t="s">
        <v>136</v>
      </c>
      <c r="C154" s="35">
        <v>26249.49</v>
      </c>
      <c r="D154" s="35">
        <v>54378.83</v>
      </c>
    </row>
    <row r="155" spans="1:4" x14ac:dyDescent="0.25">
      <c r="A155" s="30" t="s">
        <v>155</v>
      </c>
      <c r="B155" s="30" t="s">
        <v>141</v>
      </c>
      <c r="C155" s="35">
        <v>6652.19</v>
      </c>
      <c r="D155" s="35">
        <v>18676.11</v>
      </c>
    </row>
    <row r="156" spans="1:4" x14ac:dyDescent="0.25">
      <c r="A156" s="30" t="s">
        <v>155</v>
      </c>
      <c r="B156" s="30" t="s">
        <v>142</v>
      </c>
      <c r="C156" s="35">
        <v>4449.88</v>
      </c>
      <c r="D156" s="35">
        <v>17445.88</v>
      </c>
    </row>
    <row r="157" spans="1:4" x14ac:dyDescent="0.25">
      <c r="A157" s="30" t="s">
        <v>155</v>
      </c>
      <c r="B157" s="30" t="s">
        <v>143</v>
      </c>
      <c r="C157" s="35">
        <v>10867.86</v>
      </c>
      <c r="D157" s="35">
        <v>37020.21</v>
      </c>
    </row>
    <row r="158" spans="1:4" x14ac:dyDescent="0.25">
      <c r="A158" s="30" t="s">
        <v>156</v>
      </c>
      <c r="B158" s="30" t="s">
        <v>136</v>
      </c>
      <c r="C158" s="35">
        <v>16811.509999999998</v>
      </c>
      <c r="D158" s="35">
        <v>47940.01</v>
      </c>
    </row>
    <row r="159" spans="1:4" x14ac:dyDescent="0.25">
      <c r="A159" s="30" t="s">
        <v>156</v>
      </c>
      <c r="B159" s="30" t="s">
        <v>141</v>
      </c>
      <c r="C159" s="35">
        <v>5306.62</v>
      </c>
      <c r="D159" s="35">
        <v>20378.900000000001</v>
      </c>
    </row>
    <row r="160" spans="1:4" x14ac:dyDescent="0.25">
      <c r="A160" s="30" t="s">
        <v>156</v>
      </c>
      <c r="B160" s="30" t="s">
        <v>142</v>
      </c>
      <c r="C160" s="35">
        <v>4822.51</v>
      </c>
      <c r="D160" s="35">
        <v>11039.29</v>
      </c>
    </row>
    <row r="161" spans="1:4" x14ac:dyDescent="0.25">
      <c r="A161" s="30" t="s">
        <v>156</v>
      </c>
      <c r="B161" s="30" t="s">
        <v>143</v>
      </c>
      <c r="C161" s="35">
        <v>9250.52</v>
      </c>
      <c r="D161" s="35">
        <v>29584</v>
      </c>
    </row>
    <row r="162" spans="1:4" x14ac:dyDescent="0.25">
      <c r="A162" s="30" t="s">
        <v>157</v>
      </c>
      <c r="B162" s="30" t="s">
        <v>136</v>
      </c>
      <c r="C162" s="35">
        <v>16891.5</v>
      </c>
      <c r="D162" s="35">
        <v>58849.96</v>
      </c>
    </row>
    <row r="163" spans="1:4" x14ac:dyDescent="0.25">
      <c r="A163" s="30" t="s">
        <v>157</v>
      </c>
      <c r="B163" s="30" t="s">
        <v>141</v>
      </c>
      <c r="C163" s="35">
        <v>8604.3700000000008</v>
      </c>
      <c r="D163" s="35">
        <v>18565.07</v>
      </c>
    </row>
    <row r="164" spans="1:4" x14ac:dyDescent="0.25">
      <c r="A164" s="30" t="s">
        <v>157</v>
      </c>
      <c r="B164" s="30" t="s">
        <v>142</v>
      </c>
      <c r="C164" s="35">
        <v>3989.99</v>
      </c>
      <c r="D164" s="35">
        <v>20430.419999999998</v>
      </c>
    </row>
    <row r="165" spans="1:4" x14ac:dyDescent="0.25">
      <c r="A165" s="30" t="s">
        <v>157</v>
      </c>
      <c r="B165" s="30" t="s">
        <v>143</v>
      </c>
      <c r="C165" s="35">
        <v>12156.96</v>
      </c>
      <c r="D165" s="35">
        <v>31365.919999999998</v>
      </c>
    </row>
    <row r="166" spans="1:4" x14ac:dyDescent="0.25">
      <c r="A166" s="30" t="s">
        <v>158</v>
      </c>
      <c r="B166" s="30" t="s">
        <v>136</v>
      </c>
      <c r="C166" s="35">
        <v>20487.32</v>
      </c>
      <c r="D166" s="35">
        <v>51148.38</v>
      </c>
    </row>
    <row r="167" spans="1:4" x14ac:dyDescent="0.25">
      <c r="A167" s="30" t="s">
        <v>158</v>
      </c>
      <c r="B167" s="30" t="s">
        <v>141</v>
      </c>
      <c r="C167" s="35">
        <v>8007.82</v>
      </c>
      <c r="D167" s="35">
        <v>13726.17</v>
      </c>
    </row>
    <row r="168" spans="1:4" x14ac:dyDescent="0.25">
      <c r="A168" s="30" t="s">
        <v>158</v>
      </c>
      <c r="B168" s="30" t="s">
        <v>142</v>
      </c>
      <c r="C168" s="35">
        <v>5287.59</v>
      </c>
      <c r="D168" s="35">
        <v>13271.44</v>
      </c>
    </row>
    <row r="169" spans="1:4" x14ac:dyDescent="0.25">
      <c r="A169" s="30" t="s">
        <v>158</v>
      </c>
      <c r="B169" s="30" t="s">
        <v>143</v>
      </c>
      <c r="C169" s="35">
        <v>10367.959999999999</v>
      </c>
      <c r="D169" s="35">
        <v>22617.77</v>
      </c>
    </row>
    <row r="170" spans="1:4" x14ac:dyDescent="0.25">
      <c r="A170" s="30" t="s">
        <v>159</v>
      </c>
      <c r="B170" s="30" t="s">
        <v>136</v>
      </c>
      <c r="C170" s="35">
        <v>27613.37</v>
      </c>
      <c r="D170" s="35">
        <v>63217.760000000002</v>
      </c>
    </row>
    <row r="171" spans="1:4" x14ac:dyDescent="0.25">
      <c r="A171" s="30" t="s">
        <v>159</v>
      </c>
      <c r="B171" s="30" t="s">
        <v>141</v>
      </c>
      <c r="C171" s="35">
        <v>11265.15</v>
      </c>
      <c r="D171" s="35">
        <v>18168.740000000002</v>
      </c>
    </row>
    <row r="172" spans="1:4" x14ac:dyDescent="0.25">
      <c r="A172" s="30" t="s">
        <v>159</v>
      </c>
      <c r="B172" s="30" t="s">
        <v>142</v>
      </c>
      <c r="C172" s="35">
        <v>5779.83</v>
      </c>
      <c r="D172" s="35">
        <v>22634.28</v>
      </c>
    </row>
    <row r="173" spans="1:4" x14ac:dyDescent="0.25">
      <c r="A173" s="30" t="s">
        <v>159</v>
      </c>
      <c r="B173" s="30" t="s">
        <v>143</v>
      </c>
      <c r="C173" s="35">
        <v>15921.56</v>
      </c>
      <c r="D173" s="35">
        <v>44411.05</v>
      </c>
    </row>
    <row r="174" spans="1:4" x14ac:dyDescent="0.25">
      <c r="A174" s="30" t="s">
        <v>160</v>
      </c>
      <c r="B174" s="30" t="s">
        <v>136</v>
      </c>
      <c r="C174" s="35">
        <v>25558.34</v>
      </c>
      <c r="D174" s="35">
        <v>59002.28</v>
      </c>
    </row>
    <row r="175" spans="1:4" x14ac:dyDescent="0.25">
      <c r="A175" s="30" t="s">
        <v>160</v>
      </c>
      <c r="B175" s="30" t="s">
        <v>141</v>
      </c>
      <c r="C175" s="35">
        <v>7790.2</v>
      </c>
      <c r="D175" s="35">
        <v>22968.6</v>
      </c>
    </row>
    <row r="176" spans="1:4" x14ac:dyDescent="0.25">
      <c r="A176" s="30" t="s">
        <v>160</v>
      </c>
      <c r="B176" s="30" t="s">
        <v>142</v>
      </c>
      <c r="C176" s="35">
        <v>7569.46</v>
      </c>
      <c r="D176" s="35">
        <v>18180.46</v>
      </c>
    </row>
    <row r="177" spans="1:4" x14ac:dyDescent="0.25">
      <c r="A177" s="30" t="s">
        <v>160</v>
      </c>
      <c r="B177" s="30" t="s">
        <v>143</v>
      </c>
      <c r="C177" s="35">
        <v>12579.92</v>
      </c>
      <c r="D177" s="35">
        <v>30943.61</v>
      </c>
    </row>
    <row r="178" spans="1:4" x14ac:dyDescent="0.25">
      <c r="A178" s="30" t="s">
        <v>161</v>
      </c>
      <c r="B178" s="30" t="s">
        <v>136</v>
      </c>
      <c r="C178" s="35">
        <v>23826.28</v>
      </c>
      <c r="D178" s="35">
        <v>41553.96</v>
      </c>
    </row>
    <row r="179" spans="1:4" x14ac:dyDescent="0.25">
      <c r="A179" s="30" t="s">
        <v>161</v>
      </c>
      <c r="B179" s="30" t="s">
        <v>141</v>
      </c>
      <c r="C179" s="35">
        <v>8016.08</v>
      </c>
      <c r="D179" s="35">
        <v>17179.96</v>
      </c>
    </row>
    <row r="180" spans="1:4" x14ac:dyDescent="0.25">
      <c r="A180" s="30" t="s">
        <v>161</v>
      </c>
      <c r="B180" s="30" t="s">
        <v>142</v>
      </c>
      <c r="C180" s="35">
        <v>5257.93</v>
      </c>
      <c r="D180" s="35">
        <v>14569.61</v>
      </c>
    </row>
    <row r="181" spans="1:4" x14ac:dyDescent="0.25">
      <c r="A181" s="30" t="s">
        <v>161</v>
      </c>
      <c r="B181" s="30" t="s">
        <v>143</v>
      </c>
      <c r="C181" s="35">
        <v>14360.67</v>
      </c>
      <c r="D181" s="35">
        <v>28947.26</v>
      </c>
    </row>
    <row r="182" spans="1:4" x14ac:dyDescent="0.25">
      <c r="A182" s="30" t="s">
        <v>162</v>
      </c>
      <c r="B182" s="30" t="s">
        <v>136</v>
      </c>
      <c r="C182" s="35">
        <v>15814.54</v>
      </c>
      <c r="D182" s="35">
        <v>40846.910000000003</v>
      </c>
    </row>
    <row r="183" spans="1:4" x14ac:dyDescent="0.25">
      <c r="A183" s="30" t="s">
        <v>162</v>
      </c>
      <c r="B183" s="30" t="s">
        <v>141</v>
      </c>
      <c r="C183" s="35">
        <v>7152.19</v>
      </c>
      <c r="D183" s="35">
        <v>25646.82</v>
      </c>
    </row>
    <row r="184" spans="1:4" x14ac:dyDescent="0.25">
      <c r="A184" s="30" t="s">
        <v>162</v>
      </c>
      <c r="B184" s="30" t="s">
        <v>142</v>
      </c>
      <c r="C184" s="35">
        <v>6408.32</v>
      </c>
      <c r="D184" s="35">
        <v>19302.39</v>
      </c>
    </row>
    <row r="185" spans="1:4" x14ac:dyDescent="0.25">
      <c r="A185" s="30" t="s">
        <v>162</v>
      </c>
      <c r="B185" s="30" t="s">
        <v>143</v>
      </c>
      <c r="C185" s="35">
        <v>11710.47</v>
      </c>
      <c r="D185" s="35">
        <v>24252.01</v>
      </c>
    </row>
    <row r="186" spans="1:4" x14ac:dyDescent="0.25">
      <c r="A186" s="30" t="s">
        <v>163</v>
      </c>
      <c r="B186" s="30" t="s">
        <v>136</v>
      </c>
      <c r="C186" s="35">
        <v>19540.97</v>
      </c>
      <c r="D186" s="35">
        <v>52140.37</v>
      </c>
    </row>
    <row r="187" spans="1:4" x14ac:dyDescent="0.25">
      <c r="A187" s="30" t="s">
        <v>163</v>
      </c>
      <c r="B187" s="30" t="s">
        <v>141</v>
      </c>
      <c r="C187" s="35">
        <v>7039.01</v>
      </c>
      <c r="D187" s="35">
        <v>19698.2</v>
      </c>
    </row>
    <row r="188" spans="1:4" x14ac:dyDescent="0.25">
      <c r="A188" s="30" t="s">
        <v>163</v>
      </c>
      <c r="B188" s="30" t="s">
        <v>142</v>
      </c>
      <c r="C188" s="35">
        <v>4831.66</v>
      </c>
      <c r="D188" s="35">
        <v>12180.19</v>
      </c>
    </row>
    <row r="189" spans="1:4" x14ac:dyDescent="0.25">
      <c r="A189" s="30" t="s">
        <v>163</v>
      </c>
      <c r="B189" s="30" t="s">
        <v>143</v>
      </c>
      <c r="C189" s="35">
        <v>12931.65</v>
      </c>
      <c r="D189" s="35">
        <v>27960.14</v>
      </c>
    </row>
    <row r="190" spans="1:4" x14ac:dyDescent="0.25">
      <c r="A190" s="30" t="s">
        <v>164</v>
      </c>
      <c r="B190" s="30" t="s">
        <v>136</v>
      </c>
      <c r="C190" s="35">
        <v>20959.849999999999</v>
      </c>
      <c r="D190" s="35">
        <v>50685.59</v>
      </c>
    </row>
    <row r="191" spans="1:4" x14ac:dyDescent="0.25">
      <c r="A191" s="30" t="s">
        <v>164</v>
      </c>
      <c r="B191" s="30" t="s">
        <v>141</v>
      </c>
      <c r="C191" s="35">
        <v>8747.9</v>
      </c>
      <c r="D191" s="35">
        <v>21248.75</v>
      </c>
    </row>
    <row r="192" spans="1:4" x14ac:dyDescent="0.25">
      <c r="A192" s="30" t="s">
        <v>164</v>
      </c>
      <c r="B192" s="30" t="s">
        <v>142</v>
      </c>
      <c r="C192" s="35">
        <v>4764.05</v>
      </c>
      <c r="D192" s="35">
        <v>17048.46</v>
      </c>
    </row>
    <row r="193" spans="1:8" x14ac:dyDescent="0.25">
      <c r="A193" s="30" t="s">
        <v>164</v>
      </c>
      <c r="B193" s="30" t="s">
        <v>143</v>
      </c>
      <c r="C193" s="35">
        <v>15490.3</v>
      </c>
      <c r="D193" s="35">
        <v>29376.81</v>
      </c>
    </row>
    <row r="194" spans="1:8" x14ac:dyDescent="0.25">
      <c r="A194" s="30" t="s">
        <v>165</v>
      </c>
      <c r="B194" s="30" t="s">
        <v>136</v>
      </c>
      <c r="C194" s="35">
        <v>33205.910000000003</v>
      </c>
      <c r="D194" s="35">
        <v>74758.740000000005</v>
      </c>
    </row>
    <row r="195" spans="1:8" x14ac:dyDescent="0.25">
      <c r="A195" s="30" t="s">
        <v>165</v>
      </c>
      <c r="B195" s="30" t="s">
        <v>141</v>
      </c>
      <c r="C195" s="35">
        <v>10632.72</v>
      </c>
      <c r="D195" s="35">
        <v>28787.65</v>
      </c>
    </row>
    <row r="196" spans="1:8" x14ac:dyDescent="0.25">
      <c r="A196" s="30" t="s">
        <v>165</v>
      </c>
      <c r="B196" s="30" t="s">
        <v>142</v>
      </c>
      <c r="C196" s="35">
        <v>8038.98</v>
      </c>
      <c r="D196" s="35">
        <v>28064.7</v>
      </c>
    </row>
    <row r="197" spans="1:8" x14ac:dyDescent="0.25">
      <c r="A197" s="30" t="s">
        <v>165</v>
      </c>
      <c r="B197" s="30" t="s">
        <v>143</v>
      </c>
      <c r="C197" s="35">
        <v>19701.3</v>
      </c>
      <c r="D197" s="35">
        <v>45134.239999999998</v>
      </c>
    </row>
    <row r="198" spans="1:8" x14ac:dyDescent="0.25">
      <c r="A198" s="30" t="s">
        <v>166</v>
      </c>
      <c r="B198" s="30" t="s">
        <v>136</v>
      </c>
      <c r="C198" s="35">
        <v>29203.360000000001</v>
      </c>
      <c r="D198" s="35">
        <v>69740.38</v>
      </c>
    </row>
    <row r="199" spans="1:8" x14ac:dyDescent="0.25">
      <c r="A199" s="30" t="s">
        <v>166</v>
      </c>
      <c r="B199" s="30" t="s">
        <v>141</v>
      </c>
      <c r="C199" s="35">
        <v>11828.17</v>
      </c>
      <c r="D199" s="35">
        <v>27032.06</v>
      </c>
    </row>
    <row r="200" spans="1:8" x14ac:dyDescent="0.25">
      <c r="A200" s="30" t="s">
        <v>166</v>
      </c>
      <c r="B200" s="30" t="s">
        <v>142</v>
      </c>
      <c r="C200" s="35">
        <v>8421.33</v>
      </c>
      <c r="D200" s="35">
        <v>15751.51</v>
      </c>
    </row>
    <row r="201" spans="1:8" x14ac:dyDescent="0.25">
      <c r="A201" s="30" t="s">
        <v>166</v>
      </c>
      <c r="B201" s="30" t="s">
        <v>143</v>
      </c>
      <c r="C201" s="35">
        <v>17350.77</v>
      </c>
      <c r="D201" s="35">
        <v>36193.980000000003</v>
      </c>
    </row>
    <row r="204" spans="1:8" ht="19.5" customHeight="1" x14ac:dyDescent="0.25">
      <c r="A204" s="6" t="s">
        <v>210</v>
      </c>
      <c r="B204" s="6"/>
      <c r="C204" s="6"/>
      <c r="D204" s="6"/>
      <c r="E204" s="6"/>
      <c r="F204" s="6"/>
      <c r="G204" s="6"/>
      <c r="H204" s="6"/>
    </row>
    <row r="205" spans="1:8" x14ac:dyDescent="0.25">
      <c r="A205" s="33" t="s">
        <v>125</v>
      </c>
      <c r="B205" s="33" t="s">
        <v>211</v>
      </c>
      <c r="C205" s="33" t="s">
        <v>212</v>
      </c>
      <c r="D205" s="33" t="s">
        <v>127</v>
      </c>
      <c r="E205" s="33" t="s">
        <v>170</v>
      </c>
      <c r="F205" s="33" t="s">
        <v>213</v>
      </c>
    </row>
    <row r="206" spans="1:8" x14ac:dyDescent="0.25">
      <c r="A206" s="30" t="s">
        <v>137</v>
      </c>
      <c r="B206" s="30" t="s">
        <v>214</v>
      </c>
      <c r="C206" s="34">
        <v>6</v>
      </c>
      <c r="D206" s="34">
        <v>725</v>
      </c>
      <c r="E206" s="35">
        <v>68709.52</v>
      </c>
      <c r="F206" s="36">
        <v>266.33</v>
      </c>
    </row>
    <row r="207" spans="1:8" x14ac:dyDescent="0.25">
      <c r="A207" s="30" t="s">
        <v>137</v>
      </c>
      <c r="B207" s="30" t="s">
        <v>215</v>
      </c>
      <c r="C207" s="34">
        <v>21</v>
      </c>
      <c r="D207" s="34">
        <v>2955</v>
      </c>
      <c r="E207" s="35">
        <v>196907.02</v>
      </c>
      <c r="F207" s="36">
        <v>538.24</v>
      </c>
    </row>
    <row r="208" spans="1:8" x14ac:dyDescent="0.25">
      <c r="A208" s="30" t="s">
        <v>137</v>
      </c>
      <c r="B208" s="30" t="s">
        <v>216</v>
      </c>
      <c r="C208" s="34">
        <v>4</v>
      </c>
      <c r="D208" s="34">
        <v>659</v>
      </c>
      <c r="E208" s="35">
        <v>44088.54</v>
      </c>
      <c r="F208" s="36">
        <v>146.5</v>
      </c>
    </row>
    <row r="209" spans="1:8" x14ac:dyDescent="0.25">
      <c r="A209" s="30" t="s">
        <v>138</v>
      </c>
      <c r="B209" s="30" t="s">
        <v>214</v>
      </c>
      <c r="C209" s="34">
        <v>6</v>
      </c>
      <c r="D209" s="34">
        <v>628</v>
      </c>
      <c r="E209" s="35">
        <v>25048.84</v>
      </c>
      <c r="F209" s="36">
        <v>278.33</v>
      </c>
    </row>
    <row r="210" spans="1:8" x14ac:dyDescent="0.25">
      <c r="A210" s="30" t="s">
        <v>138</v>
      </c>
      <c r="B210" s="30" t="s">
        <v>215</v>
      </c>
      <c r="C210" s="34">
        <v>31</v>
      </c>
      <c r="D210" s="34">
        <v>4939</v>
      </c>
      <c r="E210" s="35">
        <v>232641.52</v>
      </c>
      <c r="F210" s="36">
        <v>538.13</v>
      </c>
    </row>
    <row r="211" spans="1:8" x14ac:dyDescent="0.25">
      <c r="A211" s="30" t="s">
        <v>138</v>
      </c>
      <c r="B211" s="30" t="s">
        <v>216</v>
      </c>
      <c r="C211" s="34">
        <v>16</v>
      </c>
      <c r="D211" s="34">
        <v>2327</v>
      </c>
      <c r="E211" s="35">
        <v>103523.36</v>
      </c>
      <c r="F211" s="36">
        <v>88.5</v>
      </c>
    </row>
    <row r="212" spans="1:8" x14ac:dyDescent="0.25">
      <c r="A212" s="30" t="s">
        <v>139</v>
      </c>
      <c r="B212" s="30" t="s">
        <v>214</v>
      </c>
      <c r="C212" s="34">
        <v>14</v>
      </c>
      <c r="D212" s="34">
        <v>1701</v>
      </c>
      <c r="E212" s="35">
        <v>296164.49</v>
      </c>
      <c r="F212" s="36">
        <v>282.36</v>
      </c>
    </row>
    <row r="213" spans="1:8" x14ac:dyDescent="0.25">
      <c r="A213" s="30" t="s">
        <v>139</v>
      </c>
      <c r="B213" s="30" t="s">
        <v>215</v>
      </c>
      <c r="C213" s="34">
        <v>24</v>
      </c>
      <c r="D213" s="34">
        <v>3428</v>
      </c>
      <c r="E213" s="35">
        <v>546495.63</v>
      </c>
      <c r="F213" s="36">
        <v>519.5</v>
      </c>
    </row>
    <row r="214" spans="1:8" x14ac:dyDescent="0.25">
      <c r="A214" s="30" t="s">
        <v>139</v>
      </c>
      <c r="B214" s="30" t="s">
        <v>216</v>
      </c>
      <c r="C214" s="34">
        <v>8</v>
      </c>
      <c r="D214" s="34">
        <v>1297</v>
      </c>
      <c r="E214" s="35">
        <v>236611.44</v>
      </c>
      <c r="F214" s="36">
        <v>86.12</v>
      </c>
    </row>
    <row r="215" spans="1:8" x14ac:dyDescent="0.25">
      <c r="A215" s="30" t="s">
        <v>140</v>
      </c>
      <c r="B215" s="30" t="s">
        <v>214</v>
      </c>
      <c r="C215" s="34">
        <v>20</v>
      </c>
      <c r="D215" s="34">
        <v>2818</v>
      </c>
      <c r="E215" s="35">
        <v>212317.45</v>
      </c>
      <c r="F215" s="36">
        <v>269.14999999999998</v>
      </c>
    </row>
    <row r="216" spans="1:8" x14ac:dyDescent="0.25">
      <c r="A216" s="30" t="s">
        <v>140</v>
      </c>
      <c r="B216" s="30" t="s">
        <v>215</v>
      </c>
      <c r="C216" s="34">
        <v>35</v>
      </c>
      <c r="D216" s="34">
        <v>6521</v>
      </c>
      <c r="E216" s="35">
        <v>508851.86</v>
      </c>
      <c r="F216" s="36">
        <v>520.26</v>
      </c>
    </row>
    <row r="217" spans="1:8" x14ac:dyDescent="0.25">
      <c r="A217" s="30" t="s">
        <v>140</v>
      </c>
      <c r="B217" s="30" t="s">
        <v>216</v>
      </c>
      <c r="C217" s="34">
        <v>17</v>
      </c>
      <c r="D217" s="34">
        <v>1923</v>
      </c>
      <c r="E217" s="35">
        <v>144294.75</v>
      </c>
      <c r="F217" s="36">
        <v>101</v>
      </c>
    </row>
    <row r="220" spans="1:8" ht="19.5" customHeight="1" x14ac:dyDescent="0.25">
      <c r="A220" s="6" t="s">
        <v>217</v>
      </c>
      <c r="B220" s="6"/>
      <c r="C220" s="6"/>
      <c r="D220" s="6"/>
      <c r="E220" s="6"/>
      <c r="F220" s="6"/>
      <c r="G220" s="6"/>
      <c r="H220" s="6"/>
    </row>
    <row r="221" spans="1:8" x14ac:dyDescent="0.25">
      <c r="A221" s="33" t="s">
        <v>125</v>
      </c>
      <c r="B221" s="33" t="s">
        <v>218</v>
      </c>
      <c r="C221" s="33" t="s">
        <v>219</v>
      </c>
      <c r="D221" s="33" t="s">
        <v>220</v>
      </c>
    </row>
    <row r="222" spans="1:8" x14ac:dyDescent="0.25">
      <c r="A222" s="30" t="s">
        <v>137</v>
      </c>
      <c r="B222" s="35">
        <v>309705.08</v>
      </c>
      <c r="C222" s="34">
        <v>4339</v>
      </c>
      <c r="D222" s="36">
        <v>401.44</v>
      </c>
    </row>
    <row r="223" spans="1:8" x14ac:dyDescent="0.25">
      <c r="A223" s="30" t="s">
        <v>138</v>
      </c>
      <c r="B223" s="35">
        <v>361213.72</v>
      </c>
      <c r="C223" s="34">
        <v>7894</v>
      </c>
      <c r="D223" s="36">
        <v>391.06</v>
      </c>
    </row>
    <row r="224" spans="1:8" x14ac:dyDescent="0.25">
      <c r="A224" s="30" t="s">
        <v>139</v>
      </c>
      <c r="B224" s="35">
        <v>1079271.56</v>
      </c>
      <c r="C224" s="34">
        <v>6426</v>
      </c>
      <c r="D224" s="36">
        <v>353.39</v>
      </c>
    </row>
    <row r="225" spans="1:8" x14ac:dyDescent="0.25">
      <c r="A225" s="30" t="s">
        <v>140</v>
      </c>
      <c r="B225" s="35">
        <v>865464.06</v>
      </c>
      <c r="C225" s="34">
        <v>11262</v>
      </c>
      <c r="D225" s="36">
        <v>383.56</v>
      </c>
    </row>
    <row r="228" spans="1:8" ht="19.5" customHeight="1" x14ac:dyDescent="0.25">
      <c r="A228" s="6" t="s">
        <v>221</v>
      </c>
      <c r="B228" s="6"/>
      <c r="C228" s="6"/>
      <c r="D228" s="6"/>
      <c r="E228" s="6"/>
      <c r="F228" s="6"/>
      <c r="G228" s="6"/>
      <c r="H228" s="6"/>
    </row>
    <row r="229" spans="1:8" x14ac:dyDescent="0.25">
      <c r="A229" s="33" t="s">
        <v>222</v>
      </c>
      <c r="B229" s="33" t="s">
        <v>223</v>
      </c>
      <c r="C229" s="33" t="s">
        <v>224</v>
      </c>
      <c r="D229" s="33" t="s">
        <v>225</v>
      </c>
      <c r="E229" s="33" t="s">
        <v>226</v>
      </c>
      <c r="F229" s="33" t="s">
        <v>227</v>
      </c>
    </row>
    <row r="230" spans="1:8" x14ac:dyDescent="0.25">
      <c r="A230" s="30" t="s">
        <v>136</v>
      </c>
      <c r="B230" s="34">
        <v>896</v>
      </c>
      <c r="C230" s="34">
        <v>423</v>
      </c>
      <c r="D230" s="35">
        <v>1436.81</v>
      </c>
      <c r="E230" s="35">
        <v>217.69</v>
      </c>
      <c r="F230" s="37">
        <v>2.95</v>
      </c>
    </row>
    <row r="231" spans="1:8" x14ac:dyDescent="0.25">
      <c r="A231" s="30" t="s">
        <v>141</v>
      </c>
      <c r="B231" s="34">
        <v>413</v>
      </c>
      <c r="C231" s="34">
        <v>176</v>
      </c>
      <c r="D231" s="35">
        <v>1529.34</v>
      </c>
      <c r="E231" s="35">
        <v>226.01</v>
      </c>
      <c r="F231" s="37">
        <v>2.93</v>
      </c>
    </row>
    <row r="232" spans="1:8" x14ac:dyDescent="0.25">
      <c r="A232" s="30" t="s">
        <v>142</v>
      </c>
      <c r="B232" s="34">
        <v>285</v>
      </c>
      <c r="C232" s="34">
        <v>141</v>
      </c>
      <c r="D232" s="35">
        <v>1682.4</v>
      </c>
      <c r="E232" s="35">
        <v>211.82</v>
      </c>
      <c r="F232" s="37">
        <v>3.46</v>
      </c>
    </row>
    <row r="233" spans="1:8" x14ac:dyDescent="0.25">
      <c r="A233" s="30" t="s">
        <v>143</v>
      </c>
      <c r="B233" s="34">
        <v>606</v>
      </c>
      <c r="C233" s="34">
        <v>280</v>
      </c>
      <c r="D233" s="35">
        <v>1512.03</v>
      </c>
      <c r="E233" s="35">
        <v>210.21</v>
      </c>
      <c r="F233" s="37">
        <v>3.13</v>
      </c>
    </row>
    <row r="236" spans="1:8" ht="19.5" customHeight="1" x14ac:dyDescent="0.25">
      <c r="A236" s="6" t="s">
        <v>228</v>
      </c>
      <c r="B236" s="6"/>
      <c r="C236" s="6"/>
      <c r="D236" s="6"/>
      <c r="E236" s="6"/>
      <c r="F236" s="6"/>
      <c r="G236" s="6"/>
      <c r="H236" s="6"/>
    </row>
    <row r="237" spans="1:8" x14ac:dyDescent="0.25">
      <c r="A237" s="33" t="s">
        <v>229</v>
      </c>
      <c r="B237" s="33" t="s">
        <v>125</v>
      </c>
      <c r="C237" s="33" t="s">
        <v>127</v>
      </c>
      <c r="D237" s="33" t="s">
        <v>131</v>
      </c>
      <c r="E237" s="33" t="s">
        <v>132</v>
      </c>
      <c r="F237" s="33" t="s">
        <v>230</v>
      </c>
    </row>
    <row r="238" spans="1:8" x14ac:dyDescent="0.25">
      <c r="A238" s="30" t="s">
        <v>231</v>
      </c>
      <c r="B238" s="30" t="s">
        <v>139</v>
      </c>
      <c r="C238" s="34">
        <v>431</v>
      </c>
      <c r="D238" s="35">
        <v>154940.07</v>
      </c>
      <c r="E238" s="35">
        <v>91254.43</v>
      </c>
      <c r="F238" s="35">
        <v>63685.64</v>
      </c>
    </row>
    <row r="239" spans="1:8" x14ac:dyDescent="0.25">
      <c r="A239" s="30" t="s">
        <v>232</v>
      </c>
      <c r="B239" s="30" t="s">
        <v>139</v>
      </c>
      <c r="C239" s="34">
        <v>423</v>
      </c>
      <c r="D239" s="35">
        <v>135434.29</v>
      </c>
      <c r="E239" s="35">
        <v>76389.570000000007</v>
      </c>
      <c r="F239" s="35">
        <v>59044.72</v>
      </c>
    </row>
    <row r="240" spans="1:8" x14ac:dyDescent="0.25">
      <c r="A240" s="30" t="s">
        <v>233</v>
      </c>
      <c r="B240" s="30" t="s">
        <v>140</v>
      </c>
      <c r="C240" s="34">
        <v>436</v>
      </c>
      <c r="D240" s="35">
        <v>103887.33</v>
      </c>
      <c r="E240" s="35">
        <v>45102.99</v>
      </c>
      <c r="F240" s="35">
        <v>58784.34</v>
      </c>
    </row>
    <row r="241" spans="1:6" x14ac:dyDescent="0.25">
      <c r="A241" s="30" t="s">
        <v>234</v>
      </c>
      <c r="B241" s="30" t="s">
        <v>139</v>
      </c>
      <c r="C241" s="34">
        <v>439</v>
      </c>
      <c r="D241" s="35">
        <v>140680.99</v>
      </c>
      <c r="E241" s="35">
        <v>81993.350000000006</v>
      </c>
      <c r="F241" s="35">
        <v>58687.64</v>
      </c>
    </row>
    <row r="242" spans="1:6" x14ac:dyDescent="0.25">
      <c r="A242" s="30" t="s">
        <v>235</v>
      </c>
      <c r="B242" s="30" t="s">
        <v>140</v>
      </c>
      <c r="C242" s="34">
        <v>436</v>
      </c>
      <c r="D242" s="35">
        <v>112952.44</v>
      </c>
      <c r="E242" s="35">
        <v>55228.65</v>
      </c>
      <c r="F242" s="35">
        <v>57723.79</v>
      </c>
    </row>
    <row r="243" spans="1:6" x14ac:dyDescent="0.25">
      <c r="A243" s="30" t="s">
        <v>236</v>
      </c>
      <c r="B243" s="30" t="s">
        <v>139</v>
      </c>
      <c r="C243" s="34">
        <v>426</v>
      </c>
      <c r="D243" s="35">
        <v>142555.26</v>
      </c>
      <c r="E243" s="35">
        <v>86001.98</v>
      </c>
      <c r="F243" s="35">
        <v>56553.279999999999</v>
      </c>
    </row>
    <row r="244" spans="1:6" x14ac:dyDescent="0.25">
      <c r="A244" s="30" t="s">
        <v>237</v>
      </c>
      <c r="B244" s="30" t="s">
        <v>139</v>
      </c>
      <c r="C244" s="34">
        <v>440</v>
      </c>
      <c r="D244" s="35">
        <v>140646.15</v>
      </c>
      <c r="E244" s="35">
        <v>86801.87</v>
      </c>
      <c r="F244" s="35">
        <v>53844.28</v>
      </c>
    </row>
    <row r="245" spans="1:6" x14ac:dyDescent="0.25">
      <c r="A245" s="30" t="s">
        <v>238</v>
      </c>
      <c r="B245" s="30" t="s">
        <v>140</v>
      </c>
      <c r="C245" s="34">
        <v>443</v>
      </c>
      <c r="D245" s="35">
        <v>89639.51</v>
      </c>
      <c r="E245" s="35">
        <v>38284.54</v>
      </c>
      <c r="F245" s="35">
        <v>51354.97</v>
      </c>
    </row>
    <row r="246" spans="1:6" x14ac:dyDescent="0.25">
      <c r="A246" s="30" t="s">
        <v>239</v>
      </c>
      <c r="B246" s="30" t="s">
        <v>139</v>
      </c>
      <c r="C246" s="34">
        <v>445</v>
      </c>
      <c r="D246" s="35">
        <v>149988.28</v>
      </c>
      <c r="E246" s="35">
        <v>100346.14</v>
      </c>
      <c r="F246" s="35">
        <v>49642.14</v>
      </c>
    </row>
    <row r="247" spans="1:6" x14ac:dyDescent="0.25">
      <c r="A247" s="30" t="s">
        <v>240</v>
      </c>
      <c r="B247" s="30" t="s">
        <v>140</v>
      </c>
      <c r="C247" s="34">
        <v>429</v>
      </c>
      <c r="D247" s="35">
        <v>92341.79</v>
      </c>
      <c r="E247" s="35">
        <v>44955.09</v>
      </c>
      <c r="F247" s="35">
        <v>47386.7</v>
      </c>
    </row>
    <row r="248" spans="1:6" x14ac:dyDescent="0.25">
      <c r="A248" s="30" t="s">
        <v>241</v>
      </c>
      <c r="B248" s="30" t="s">
        <v>139</v>
      </c>
      <c r="C248" s="34">
        <v>436</v>
      </c>
      <c r="D248" s="35">
        <v>132142.48000000001</v>
      </c>
      <c r="E248" s="35">
        <v>85413.55</v>
      </c>
      <c r="F248" s="35">
        <v>46728.93</v>
      </c>
    </row>
    <row r="249" spans="1:6" x14ac:dyDescent="0.25">
      <c r="A249" s="30" t="s">
        <v>242</v>
      </c>
      <c r="B249" s="30" t="s">
        <v>139</v>
      </c>
      <c r="C249" s="34">
        <v>426</v>
      </c>
      <c r="D249" s="35">
        <v>130977.54</v>
      </c>
      <c r="E249" s="35">
        <v>84790.6</v>
      </c>
      <c r="F249" s="35">
        <v>46186.94</v>
      </c>
    </row>
    <row r="250" spans="1:6" x14ac:dyDescent="0.25">
      <c r="A250" s="30" t="s">
        <v>243</v>
      </c>
      <c r="B250" s="30" t="s">
        <v>139</v>
      </c>
      <c r="C250" s="34">
        <v>494</v>
      </c>
      <c r="D250" s="35">
        <v>104966.83</v>
      </c>
      <c r="E250" s="35">
        <v>58917.99</v>
      </c>
      <c r="F250" s="35">
        <v>46048.84</v>
      </c>
    </row>
    <row r="251" spans="1:6" x14ac:dyDescent="0.25">
      <c r="A251" s="30" t="s">
        <v>244</v>
      </c>
      <c r="B251" s="30" t="s">
        <v>140</v>
      </c>
      <c r="C251" s="34">
        <v>378</v>
      </c>
      <c r="D251" s="35">
        <v>74747.06</v>
      </c>
      <c r="E251" s="35">
        <v>30638.07</v>
      </c>
      <c r="F251" s="35">
        <v>44108.99</v>
      </c>
    </row>
    <row r="252" spans="1:6" x14ac:dyDescent="0.25">
      <c r="A252" s="30" t="s">
        <v>245</v>
      </c>
      <c r="B252" s="30" t="s">
        <v>140</v>
      </c>
      <c r="C252" s="34">
        <v>388</v>
      </c>
      <c r="D252" s="35">
        <v>74123.56</v>
      </c>
      <c r="E252" s="35">
        <v>33128.589999999997</v>
      </c>
      <c r="F252" s="35">
        <v>40994.97</v>
      </c>
    </row>
    <row r="253" spans="1:6" x14ac:dyDescent="0.25">
      <c r="A253" s="30" t="s">
        <v>246</v>
      </c>
      <c r="B253" s="30" t="s">
        <v>139</v>
      </c>
      <c r="C253" s="34">
        <v>480</v>
      </c>
      <c r="D253" s="35">
        <v>100334.8</v>
      </c>
      <c r="E253" s="35">
        <v>59563.47</v>
      </c>
      <c r="F253" s="35">
        <v>40771.33</v>
      </c>
    </row>
    <row r="254" spans="1:6" x14ac:dyDescent="0.25">
      <c r="A254" s="30" t="s">
        <v>247</v>
      </c>
      <c r="B254" s="30" t="s">
        <v>140</v>
      </c>
      <c r="C254" s="34">
        <v>409</v>
      </c>
      <c r="D254" s="35">
        <v>79875.490000000005</v>
      </c>
      <c r="E254" s="35">
        <v>39349.89</v>
      </c>
      <c r="F254" s="35">
        <v>40525.599999999999</v>
      </c>
    </row>
    <row r="255" spans="1:6" x14ac:dyDescent="0.25">
      <c r="A255" s="30" t="s">
        <v>248</v>
      </c>
      <c r="B255" s="30" t="s">
        <v>140</v>
      </c>
      <c r="C255" s="34">
        <v>469</v>
      </c>
      <c r="D255" s="35">
        <v>69142.92</v>
      </c>
      <c r="E255" s="35">
        <v>29297.01</v>
      </c>
      <c r="F255" s="35">
        <v>39845.910000000003</v>
      </c>
    </row>
    <row r="256" spans="1:6" x14ac:dyDescent="0.25">
      <c r="A256" s="30" t="s">
        <v>249</v>
      </c>
      <c r="B256" s="30" t="s">
        <v>140</v>
      </c>
      <c r="C256" s="34">
        <v>420</v>
      </c>
      <c r="D256" s="35">
        <v>73676.94</v>
      </c>
      <c r="E256" s="35">
        <v>34256.21</v>
      </c>
      <c r="F256" s="35">
        <v>39420.730000000003</v>
      </c>
    </row>
    <row r="257" spans="1:6" x14ac:dyDescent="0.25">
      <c r="A257" s="30" t="s">
        <v>250</v>
      </c>
      <c r="B257" s="30" t="s">
        <v>139</v>
      </c>
      <c r="C257" s="34">
        <v>446</v>
      </c>
      <c r="D257" s="35">
        <v>92171.77</v>
      </c>
      <c r="E257" s="35">
        <v>53529.18</v>
      </c>
      <c r="F257" s="35">
        <v>38642.589999999997</v>
      </c>
    </row>
    <row r="258" spans="1:6" x14ac:dyDescent="0.25">
      <c r="A258" s="30" t="s">
        <v>251</v>
      </c>
      <c r="B258" s="30" t="s">
        <v>140</v>
      </c>
      <c r="C258" s="34">
        <v>401</v>
      </c>
      <c r="D258" s="35">
        <v>67586.58</v>
      </c>
      <c r="E258" s="35">
        <v>29830.39</v>
      </c>
      <c r="F258" s="35">
        <v>37756.19</v>
      </c>
    </row>
    <row r="259" spans="1:6" x14ac:dyDescent="0.25">
      <c r="A259" s="30" t="s">
        <v>252</v>
      </c>
      <c r="B259" s="30" t="s">
        <v>140</v>
      </c>
      <c r="C259" s="34">
        <v>482</v>
      </c>
      <c r="D259" s="35">
        <v>60916.56</v>
      </c>
      <c r="E259" s="35">
        <v>24788.06</v>
      </c>
      <c r="F259" s="35">
        <v>36128.5</v>
      </c>
    </row>
    <row r="260" spans="1:6" x14ac:dyDescent="0.25">
      <c r="A260" s="30" t="s">
        <v>253</v>
      </c>
      <c r="B260" s="30" t="s">
        <v>137</v>
      </c>
      <c r="C260" s="34">
        <v>469</v>
      </c>
      <c r="D260" s="35">
        <v>82276.28</v>
      </c>
      <c r="E260" s="35">
        <v>47086.42</v>
      </c>
      <c r="F260" s="35">
        <v>35189.86</v>
      </c>
    </row>
    <row r="261" spans="1:6" x14ac:dyDescent="0.25">
      <c r="A261" s="30" t="s">
        <v>254</v>
      </c>
      <c r="B261" s="30" t="s">
        <v>137</v>
      </c>
      <c r="C261" s="34">
        <v>511</v>
      </c>
      <c r="D261" s="35">
        <v>89357.99</v>
      </c>
      <c r="E261" s="35">
        <v>55525.26</v>
      </c>
      <c r="F261" s="35">
        <v>33832.730000000003</v>
      </c>
    </row>
    <row r="262" spans="1:6" x14ac:dyDescent="0.25">
      <c r="A262" s="30" t="s">
        <v>255</v>
      </c>
      <c r="B262" s="30" t="s">
        <v>140</v>
      </c>
      <c r="C262" s="34">
        <v>408</v>
      </c>
      <c r="D262" s="35">
        <v>65851.75</v>
      </c>
      <c r="E262" s="35">
        <v>32252.400000000001</v>
      </c>
      <c r="F262" s="35">
        <v>33599.35</v>
      </c>
    </row>
    <row r="263" spans="1:6" x14ac:dyDescent="0.25">
      <c r="A263" s="30" t="s">
        <v>256</v>
      </c>
      <c r="B263" s="30" t="s">
        <v>140</v>
      </c>
      <c r="C263" s="34">
        <v>449</v>
      </c>
      <c r="D263" s="35">
        <v>61419.82</v>
      </c>
      <c r="E263" s="35">
        <v>28776.9</v>
      </c>
      <c r="F263" s="35">
        <v>32642.92</v>
      </c>
    </row>
    <row r="264" spans="1:6" x14ac:dyDescent="0.25">
      <c r="A264" s="30" t="s">
        <v>257</v>
      </c>
      <c r="B264" s="30" t="s">
        <v>140</v>
      </c>
      <c r="C264" s="34">
        <v>405</v>
      </c>
      <c r="D264" s="35">
        <v>58290.68</v>
      </c>
      <c r="E264" s="35">
        <v>26042.57</v>
      </c>
      <c r="F264" s="35">
        <v>32248.11</v>
      </c>
    </row>
    <row r="265" spans="1:6" x14ac:dyDescent="0.25">
      <c r="A265" s="30" t="s">
        <v>258</v>
      </c>
      <c r="B265" s="30" t="s">
        <v>140</v>
      </c>
      <c r="C265" s="34">
        <v>462</v>
      </c>
      <c r="D265" s="35">
        <v>55431.15</v>
      </c>
      <c r="E265" s="35">
        <v>23663.55</v>
      </c>
      <c r="F265" s="35">
        <v>31767.599999999999</v>
      </c>
    </row>
    <row r="266" spans="1:6" x14ac:dyDescent="0.25">
      <c r="A266" s="30" t="s">
        <v>259</v>
      </c>
      <c r="B266" s="30" t="s">
        <v>140</v>
      </c>
      <c r="C266" s="34">
        <v>420</v>
      </c>
      <c r="D266" s="35">
        <v>52991.02</v>
      </c>
      <c r="E266" s="35">
        <v>23502.080000000002</v>
      </c>
      <c r="F266" s="35">
        <v>29488.94</v>
      </c>
    </row>
    <row r="267" spans="1:6" x14ac:dyDescent="0.25">
      <c r="A267" s="30" t="s">
        <v>260</v>
      </c>
      <c r="B267" s="30" t="s">
        <v>138</v>
      </c>
      <c r="C267" s="34">
        <v>499</v>
      </c>
      <c r="D267" s="35">
        <v>68647.960000000006</v>
      </c>
      <c r="E267" s="35">
        <v>40179.480000000003</v>
      </c>
      <c r="F267" s="35">
        <v>28468.48</v>
      </c>
    </row>
    <row r="268" spans="1:6" x14ac:dyDescent="0.25">
      <c r="A268" s="30" t="s">
        <v>261</v>
      </c>
      <c r="B268" s="30" t="s">
        <v>138</v>
      </c>
      <c r="C268" s="34">
        <v>459</v>
      </c>
      <c r="D268" s="35">
        <v>52734.49</v>
      </c>
      <c r="E268" s="35">
        <v>27647</v>
      </c>
      <c r="F268" s="35">
        <v>25087.49</v>
      </c>
    </row>
    <row r="269" spans="1:6" x14ac:dyDescent="0.25">
      <c r="A269" s="30" t="s">
        <v>262</v>
      </c>
      <c r="B269" s="30" t="s">
        <v>138</v>
      </c>
      <c r="C269" s="34">
        <v>398</v>
      </c>
      <c r="D269" s="35">
        <v>50871.72</v>
      </c>
      <c r="E269" s="35">
        <v>26420.25</v>
      </c>
      <c r="F269" s="35">
        <v>24451.47</v>
      </c>
    </row>
    <row r="270" spans="1:6" x14ac:dyDescent="0.25">
      <c r="A270" s="30" t="s">
        <v>263</v>
      </c>
      <c r="B270" s="30" t="s">
        <v>138</v>
      </c>
      <c r="C270" s="34">
        <v>400</v>
      </c>
      <c r="D270" s="35">
        <v>54892.62</v>
      </c>
      <c r="E270" s="35">
        <v>31078.78</v>
      </c>
      <c r="F270" s="35">
        <v>23813.84</v>
      </c>
    </row>
    <row r="271" spans="1:6" x14ac:dyDescent="0.25">
      <c r="A271" s="30" t="s">
        <v>264</v>
      </c>
      <c r="B271" s="30" t="s">
        <v>138</v>
      </c>
      <c r="C271" s="34">
        <v>475</v>
      </c>
      <c r="D271" s="35">
        <v>47571.87</v>
      </c>
      <c r="E271" s="35">
        <v>24221.46</v>
      </c>
      <c r="F271" s="35">
        <v>23350.41</v>
      </c>
    </row>
    <row r="272" spans="1:6" x14ac:dyDescent="0.25">
      <c r="A272" s="30" t="s">
        <v>265</v>
      </c>
      <c r="B272" s="30" t="s">
        <v>140</v>
      </c>
      <c r="C272" s="34">
        <v>471</v>
      </c>
      <c r="D272" s="35">
        <v>44405.56</v>
      </c>
      <c r="E272" s="35">
        <v>21797.22</v>
      </c>
      <c r="F272" s="35">
        <v>22608.34</v>
      </c>
    </row>
    <row r="273" spans="1:6" x14ac:dyDescent="0.25">
      <c r="A273" s="30" t="s">
        <v>266</v>
      </c>
      <c r="B273" s="30" t="s">
        <v>137</v>
      </c>
      <c r="C273" s="34">
        <v>454</v>
      </c>
      <c r="D273" s="35">
        <v>61113.09</v>
      </c>
      <c r="E273" s="35">
        <v>38627.69</v>
      </c>
      <c r="F273" s="35">
        <v>22485.4</v>
      </c>
    </row>
    <row r="274" spans="1:6" x14ac:dyDescent="0.25">
      <c r="A274" s="30" t="s">
        <v>267</v>
      </c>
      <c r="B274" s="30" t="s">
        <v>137</v>
      </c>
      <c r="C274" s="34">
        <v>428</v>
      </c>
      <c r="D274" s="35">
        <v>52982.58</v>
      </c>
      <c r="E274" s="35">
        <v>30914.89</v>
      </c>
      <c r="F274" s="35">
        <v>22067.69</v>
      </c>
    </row>
    <row r="275" spans="1:6" x14ac:dyDescent="0.25">
      <c r="A275" s="30" t="s">
        <v>268</v>
      </c>
      <c r="B275" s="30" t="s">
        <v>140</v>
      </c>
      <c r="C275" s="34">
        <v>405</v>
      </c>
      <c r="D275" s="35">
        <v>42281.919999999998</v>
      </c>
      <c r="E275" s="35">
        <v>20238.32</v>
      </c>
      <c r="F275" s="35">
        <v>22043.599999999999</v>
      </c>
    </row>
    <row r="276" spans="1:6" x14ac:dyDescent="0.25">
      <c r="A276" s="30" t="s">
        <v>269</v>
      </c>
      <c r="B276" s="30" t="s">
        <v>139</v>
      </c>
      <c r="C276" s="34">
        <v>417</v>
      </c>
      <c r="D276" s="35">
        <v>63386.68</v>
      </c>
      <c r="E276" s="35">
        <v>42178.52</v>
      </c>
      <c r="F276" s="35">
        <v>21208.16</v>
      </c>
    </row>
    <row r="277" spans="1:6" x14ac:dyDescent="0.25">
      <c r="A277" s="30" t="s">
        <v>270</v>
      </c>
      <c r="B277" s="30" t="s">
        <v>140</v>
      </c>
      <c r="C277" s="34">
        <v>434</v>
      </c>
      <c r="D277" s="35">
        <v>41816.54</v>
      </c>
      <c r="E277" s="35">
        <v>21305.119999999999</v>
      </c>
      <c r="F277" s="35">
        <v>20511.419999999998</v>
      </c>
    </row>
    <row r="278" spans="1:6" x14ac:dyDescent="0.25">
      <c r="A278" s="30" t="s">
        <v>271</v>
      </c>
      <c r="B278" s="30" t="s">
        <v>137</v>
      </c>
      <c r="C278" s="34">
        <v>490</v>
      </c>
      <c r="D278" s="35">
        <v>48959.08</v>
      </c>
      <c r="E278" s="35">
        <v>28751.9</v>
      </c>
      <c r="F278" s="35">
        <v>20207.18</v>
      </c>
    </row>
    <row r="279" spans="1:6" x14ac:dyDescent="0.25">
      <c r="A279" s="30" t="s">
        <v>272</v>
      </c>
      <c r="B279" s="30" t="s">
        <v>137</v>
      </c>
      <c r="C279" s="34">
        <v>433</v>
      </c>
      <c r="D279" s="35">
        <v>49243.71</v>
      </c>
      <c r="E279" s="35">
        <v>29262.14</v>
      </c>
      <c r="F279" s="35">
        <v>19981.57</v>
      </c>
    </row>
    <row r="280" spans="1:6" x14ac:dyDescent="0.25">
      <c r="A280" s="30" t="s">
        <v>273</v>
      </c>
      <c r="B280" s="30" t="s">
        <v>138</v>
      </c>
      <c r="C280" s="34">
        <v>452</v>
      </c>
      <c r="D280" s="35">
        <v>46911.17</v>
      </c>
      <c r="E280" s="35">
        <v>28462.44</v>
      </c>
      <c r="F280" s="35">
        <v>18448.73</v>
      </c>
    </row>
    <row r="281" spans="1:6" x14ac:dyDescent="0.25">
      <c r="A281" s="30" t="s">
        <v>274</v>
      </c>
      <c r="B281" s="30" t="s">
        <v>137</v>
      </c>
      <c r="C281" s="34">
        <v>480</v>
      </c>
      <c r="D281" s="35">
        <v>41450.67</v>
      </c>
      <c r="E281" s="35">
        <v>23758.58</v>
      </c>
      <c r="F281" s="35">
        <v>17692.09</v>
      </c>
    </row>
    <row r="282" spans="1:6" x14ac:dyDescent="0.25">
      <c r="A282" s="30" t="s">
        <v>275</v>
      </c>
      <c r="B282" s="30" t="s">
        <v>139</v>
      </c>
      <c r="C282" s="34">
        <v>418</v>
      </c>
      <c r="D282" s="35">
        <v>52201.32</v>
      </c>
      <c r="E282" s="35">
        <v>34602.04</v>
      </c>
      <c r="F282" s="35">
        <v>17599.28</v>
      </c>
    </row>
    <row r="283" spans="1:6" x14ac:dyDescent="0.25">
      <c r="A283" s="30" t="s">
        <v>276</v>
      </c>
      <c r="B283" s="30" t="s">
        <v>138</v>
      </c>
      <c r="C283" s="34">
        <v>479</v>
      </c>
      <c r="D283" s="35">
        <v>37077.269999999997</v>
      </c>
      <c r="E283" s="35">
        <v>19897.95</v>
      </c>
      <c r="F283" s="35">
        <v>17179.32</v>
      </c>
    </row>
    <row r="284" spans="1:6" x14ac:dyDescent="0.25">
      <c r="A284" s="30" t="s">
        <v>277</v>
      </c>
      <c r="B284" s="30" t="s">
        <v>138</v>
      </c>
      <c r="C284" s="34">
        <v>418</v>
      </c>
      <c r="D284" s="35">
        <v>34656.019999999997</v>
      </c>
      <c r="E284" s="35">
        <v>17861.57</v>
      </c>
      <c r="F284" s="35">
        <v>16794.45</v>
      </c>
    </row>
    <row r="285" spans="1:6" x14ac:dyDescent="0.25">
      <c r="A285" s="30" t="s">
        <v>278</v>
      </c>
      <c r="B285" s="30" t="s">
        <v>137</v>
      </c>
      <c r="C285" s="34">
        <v>405</v>
      </c>
      <c r="D285" s="35">
        <v>38528.449999999997</v>
      </c>
      <c r="E285" s="35">
        <v>21942.9</v>
      </c>
      <c r="F285" s="35">
        <v>16585.55</v>
      </c>
    </row>
    <row r="286" spans="1:6" x14ac:dyDescent="0.25">
      <c r="A286" s="30" t="s">
        <v>279</v>
      </c>
      <c r="B286" s="30" t="s">
        <v>138</v>
      </c>
      <c r="C286" s="34">
        <v>456</v>
      </c>
      <c r="D286" s="35">
        <v>34855.21</v>
      </c>
      <c r="E286" s="35">
        <v>18758.419999999998</v>
      </c>
      <c r="F286" s="35">
        <v>16096.79</v>
      </c>
    </row>
    <row r="287" spans="1:6" x14ac:dyDescent="0.25">
      <c r="A287" s="30" t="s">
        <v>280</v>
      </c>
      <c r="B287" s="30" t="s">
        <v>138</v>
      </c>
      <c r="C287" s="34">
        <v>501</v>
      </c>
      <c r="D287" s="35">
        <v>30139.9</v>
      </c>
      <c r="E287" s="35">
        <v>15695.74</v>
      </c>
      <c r="F287" s="35">
        <v>14444.16</v>
      </c>
    </row>
    <row r="288" spans="1:6" x14ac:dyDescent="0.25">
      <c r="A288" s="30" t="s">
        <v>281</v>
      </c>
      <c r="B288" s="30" t="s">
        <v>138</v>
      </c>
      <c r="C288" s="34">
        <v>431</v>
      </c>
      <c r="D288" s="35">
        <v>31325.35</v>
      </c>
      <c r="E288" s="35">
        <v>17262.7</v>
      </c>
      <c r="F288" s="35">
        <v>14062.65</v>
      </c>
    </row>
    <row r="289" spans="1:8" x14ac:dyDescent="0.25">
      <c r="A289" s="30" t="s">
        <v>282</v>
      </c>
      <c r="B289" s="30" t="s">
        <v>137</v>
      </c>
      <c r="C289" s="34">
        <v>461</v>
      </c>
      <c r="D289" s="35">
        <v>29076.799999999999</v>
      </c>
      <c r="E289" s="35">
        <v>16440.669999999998</v>
      </c>
      <c r="F289" s="35">
        <v>12636.13</v>
      </c>
    </row>
    <row r="290" spans="1:8" x14ac:dyDescent="0.25">
      <c r="A290" s="30" t="s">
        <v>283</v>
      </c>
      <c r="B290" s="30" t="s">
        <v>137</v>
      </c>
      <c r="C290" s="34">
        <v>489</v>
      </c>
      <c r="D290" s="35">
        <v>31656.16</v>
      </c>
      <c r="E290" s="35">
        <v>19170.29</v>
      </c>
      <c r="F290" s="35">
        <v>12485.87</v>
      </c>
    </row>
    <row r="291" spans="1:8" x14ac:dyDescent="0.25">
      <c r="A291" s="30" t="s">
        <v>284</v>
      </c>
      <c r="B291" s="30" t="s">
        <v>138</v>
      </c>
      <c r="C291" s="34">
        <v>460</v>
      </c>
      <c r="D291" s="35">
        <v>24119.83</v>
      </c>
      <c r="E291" s="35">
        <v>12860.25</v>
      </c>
      <c r="F291" s="35">
        <v>11259.58</v>
      </c>
    </row>
    <row r="292" spans="1:8" x14ac:dyDescent="0.25">
      <c r="A292" s="30" t="s">
        <v>285</v>
      </c>
      <c r="B292" s="30" t="s">
        <v>138</v>
      </c>
      <c r="C292" s="34">
        <v>409</v>
      </c>
      <c r="D292" s="35">
        <v>25530.59</v>
      </c>
      <c r="E292" s="35">
        <v>14459.22</v>
      </c>
      <c r="F292" s="35">
        <v>11071.37</v>
      </c>
    </row>
    <row r="293" spans="1:8" x14ac:dyDescent="0.25">
      <c r="A293" s="30" t="s">
        <v>286</v>
      </c>
      <c r="B293" s="30" t="s">
        <v>138</v>
      </c>
      <c r="C293" s="34">
        <v>410</v>
      </c>
      <c r="D293" s="35">
        <v>22597.439999999999</v>
      </c>
      <c r="E293" s="35">
        <v>11693.26</v>
      </c>
      <c r="F293" s="35">
        <v>10904.18</v>
      </c>
    </row>
    <row r="294" spans="1:8" x14ac:dyDescent="0.25">
      <c r="A294" s="30" t="s">
        <v>287</v>
      </c>
      <c r="B294" s="30" t="s">
        <v>138</v>
      </c>
      <c r="C294" s="34">
        <v>498</v>
      </c>
      <c r="D294" s="35">
        <v>24571.78</v>
      </c>
      <c r="E294" s="35">
        <v>14944.98</v>
      </c>
      <c r="F294" s="35">
        <v>9626.7999999999993</v>
      </c>
    </row>
    <row r="295" spans="1:8" x14ac:dyDescent="0.25">
      <c r="A295" s="30" t="s">
        <v>288</v>
      </c>
      <c r="B295" s="30" t="s">
        <v>138</v>
      </c>
      <c r="C295" s="34">
        <v>423</v>
      </c>
      <c r="D295" s="35">
        <v>23346.94</v>
      </c>
      <c r="E295" s="35">
        <v>14297.36</v>
      </c>
      <c r="F295" s="35">
        <v>9049.58</v>
      </c>
    </row>
    <row r="298" spans="1:8" ht="19.5" customHeight="1" x14ac:dyDescent="0.25">
      <c r="A298" s="6" t="s">
        <v>289</v>
      </c>
      <c r="B298" s="6"/>
      <c r="C298" s="6"/>
      <c r="D298" s="6"/>
      <c r="E298" s="6"/>
      <c r="F298" s="6"/>
      <c r="G298" s="6"/>
      <c r="H298" s="6"/>
    </row>
    <row r="299" spans="1:8" x14ac:dyDescent="0.25">
      <c r="A299" s="33" t="s">
        <v>290</v>
      </c>
      <c r="B299" s="33" t="s">
        <v>170</v>
      </c>
    </row>
    <row r="300" spans="1:8" x14ac:dyDescent="0.25">
      <c r="A300" s="30" t="s">
        <v>291</v>
      </c>
      <c r="B300" s="37">
        <v>7.3</v>
      </c>
    </row>
    <row r="301" spans="1:8" x14ac:dyDescent="0.25">
      <c r="A301" s="30" t="s">
        <v>292</v>
      </c>
      <c r="B301" s="37">
        <v>7.8</v>
      </c>
    </row>
    <row r="302" spans="1:8" x14ac:dyDescent="0.25">
      <c r="A302" s="30" t="s">
        <v>293</v>
      </c>
      <c r="B302" s="37">
        <v>0</v>
      </c>
    </row>
    <row r="303" spans="1:8" x14ac:dyDescent="0.25">
      <c r="A303" s="30" t="s">
        <v>294</v>
      </c>
      <c r="B303" s="37">
        <v>15</v>
      </c>
    </row>
    <row r="304" spans="1:8" x14ac:dyDescent="0.25">
      <c r="A304" s="30" t="s">
        <v>295</v>
      </c>
      <c r="B304" s="37">
        <v>705</v>
      </c>
    </row>
    <row r="307" spans="1:8" ht="19.5" customHeight="1" x14ac:dyDescent="0.25">
      <c r="A307" s="6" t="s">
        <v>296</v>
      </c>
      <c r="B307" s="6"/>
      <c r="C307" s="6"/>
      <c r="D307" s="6"/>
      <c r="E307" s="6"/>
      <c r="F307" s="6"/>
      <c r="G307" s="6"/>
      <c r="H307" s="6"/>
    </row>
    <row r="308" spans="1:8" x14ac:dyDescent="0.25">
      <c r="A308" s="33" t="s">
        <v>290</v>
      </c>
      <c r="B308" s="33" t="s">
        <v>170</v>
      </c>
    </row>
    <row r="309" spans="1:8" x14ac:dyDescent="0.25">
      <c r="A309" s="30" t="s">
        <v>297</v>
      </c>
      <c r="B309" s="37">
        <v>1.2</v>
      </c>
    </row>
    <row r="310" spans="1:8" x14ac:dyDescent="0.25">
      <c r="A310" s="30" t="s">
        <v>298</v>
      </c>
      <c r="B310" s="37">
        <v>1.5</v>
      </c>
    </row>
    <row r="311" spans="1:8" x14ac:dyDescent="0.25">
      <c r="A311" s="30" t="s">
        <v>299</v>
      </c>
      <c r="B311" s="37">
        <v>17</v>
      </c>
    </row>
    <row r="312" spans="1:8" x14ac:dyDescent="0.25">
      <c r="A312" s="30" t="s">
        <v>300</v>
      </c>
      <c r="B312" s="37">
        <v>17.8</v>
      </c>
    </row>
    <row r="313" spans="1:8" x14ac:dyDescent="0.25">
      <c r="A313" s="30" t="s">
        <v>301</v>
      </c>
      <c r="B313" s="37">
        <v>15.8</v>
      </c>
    </row>
    <row r="316" spans="1:8" ht="19.5" customHeight="1" x14ac:dyDescent="0.25">
      <c r="A316" s="6" t="s">
        <v>302</v>
      </c>
      <c r="B316" s="6"/>
      <c r="C316" s="6"/>
      <c r="D316" s="6"/>
      <c r="E316" s="6"/>
      <c r="F316" s="6"/>
      <c r="G316" s="6"/>
      <c r="H316" s="6"/>
    </row>
    <row r="317" spans="1:8" x14ac:dyDescent="0.25">
      <c r="A317" s="33" t="s">
        <v>123</v>
      </c>
      <c r="B317" s="33" t="s">
        <v>303</v>
      </c>
      <c r="C317" s="33" t="s">
        <v>304</v>
      </c>
      <c r="D317" s="33" t="s">
        <v>305</v>
      </c>
      <c r="E317" s="33" t="s">
        <v>306</v>
      </c>
      <c r="F317" s="33" t="s">
        <v>307</v>
      </c>
      <c r="G317" s="33" t="s">
        <v>308</v>
      </c>
    </row>
    <row r="318" spans="1:8" x14ac:dyDescent="0.25">
      <c r="A318" s="30" t="s">
        <v>135</v>
      </c>
      <c r="B318" s="30">
        <v>2023</v>
      </c>
      <c r="C318" s="30">
        <v>1</v>
      </c>
      <c r="D318" s="30">
        <v>1</v>
      </c>
      <c r="E318" s="30" t="s">
        <v>78</v>
      </c>
      <c r="F318" s="30" t="s">
        <v>309</v>
      </c>
      <c r="G318" s="30" t="b">
        <f>FALSE()</f>
        <v>0</v>
      </c>
    </row>
    <row r="319" spans="1:8" x14ac:dyDescent="0.25">
      <c r="A319" s="30" t="s">
        <v>144</v>
      </c>
      <c r="B319" s="30">
        <v>2023</v>
      </c>
      <c r="C319" s="30">
        <v>1</v>
      </c>
      <c r="D319" s="30">
        <v>2</v>
      </c>
      <c r="E319" s="30" t="s">
        <v>310</v>
      </c>
      <c r="F319" s="30" t="s">
        <v>309</v>
      </c>
      <c r="G319" s="30" t="b">
        <f>FALSE()</f>
        <v>0</v>
      </c>
    </row>
    <row r="320" spans="1:8" x14ac:dyDescent="0.25">
      <c r="A320" s="30" t="s">
        <v>145</v>
      </c>
      <c r="B320" s="30">
        <v>2023</v>
      </c>
      <c r="C320" s="30">
        <v>1</v>
      </c>
      <c r="D320" s="30">
        <v>3</v>
      </c>
      <c r="E320" s="30" t="s">
        <v>82</v>
      </c>
      <c r="F320" s="30" t="s">
        <v>309</v>
      </c>
      <c r="G320" s="30" t="b">
        <f>FALSE()</f>
        <v>0</v>
      </c>
    </row>
    <row r="321" spans="1:7" x14ac:dyDescent="0.25">
      <c r="A321" s="30" t="s">
        <v>146</v>
      </c>
      <c r="B321" s="30">
        <v>2023</v>
      </c>
      <c r="C321" s="30">
        <v>2</v>
      </c>
      <c r="D321" s="30">
        <v>4</v>
      </c>
      <c r="E321" s="30" t="s">
        <v>311</v>
      </c>
      <c r="F321" s="30" t="s">
        <v>312</v>
      </c>
      <c r="G321" s="30" t="b">
        <f>FALSE()</f>
        <v>0</v>
      </c>
    </row>
    <row r="322" spans="1:7" x14ac:dyDescent="0.25">
      <c r="A322" s="30" t="s">
        <v>147</v>
      </c>
      <c r="B322" s="30">
        <v>2023</v>
      </c>
      <c r="C322" s="30">
        <v>2</v>
      </c>
      <c r="D322" s="30">
        <v>5</v>
      </c>
      <c r="E322" s="30" t="s">
        <v>313</v>
      </c>
      <c r="F322" s="30" t="s">
        <v>312</v>
      </c>
      <c r="G322" s="30" t="b">
        <f>TRUE()</f>
        <v>1</v>
      </c>
    </row>
    <row r="323" spans="1:7" x14ac:dyDescent="0.25">
      <c r="A323" s="30" t="s">
        <v>148</v>
      </c>
      <c r="B323" s="30">
        <v>2023</v>
      </c>
      <c r="C323" s="30">
        <v>2</v>
      </c>
      <c r="D323" s="30">
        <v>6</v>
      </c>
      <c r="E323" s="30" t="s">
        <v>88</v>
      </c>
      <c r="F323" s="30" t="s">
        <v>312</v>
      </c>
      <c r="G323" s="30" t="b">
        <f>FALSE()</f>
        <v>0</v>
      </c>
    </row>
    <row r="324" spans="1:7" x14ac:dyDescent="0.25">
      <c r="A324" s="30" t="s">
        <v>149</v>
      </c>
      <c r="B324" s="30">
        <v>2023</v>
      </c>
      <c r="C324" s="30">
        <v>3</v>
      </c>
      <c r="D324" s="30">
        <v>7</v>
      </c>
      <c r="E324" s="30" t="s">
        <v>314</v>
      </c>
      <c r="F324" s="30" t="s">
        <v>315</v>
      </c>
      <c r="G324" s="30" t="b">
        <f>FALSE()</f>
        <v>0</v>
      </c>
    </row>
    <row r="325" spans="1:7" x14ac:dyDescent="0.25">
      <c r="A325" s="30" t="s">
        <v>150</v>
      </c>
      <c r="B325" s="30">
        <v>2023</v>
      </c>
      <c r="C325" s="30">
        <v>3</v>
      </c>
      <c r="D325" s="30">
        <v>8</v>
      </c>
      <c r="E325" s="30" t="s">
        <v>316</v>
      </c>
      <c r="F325" s="30" t="s">
        <v>315</v>
      </c>
      <c r="G325" s="30" t="b">
        <f>FALSE()</f>
        <v>0</v>
      </c>
    </row>
    <row r="326" spans="1:7" x14ac:dyDescent="0.25">
      <c r="A326" s="30" t="s">
        <v>151</v>
      </c>
      <c r="B326" s="30">
        <v>2023</v>
      </c>
      <c r="C326" s="30">
        <v>3</v>
      </c>
      <c r="D326" s="30">
        <v>9</v>
      </c>
      <c r="E326" s="30" t="s">
        <v>317</v>
      </c>
      <c r="F326" s="30" t="s">
        <v>315</v>
      </c>
      <c r="G326" s="30" t="b">
        <f>FALSE()</f>
        <v>0</v>
      </c>
    </row>
    <row r="327" spans="1:7" x14ac:dyDescent="0.25">
      <c r="A327" s="30" t="s">
        <v>152</v>
      </c>
      <c r="B327" s="30">
        <v>2023</v>
      </c>
      <c r="C327" s="30">
        <v>4</v>
      </c>
      <c r="D327" s="30">
        <v>10</v>
      </c>
      <c r="E327" s="30" t="s">
        <v>318</v>
      </c>
      <c r="F327" s="30" t="s">
        <v>319</v>
      </c>
      <c r="G327" s="30" t="b">
        <f>FALSE()</f>
        <v>0</v>
      </c>
    </row>
    <row r="328" spans="1:7" x14ac:dyDescent="0.25">
      <c r="A328" s="30" t="s">
        <v>153</v>
      </c>
      <c r="B328" s="30">
        <v>2023</v>
      </c>
      <c r="C328" s="30">
        <v>4</v>
      </c>
      <c r="D328" s="30">
        <v>11</v>
      </c>
      <c r="E328" s="30" t="s">
        <v>320</v>
      </c>
      <c r="F328" s="30" t="s">
        <v>319</v>
      </c>
      <c r="G328" s="30" t="b">
        <f>TRUE()</f>
        <v>1</v>
      </c>
    </row>
    <row r="329" spans="1:7" x14ac:dyDescent="0.25">
      <c r="A329" s="30" t="s">
        <v>154</v>
      </c>
      <c r="B329" s="30">
        <v>2023</v>
      </c>
      <c r="C329" s="30">
        <v>4</v>
      </c>
      <c r="D329" s="30">
        <v>12</v>
      </c>
      <c r="E329" s="30" t="s">
        <v>321</v>
      </c>
      <c r="F329" s="30" t="s">
        <v>319</v>
      </c>
      <c r="G329" s="30" t="b">
        <f>TRUE()</f>
        <v>1</v>
      </c>
    </row>
    <row r="330" spans="1:7" x14ac:dyDescent="0.25">
      <c r="A330" s="30" t="s">
        <v>155</v>
      </c>
      <c r="B330" s="30">
        <v>2024</v>
      </c>
      <c r="C330" s="30">
        <v>1</v>
      </c>
      <c r="D330" s="30">
        <v>1</v>
      </c>
      <c r="E330" s="30" t="s">
        <v>78</v>
      </c>
      <c r="F330" s="30" t="s">
        <v>322</v>
      </c>
      <c r="G330" s="30" t="b">
        <f>FALSE()</f>
        <v>0</v>
      </c>
    </row>
    <row r="331" spans="1:7" x14ac:dyDescent="0.25">
      <c r="A331" s="30" t="s">
        <v>156</v>
      </c>
      <c r="B331" s="30">
        <v>2024</v>
      </c>
      <c r="C331" s="30">
        <v>1</v>
      </c>
      <c r="D331" s="30">
        <v>2</v>
      </c>
      <c r="E331" s="30" t="s">
        <v>310</v>
      </c>
      <c r="F331" s="30" t="s">
        <v>322</v>
      </c>
      <c r="G331" s="30" t="b">
        <f>FALSE()</f>
        <v>0</v>
      </c>
    </row>
    <row r="332" spans="1:7" x14ac:dyDescent="0.25">
      <c r="A332" s="30" t="s">
        <v>157</v>
      </c>
      <c r="B332" s="30">
        <v>2024</v>
      </c>
      <c r="C332" s="30">
        <v>1</v>
      </c>
      <c r="D332" s="30">
        <v>3</v>
      </c>
      <c r="E332" s="30" t="s">
        <v>82</v>
      </c>
      <c r="F332" s="30" t="s">
        <v>322</v>
      </c>
      <c r="G332" s="30" t="b">
        <f>FALSE()</f>
        <v>0</v>
      </c>
    </row>
    <row r="333" spans="1:7" x14ac:dyDescent="0.25">
      <c r="A333" s="30" t="s">
        <v>158</v>
      </c>
      <c r="B333" s="30">
        <v>2024</v>
      </c>
      <c r="C333" s="30">
        <v>2</v>
      </c>
      <c r="D333" s="30">
        <v>4</v>
      </c>
      <c r="E333" s="30" t="s">
        <v>311</v>
      </c>
      <c r="F333" s="30" t="s">
        <v>323</v>
      </c>
      <c r="G333" s="30" t="b">
        <f>FALSE()</f>
        <v>0</v>
      </c>
    </row>
    <row r="334" spans="1:7" x14ac:dyDescent="0.25">
      <c r="A334" s="30" t="s">
        <v>159</v>
      </c>
      <c r="B334" s="30">
        <v>2024</v>
      </c>
      <c r="C334" s="30">
        <v>2</v>
      </c>
      <c r="D334" s="30">
        <v>5</v>
      </c>
      <c r="E334" s="30" t="s">
        <v>313</v>
      </c>
      <c r="F334" s="30" t="s">
        <v>323</v>
      </c>
      <c r="G334" s="30" t="b">
        <f>TRUE()</f>
        <v>1</v>
      </c>
    </row>
    <row r="335" spans="1:7" x14ac:dyDescent="0.25">
      <c r="A335" s="30" t="s">
        <v>160</v>
      </c>
      <c r="B335" s="30">
        <v>2024</v>
      </c>
      <c r="C335" s="30">
        <v>2</v>
      </c>
      <c r="D335" s="30">
        <v>6</v>
      </c>
      <c r="E335" s="30" t="s">
        <v>88</v>
      </c>
      <c r="F335" s="30" t="s">
        <v>323</v>
      </c>
      <c r="G335" s="30" t="b">
        <f>FALSE()</f>
        <v>0</v>
      </c>
    </row>
    <row r="336" spans="1:7" x14ac:dyDescent="0.25">
      <c r="A336" s="30" t="s">
        <v>161</v>
      </c>
      <c r="B336" s="30">
        <v>2024</v>
      </c>
      <c r="C336" s="30">
        <v>3</v>
      </c>
      <c r="D336" s="30">
        <v>7</v>
      </c>
      <c r="E336" s="30" t="s">
        <v>314</v>
      </c>
      <c r="F336" s="30" t="s">
        <v>324</v>
      </c>
      <c r="G336" s="30" t="b">
        <f>FALSE()</f>
        <v>0</v>
      </c>
    </row>
    <row r="337" spans="1:7" x14ac:dyDescent="0.25">
      <c r="A337" s="30" t="s">
        <v>162</v>
      </c>
      <c r="B337" s="30">
        <v>2024</v>
      </c>
      <c r="C337" s="30">
        <v>3</v>
      </c>
      <c r="D337" s="30">
        <v>8</v>
      </c>
      <c r="E337" s="30" t="s">
        <v>316</v>
      </c>
      <c r="F337" s="30" t="s">
        <v>324</v>
      </c>
      <c r="G337" s="30" t="b">
        <f>FALSE()</f>
        <v>0</v>
      </c>
    </row>
    <row r="338" spans="1:7" x14ac:dyDescent="0.25">
      <c r="A338" s="30" t="s">
        <v>163</v>
      </c>
      <c r="B338" s="30">
        <v>2024</v>
      </c>
      <c r="C338" s="30">
        <v>3</v>
      </c>
      <c r="D338" s="30">
        <v>9</v>
      </c>
      <c r="E338" s="30" t="s">
        <v>317</v>
      </c>
      <c r="F338" s="30" t="s">
        <v>324</v>
      </c>
      <c r="G338" s="30" t="b">
        <f>FALSE()</f>
        <v>0</v>
      </c>
    </row>
    <row r="339" spans="1:7" x14ac:dyDescent="0.25">
      <c r="A339" s="30" t="s">
        <v>164</v>
      </c>
      <c r="B339" s="30">
        <v>2024</v>
      </c>
      <c r="C339" s="30">
        <v>4</v>
      </c>
      <c r="D339" s="30">
        <v>10</v>
      </c>
      <c r="E339" s="30" t="s">
        <v>318</v>
      </c>
      <c r="F339" s="30" t="s">
        <v>325</v>
      </c>
      <c r="G339" s="30" t="b">
        <f>FALSE()</f>
        <v>0</v>
      </c>
    </row>
    <row r="340" spans="1:7" x14ac:dyDescent="0.25">
      <c r="A340" s="30" t="s">
        <v>165</v>
      </c>
      <c r="B340" s="30">
        <v>2024</v>
      </c>
      <c r="C340" s="30">
        <v>4</v>
      </c>
      <c r="D340" s="30">
        <v>11</v>
      </c>
      <c r="E340" s="30" t="s">
        <v>320</v>
      </c>
      <c r="F340" s="30" t="s">
        <v>325</v>
      </c>
      <c r="G340" s="30" t="b">
        <f>TRUE()</f>
        <v>1</v>
      </c>
    </row>
    <row r="341" spans="1:7" x14ac:dyDescent="0.25">
      <c r="A341" s="30" t="s">
        <v>166</v>
      </c>
      <c r="B341" s="30">
        <v>2024</v>
      </c>
      <c r="C341" s="30">
        <v>4</v>
      </c>
      <c r="D341" s="30">
        <v>12</v>
      </c>
      <c r="E341" s="30" t="s">
        <v>321</v>
      </c>
      <c r="F341" s="30" t="s">
        <v>325</v>
      </c>
      <c r="G341" s="30" t="b">
        <f>TRUE()</f>
        <v>1</v>
      </c>
    </row>
  </sheetData>
  <mergeCells count="11">
    <mergeCell ref="A316:H316"/>
    <mergeCell ref="A220:H220"/>
    <mergeCell ref="A228:H228"/>
    <mergeCell ref="A236:H236"/>
    <mergeCell ref="A298:H298"/>
    <mergeCell ref="A307:H307"/>
    <mergeCell ref="A1:H1"/>
    <mergeCell ref="A2:H2"/>
    <mergeCell ref="A4:H4"/>
    <mergeCell ref="A104:H104"/>
    <mergeCell ref="A204:H20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showGridLines="0" zoomScaleNormal="100" workbookViewId="0">
      <pane xSplit="1" ySplit="5" topLeftCell="B21" activePane="bottomRight" state="frozen"/>
      <selection pane="topRight" activeCell="B1" sqref="B1"/>
      <selection pane="bottomLeft" activeCell="A6" sqref="A6"/>
      <selection pane="bottomRight" sqref="A1:Z1"/>
    </sheetView>
  </sheetViews>
  <sheetFormatPr defaultColWidth="8.7109375" defaultRowHeight="15" x14ac:dyDescent="0.25"/>
  <cols>
    <col min="1" max="1" width="38" customWidth="1"/>
    <col min="2" max="25" width="13" customWidth="1"/>
    <col min="26" max="26" width="15" customWidth="1"/>
  </cols>
  <sheetData>
    <row r="1" spans="1:26" ht="27.75" customHeight="1" x14ac:dyDescent="0.25">
      <c r="A1" s="8" t="s">
        <v>326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7" t="s">
        <v>327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4" spans="1:26" ht="21.75" customHeight="1" x14ac:dyDescent="0.25">
      <c r="A4" s="4" t="s">
        <v>328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38" t="s">
        <v>329</v>
      </c>
      <c r="B5" s="39" t="s">
        <v>135</v>
      </c>
      <c r="C5" s="39" t="s">
        <v>144</v>
      </c>
      <c r="D5" s="39" t="s">
        <v>145</v>
      </c>
      <c r="E5" s="39" t="s">
        <v>146</v>
      </c>
      <c r="F5" s="39" t="s">
        <v>147</v>
      </c>
      <c r="G5" s="39" t="s">
        <v>148</v>
      </c>
      <c r="H5" s="39" t="s">
        <v>149</v>
      </c>
      <c r="I5" s="39" t="s">
        <v>150</v>
      </c>
      <c r="J5" s="39" t="s">
        <v>151</v>
      </c>
      <c r="K5" s="39" t="s">
        <v>152</v>
      </c>
      <c r="L5" s="39" t="s">
        <v>153</v>
      </c>
      <c r="M5" s="39" t="s">
        <v>154</v>
      </c>
      <c r="N5" s="39" t="s">
        <v>155</v>
      </c>
      <c r="O5" s="39" t="s">
        <v>156</v>
      </c>
      <c r="P5" s="39" t="s">
        <v>157</v>
      </c>
      <c r="Q5" s="39" t="s">
        <v>158</v>
      </c>
      <c r="R5" s="39" t="s">
        <v>159</v>
      </c>
      <c r="S5" s="39" t="s">
        <v>160</v>
      </c>
      <c r="T5" s="39" t="s">
        <v>161</v>
      </c>
      <c r="U5" s="39" t="s">
        <v>162</v>
      </c>
      <c r="V5" s="39" t="s">
        <v>163</v>
      </c>
      <c r="W5" s="39" t="s">
        <v>164</v>
      </c>
      <c r="X5" s="39" t="s">
        <v>165</v>
      </c>
      <c r="Y5" s="39" t="s">
        <v>166</v>
      </c>
      <c r="Z5" s="40" t="s">
        <v>330</v>
      </c>
    </row>
    <row r="6" spans="1:26" x14ac:dyDescent="0.25">
      <c r="A6" s="41" t="s">
        <v>331</v>
      </c>
      <c r="B6" s="42">
        <f>SUMIFS('03_Base_Vendas'!$F$4:$F$387, '03_Base_Vendas'!$A$4:$A$387, B$5)</f>
        <v>171628.88</v>
      </c>
      <c r="C6" s="42">
        <f>SUMIFS('03_Base_Vendas'!$F$4:$F$387, '03_Base_Vendas'!$A$4:$A$387, C$5)</f>
        <v>144550.49</v>
      </c>
      <c r="D6" s="42">
        <f>SUMIFS('03_Base_Vendas'!$F$4:$F$387, '03_Base_Vendas'!$A$4:$A$387, D$5)</f>
        <v>173089.52000000002</v>
      </c>
      <c r="E6" s="42">
        <f>SUMIFS('03_Base_Vendas'!$F$4:$F$387, '03_Base_Vendas'!$A$4:$A$387, E$5)</f>
        <v>159990.01999999999</v>
      </c>
      <c r="F6" s="42">
        <f>SUMIFS('03_Base_Vendas'!$F$4:$F$387, '03_Base_Vendas'!$A$4:$A$387, F$5)</f>
        <v>221309.94000000003</v>
      </c>
      <c r="G6" s="42">
        <f>SUMIFS('03_Base_Vendas'!$F$4:$F$387, '03_Base_Vendas'!$A$4:$A$387, G$5)</f>
        <v>191441.59</v>
      </c>
      <c r="H6" s="42">
        <f>SUMIFS('03_Base_Vendas'!$F$4:$F$387, '03_Base_Vendas'!$A$4:$A$387, H$5)</f>
        <v>145485.13999999998</v>
      </c>
      <c r="I6" s="42">
        <f>SUMIFS('03_Base_Vendas'!$F$4:$F$387, '03_Base_Vendas'!$A$4:$A$387, I$5)</f>
        <v>149405.38999999998</v>
      </c>
      <c r="J6" s="42">
        <f>SUMIFS('03_Base_Vendas'!$F$4:$F$387, '03_Base_Vendas'!$A$4:$A$387, J$5)</f>
        <v>153586.26000000004</v>
      </c>
      <c r="K6" s="42">
        <f>SUMIFS('03_Base_Vendas'!$F$4:$F$387, '03_Base_Vendas'!$A$4:$A$387, K$5)</f>
        <v>172213.87</v>
      </c>
      <c r="L6" s="42">
        <f>SUMIFS('03_Base_Vendas'!$F$4:$F$387, '03_Base_Vendas'!$A$4:$A$387, L$5)</f>
        <v>235411.18</v>
      </c>
      <c r="M6" s="42">
        <f>SUMIFS('03_Base_Vendas'!$F$4:$F$387, '03_Base_Vendas'!$A$4:$A$387, M$5)</f>
        <v>224317.38999999998</v>
      </c>
      <c r="N6" s="42">
        <f>SUMIFS('03_Base_Vendas'!$F$4:$F$387, '03_Base_Vendas'!$A$4:$A$387, N$5)</f>
        <v>201933.53999999998</v>
      </c>
      <c r="O6" s="42">
        <f>SUMIFS('03_Base_Vendas'!$F$4:$F$387, '03_Base_Vendas'!$A$4:$A$387, O$5)</f>
        <v>165772.94</v>
      </c>
      <c r="P6" s="42">
        <f>SUMIFS('03_Base_Vendas'!$F$4:$F$387, '03_Base_Vendas'!$A$4:$A$387, P$5)</f>
        <v>194795.81999999998</v>
      </c>
      <c r="Q6" s="42">
        <f>SUMIFS('03_Base_Vendas'!$F$4:$F$387, '03_Base_Vendas'!$A$4:$A$387, Q$5)</f>
        <v>165139.18</v>
      </c>
      <c r="R6" s="42">
        <f>SUMIFS('03_Base_Vendas'!$F$4:$F$387, '03_Base_Vendas'!$A$4:$A$387, R$5)</f>
        <v>240562.79000000004</v>
      </c>
      <c r="S6" s="42">
        <f>SUMIFS('03_Base_Vendas'!$F$4:$F$387, '03_Base_Vendas'!$A$4:$A$387, S$5)</f>
        <v>212135.27999999997</v>
      </c>
      <c r="T6" s="42">
        <f>SUMIFS('03_Base_Vendas'!$F$4:$F$387, '03_Base_Vendas'!$A$4:$A$387, T$5)</f>
        <v>179268.62999999998</v>
      </c>
      <c r="U6" s="42">
        <f>SUMIFS('03_Base_Vendas'!$F$4:$F$387, '03_Base_Vendas'!$A$4:$A$387, U$5)</f>
        <v>171895.95999999996</v>
      </c>
      <c r="V6" s="42">
        <f>SUMIFS('03_Base_Vendas'!$F$4:$F$387, '03_Base_Vendas'!$A$4:$A$387, V$5)</f>
        <v>180005.63</v>
      </c>
      <c r="W6" s="42">
        <f>SUMIFS('03_Base_Vendas'!$F$4:$F$387, '03_Base_Vendas'!$A$4:$A$387, W$5)</f>
        <v>192023.15000000002</v>
      </c>
      <c r="X6" s="42">
        <f>SUMIFS('03_Base_Vendas'!$F$4:$F$387, '03_Base_Vendas'!$A$4:$A$387, X$5)</f>
        <v>278690.48</v>
      </c>
      <c r="Y6" s="42">
        <f>SUMIFS('03_Base_Vendas'!$F$4:$F$387, '03_Base_Vendas'!$A$4:$A$387, Y$5)</f>
        <v>216126.53999999998</v>
      </c>
      <c r="Z6" s="43">
        <f t="shared" ref="Z6:Z11" si="0">SUM(B6:Y6)</f>
        <v>4540779.6099999994</v>
      </c>
    </row>
    <row r="7" spans="1:26" x14ac:dyDescent="0.25">
      <c r="A7" s="41" t="s">
        <v>332</v>
      </c>
      <c r="B7" s="42">
        <f>SUMIFS('03_Base_Vendas'!$G$4:$G$387, '03_Base_Vendas'!$A$4:$A$387, B$5)</f>
        <v>5827.1900000000005</v>
      </c>
      <c r="C7" s="42">
        <f>SUMIFS('03_Base_Vendas'!$G$4:$G$387, '03_Base_Vendas'!$A$4:$A$387, C$5)</f>
        <v>8046.6600000000008</v>
      </c>
      <c r="D7" s="42">
        <f>SUMIFS('03_Base_Vendas'!$G$4:$G$387, '03_Base_Vendas'!$A$4:$A$387, D$5)</f>
        <v>5842.2499999999991</v>
      </c>
      <c r="E7" s="42">
        <f>SUMIFS('03_Base_Vendas'!$G$4:$G$387, '03_Base_Vendas'!$A$4:$A$387, E$5)</f>
        <v>6773.9900000000007</v>
      </c>
      <c r="F7" s="42">
        <f>SUMIFS('03_Base_Vendas'!$G$4:$G$387, '03_Base_Vendas'!$A$4:$A$387, F$5)</f>
        <v>7918.41</v>
      </c>
      <c r="G7" s="42">
        <f>SUMIFS('03_Base_Vendas'!$G$4:$G$387, '03_Base_Vendas'!$A$4:$A$387, G$5)</f>
        <v>6477.23</v>
      </c>
      <c r="H7" s="42">
        <f>SUMIFS('03_Base_Vendas'!$G$4:$G$387, '03_Base_Vendas'!$A$4:$A$387, H$5)</f>
        <v>4353.16</v>
      </c>
      <c r="I7" s="42">
        <f>SUMIFS('03_Base_Vendas'!$G$4:$G$387, '03_Base_Vendas'!$A$4:$A$387, I$5)</f>
        <v>8190.880000000001</v>
      </c>
      <c r="J7" s="42">
        <f>SUMIFS('03_Base_Vendas'!$G$4:$G$387, '03_Base_Vendas'!$A$4:$A$387, J$5)</f>
        <v>6276.1900000000005</v>
      </c>
      <c r="K7" s="42">
        <f>SUMIFS('03_Base_Vendas'!$G$4:$G$387, '03_Base_Vendas'!$A$4:$A$387, K$5)</f>
        <v>8957.52</v>
      </c>
      <c r="L7" s="42">
        <f>SUMIFS('03_Base_Vendas'!$G$4:$G$387, '03_Base_Vendas'!$A$4:$A$387, L$5)</f>
        <v>11326.210000000001</v>
      </c>
      <c r="M7" s="42">
        <f>SUMIFS('03_Base_Vendas'!$G$4:$G$387, '03_Base_Vendas'!$A$4:$A$387, M$5)</f>
        <v>7694.2399999999989</v>
      </c>
      <c r="N7" s="42">
        <f>SUMIFS('03_Base_Vendas'!$G$4:$G$387, '03_Base_Vendas'!$A$4:$A$387, N$5)</f>
        <v>8426.7099999999991</v>
      </c>
      <c r="O7" s="42">
        <f>SUMIFS('03_Base_Vendas'!$G$4:$G$387, '03_Base_Vendas'!$A$4:$A$387, O$5)</f>
        <v>5575.88</v>
      </c>
      <c r="P7" s="42">
        <f>SUMIFS('03_Base_Vendas'!$G$4:$G$387, '03_Base_Vendas'!$A$4:$A$387, P$5)</f>
        <v>7521.3499999999985</v>
      </c>
      <c r="Q7" s="42">
        <f>SUMIFS('03_Base_Vendas'!$G$4:$G$387, '03_Base_Vendas'!$A$4:$A$387, Q$5)</f>
        <v>6504.09</v>
      </c>
      <c r="R7" s="42">
        <f>SUMIFS('03_Base_Vendas'!$G$4:$G$387, '03_Base_Vendas'!$A$4:$A$387, R$5)</f>
        <v>9989.9</v>
      </c>
      <c r="S7" s="42">
        <f>SUMIFS('03_Base_Vendas'!$G$4:$G$387, '03_Base_Vendas'!$A$4:$A$387, S$5)</f>
        <v>9872.1699999999983</v>
      </c>
      <c r="T7" s="42">
        <f>SUMIFS('03_Base_Vendas'!$G$4:$G$387, '03_Base_Vendas'!$A$4:$A$387, T$5)</f>
        <v>9297.1400000000012</v>
      </c>
      <c r="U7" s="42">
        <f>SUMIFS('03_Base_Vendas'!$G$4:$G$387, '03_Base_Vendas'!$A$4:$A$387, U$5)</f>
        <v>5822.44</v>
      </c>
      <c r="V7" s="42">
        <f>SUMIFS('03_Base_Vendas'!$G$4:$G$387, '03_Base_Vendas'!$A$4:$A$387, V$5)</f>
        <v>7693.38</v>
      </c>
      <c r="W7" s="42">
        <f>SUMIFS('03_Base_Vendas'!$G$4:$G$387, '03_Base_Vendas'!$A$4:$A$387, W$5)</f>
        <v>6567.7699999999986</v>
      </c>
      <c r="X7" s="42">
        <f>SUMIFS('03_Base_Vendas'!$G$4:$G$387, '03_Base_Vendas'!$A$4:$A$387, X$5)</f>
        <v>6424.1600000000008</v>
      </c>
      <c r="Y7" s="42">
        <f>SUMIFS('03_Base_Vendas'!$G$4:$G$387, '03_Base_Vendas'!$A$4:$A$387, Y$5)</f>
        <v>5236.03</v>
      </c>
      <c r="Z7" s="43">
        <f t="shared" si="0"/>
        <v>176614.95000000004</v>
      </c>
    </row>
    <row r="8" spans="1:26" x14ac:dyDescent="0.25">
      <c r="A8" s="41" t="s">
        <v>333</v>
      </c>
      <c r="B8" s="42">
        <f>SUMIFS('03_Base_Vendas'!$H$4:$H$387, '03_Base_Vendas'!$A$4:$A$387, B$5)</f>
        <v>15779.54</v>
      </c>
      <c r="C8" s="42">
        <f>SUMIFS('03_Base_Vendas'!$H$4:$H$387, '03_Base_Vendas'!$A$4:$A$387, C$5)</f>
        <v>11792.329999999998</v>
      </c>
      <c r="D8" s="42">
        <f>SUMIFS('03_Base_Vendas'!$H$4:$H$387, '03_Base_Vendas'!$A$4:$A$387, D$5)</f>
        <v>15145.469999999998</v>
      </c>
      <c r="E8" s="42">
        <f>SUMIFS('03_Base_Vendas'!$H$4:$H$387, '03_Base_Vendas'!$A$4:$A$387, E$5)</f>
        <v>13399.87</v>
      </c>
      <c r="F8" s="42">
        <f>SUMIFS('03_Base_Vendas'!$H$4:$H$387, '03_Base_Vendas'!$A$4:$A$387, F$5)</f>
        <v>18396.280000000002</v>
      </c>
      <c r="G8" s="42">
        <f>SUMIFS('03_Base_Vendas'!$H$4:$H$387, '03_Base_Vendas'!$A$4:$A$387, G$5)</f>
        <v>15242.06</v>
      </c>
      <c r="H8" s="42">
        <f>SUMIFS('03_Base_Vendas'!$H$4:$H$387, '03_Base_Vendas'!$A$4:$A$387, H$5)</f>
        <v>11923.25</v>
      </c>
      <c r="I8" s="42">
        <f>SUMIFS('03_Base_Vendas'!$H$4:$H$387, '03_Base_Vendas'!$A$4:$A$387, I$5)</f>
        <v>12269.800000000001</v>
      </c>
      <c r="J8" s="42">
        <f>SUMIFS('03_Base_Vendas'!$H$4:$H$387, '03_Base_Vendas'!$A$4:$A$387, J$5)</f>
        <v>12359.12</v>
      </c>
      <c r="K8" s="42">
        <f>SUMIFS('03_Base_Vendas'!$H$4:$H$387, '03_Base_Vendas'!$A$4:$A$387, K$5)</f>
        <v>14946.370000000003</v>
      </c>
      <c r="L8" s="42">
        <f>SUMIFS('03_Base_Vendas'!$H$4:$H$387, '03_Base_Vendas'!$A$4:$A$387, L$5)</f>
        <v>21025.4</v>
      </c>
      <c r="M8" s="42">
        <f>SUMIFS('03_Base_Vendas'!$H$4:$H$387, '03_Base_Vendas'!$A$4:$A$387, M$5)</f>
        <v>19748.359999999997</v>
      </c>
      <c r="N8" s="42">
        <f>SUMIFS('03_Base_Vendas'!$H$4:$H$387, '03_Base_Vendas'!$A$4:$A$387, N$5)</f>
        <v>17766.379999999997</v>
      </c>
      <c r="O8" s="42">
        <f>SUMIFS('03_Base_Vendas'!$H$4:$H$387, '03_Base_Vendas'!$A$4:$A$387, O$5)</f>
        <v>15063.7</v>
      </c>
      <c r="P8" s="42">
        <f>SUMIFS('03_Base_Vendas'!$H$4:$H$387, '03_Base_Vendas'!$A$4:$A$387, P$5)</f>
        <v>16420.280000000002</v>
      </c>
      <c r="Q8" s="42">
        <f>SUMIFS('03_Base_Vendas'!$H$4:$H$387, '03_Base_Vendas'!$A$4:$A$387, Q$5)</f>
        <v>13720.640000000003</v>
      </c>
      <c r="R8" s="42">
        <f>SUMIFS('03_Base_Vendas'!$H$4:$H$387, '03_Base_Vendas'!$A$4:$A$387, R$5)</f>
        <v>21561.15</v>
      </c>
      <c r="S8" s="42">
        <f>SUMIFS('03_Base_Vendas'!$H$4:$H$387, '03_Base_Vendas'!$A$4:$A$387, S$5)</f>
        <v>17670.239999999998</v>
      </c>
      <c r="T8" s="42">
        <f>SUMIFS('03_Base_Vendas'!$H$4:$H$387, '03_Base_Vendas'!$A$4:$A$387, T$5)</f>
        <v>16259.74</v>
      </c>
      <c r="U8" s="42">
        <f>SUMIFS('03_Base_Vendas'!$H$4:$H$387, '03_Base_Vendas'!$A$4:$A$387, U$5)</f>
        <v>14939.869999999997</v>
      </c>
      <c r="V8" s="42">
        <f>SUMIFS('03_Base_Vendas'!$H$4:$H$387, '03_Base_Vendas'!$A$4:$A$387, V$5)</f>
        <v>15990.06</v>
      </c>
      <c r="W8" s="42">
        <f>SUMIFS('03_Base_Vendas'!$H$4:$H$387, '03_Base_Vendas'!$A$4:$A$387, W$5)</f>
        <v>17133.669999999998</v>
      </c>
      <c r="X8" s="42">
        <f>SUMIFS('03_Base_Vendas'!$H$4:$H$387, '03_Base_Vendas'!$A$4:$A$387, X$5)</f>
        <v>23942.080000000002</v>
      </c>
      <c r="Y8" s="42">
        <f>SUMIFS('03_Base_Vendas'!$H$4:$H$387, '03_Base_Vendas'!$A$4:$A$387, Y$5)</f>
        <v>16615.289999999997</v>
      </c>
      <c r="Z8" s="43">
        <f t="shared" si="0"/>
        <v>389110.94999999995</v>
      </c>
    </row>
    <row r="9" spans="1:26" x14ac:dyDescent="0.25">
      <c r="A9" s="44" t="s">
        <v>334</v>
      </c>
      <c r="B9" s="45">
        <f t="shared" ref="B9:Y9" si="1">B6-B7-B8</f>
        <v>150022.15</v>
      </c>
      <c r="C9" s="45">
        <f t="shared" si="1"/>
        <v>124711.49999999999</v>
      </c>
      <c r="D9" s="45">
        <f t="shared" si="1"/>
        <v>152101.80000000002</v>
      </c>
      <c r="E9" s="45">
        <f t="shared" si="1"/>
        <v>139816.16</v>
      </c>
      <c r="F9" s="45">
        <f t="shared" si="1"/>
        <v>194995.25000000003</v>
      </c>
      <c r="G9" s="45">
        <f t="shared" si="1"/>
        <v>169722.3</v>
      </c>
      <c r="H9" s="45">
        <f t="shared" si="1"/>
        <v>129208.72999999998</v>
      </c>
      <c r="I9" s="45">
        <f t="shared" si="1"/>
        <v>128944.70999999998</v>
      </c>
      <c r="J9" s="45">
        <f t="shared" si="1"/>
        <v>134950.95000000004</v>
      </c>
      <c r="K9" s="45">
        <f t="shared" si="1"/>
        <v>148309.98000000001</v>
      </c>
      <c r="L9" s="45">
        <f t="shared" si="1"/>
        <v>203059.57</v>
      </c>
      <c r="M9" s="45">
        <f t="shared" si="1"/>
        <v>196874.79</v>
      </c>
      <c r="N9" s="45">
        <f t="shared" si="1"/>
        <v>175740.44999999998</v>
      </c>
      <c r="O9" s="45">
        <f t="shared" si="1"/>
        <v>145133.35999999999</v>
      </c>
      <c r="P9" s="45">
        <f t="shared" si="1"/>
        <v>170854.18999999997</v>
      </c>
      <c r="Q9" s="45">
        <f t="shared" si="1"/>
        <v>144914.44999999998</v>
      </c>
      <c r="R9" s="45">
        <f t="shared" si="1"/>
        <v>209011.74000000005</v>
      </c>
      <c r="S9" s="45">
        <f t="shared" si="1"/>
        <v>184592.87</v>
      </c>
      <c r="T9" s="45">
        <f t="shared" si="1"/>
        <v>153711.74999999997</v>
      </c>
      <c r="U9" s="45">
        <f t="shared" si="1"/>
        <v>151133.64999999997</v>
      </c>
      <c r="V9" s="45">
        <f t="shared" si="1"/>
        <v>156322.19</v>
      </c>
      <c r="W9" s="45">
        <f t="shared" si="1"/>
        <v>168321.71000000002</v>
      </c>
      <c r="X9" s="45">
        <f t="shared" si="1"/>
        <v>248324.24</v>
      </c>
      <c r="Y9" s="45">
        <f t="shared" si="1"/>
        <v>194275.21999999997</v>
      </c>
      <c r="Z9" s="43">
        <f t="shared" si="0"/>
        <v>3975053.71</v>
      </c>
    </row>
    <row r="10" spans="1:26" x14ac:dyDescent="0.25">
      <c r="A10" s="41" t="s">
        <v>335</v>
      </c>
      <c r="B10" s="42">
        <f>SUMIFS('03_Base_Vendas'!$J$4:$J$387, '03_Base_Vendas'!$A$4:$A$387, B$5)</f>
        <v>81211.090000000011</v>
      </c>
      <c r="C10" s="42">
        <f>SUMIFS('03_Base_Vendas'!$J$4:$J$387, '03_Base_Vendas'!$A$4:$A$387, C$5)</f>
        <v>68953.100000000006</v>
      </c>
      <c r="D10" s="42">
        <f>SUMIFS('03_Base_Vendas'!$J$4:$J$387, '03_Base_Vendas'!$A$4:$A$387, D$5)</f>
        <v>83570.009999999995</v>
      </c>
      <c r="E10" s="42">
        <f>SUMIFS('03_Base_Vendas'!$J$4:$J$387, '03_Base_Vendas'!$A$4:$A$387, E$5)</f>
        <v>75794.19</v>
      </c>
      <c r="F10" s="42">
        <f>SUMIFS('03_Base_Vendas'!$J$4:$J$387, '03_Base_Vendas'!$A$4:$A$387, F$5)</f>
        <v>104404.85999999999</v>
      </c>
      <c r="G10" s="42">
        <f>SUMIFS('03_Base_Vendas'!$J$4:$J$387, '03_Base_Vendas'!$A$4:$A$387, G$5)</f>
        <v>93680.99</v>
      </c>
      <c r="H10" s="42">
        <f>SUMIFS('03_Base_Vendas'!$J$4:$J$387, '03_Base_Vendas'!$A$4:$A$387, H$5)</f>
        <v>70276.950000000012</v>
      </c>
      <c r="I10" s="42">
        <f>SUMIFS('03_Base_Vendas'!$J$4:$J$387, '03_Base_Vendas'!$A$4:$A$387, I$5)</f>
        <v>70294.679999999993</v>
      </c>
      <c r="J10" s="42">
        <f>SUMIFS('03_Base_Vendas'!$J$4:$J$387, '03_Base_Vendas'!$A$4:$A$387, J$5)</f>
        <v>73561.31</v>
      </c>
      <c r="K10" s="42">
        <f>SUMIFS('03_Base_Vendas'!$J$4:$J$387, '03_Base_Vendas'!$A$4:$A$387, K$5)</f>
        <v>82448.67</v>
      </c>
      <c r="L10" s="42">
        <f>SUMIFS('03_Base_Vendas'!$J$4:$J$387, '03_Base_Vendas'!$A$4:$A$387, L$5)</f>
        <v>112083.49999999997</v>
      </c>
      <c r="M10" s="42">
        <f>SUMIFS('03_Base_Vendas'!$J$4:$J$387, '03_Base_Vendas'!$A$4:$A$387, M$5)</f>
        <v>107675.60000000002</v>
      </c>
      <c r="N10" s="42">
        <f>SUMIFS('03_Base_Vendas'!$J$4:$J$387, '03_Base_Vendas'!$A$4:$A$387, N$5)</f>
        <v>98136.199999999983</v>
      </c>
      <c r="O10" s="42">
        <f>SUMIFS('03_Base_Vendas'!$J$4:$J$387, '03_Base_Vendas'!$A$4:$A$387, O$5)</f>
        <v>80785.75</v>
      </c>
      <c r="P10" s="42">
        <f>SUMIFS('03_Base_Vendas'!$J$4:$J$387, '03_Base_Vendas'!$A$4:$A$387, P$5)</f>
        <v>93776.320000000007</v>
      </c>
      <c r="Q10" s="42">
        <f>SUMIFS('03_Base_Vendas'!$J$4:$J$387, '03_Base_Vendas'!$A$4:$A$387, Q$5)</f>
        <v>78102.710000000006</v>
      </c>
      <c r="R10" s="42">
        <f>SUMIFS('03_Base_Vendas'!$J$4:$J$387, '03_Base_Vendas'!$A$4:$A$387, R$5)</f>
        <v>115982.16999999998</v>
      </c>
      <c r="S10" s="42">
        <f>SUMIFS('03_Base_Vendas'!$J$4:$J$387, '03_Base_Vendas'!$A$4:$A$387, S$5)</f>
        <v>102247.35999999997</v>
      </c>
      <c r="T10" s="42">
        <f>SUMIFS('03_Base_Vendas'!$J$4:$J$387, '03_Base_Vendas'!$A$4:$A$387, T$5)</f>
        <v>87509.79</v>
      </c>
      <c r="U10" s="42">
        <f>SUMIFS('03_Base_Vendas'!$J$4:$J$387, '03_Base_Vendas'!$A$4:$A$387, U$5)</f>
        <v>82350.720000000016</v>
      </c>
      <c r="V10" s="42">
        <f>SUMIFS('03_Base_Vendas'!$J$4:$J$387, '03_Base_Vendas'!$A$4:$A$387, V$5)</f>
        <v>86096.079999999987</v>
      </c>
      <c r="W10" s="42">
        <f>SUMIFS('03_Base_Vendas'!$J$4:$J$387, '03_Base_Vendas'!$A$4:$A$387, W$5)</f>
        <v>91811.889999999985</v>
      </c>
      <c r="X10" s="42">
        <f>SUMIFS('03_Base_Vendas'!$J$4:$J$387, '03_Base_Vendas'!$A$4:$A$387, X$5)</f>
        <v>133127.29</v>
      </c>
      <c r="Y10" s="42">
        <f>SUMIFS('03_Base_Vendas'!$J$4:$J$387, '03_Base_Vendas'!$A$4:$A$387, Y$5)</f>
        <v>105108.86000000002</v>
      </c>
      <c r="Z10" s="43">
        <f t="shared" si="0"/>
        <v>2178990.09</v>
      </c>
    </row>
    <row r="11" spans="1:26" x14ac:dyDescent="0.25">
      <c r="A11" s="44" t="s">
        <v>336</v>
      </c>
      <c r="B11" s="45">
        <f t="shared" ref="B11:Y11" si="2">B9-B10</f>
        <v>68811.059999999983</v>
      </c>
      <c r="C11" s="45">
        <f t="shared" si="2"/>
        <v>55758.39999999998</v>
      </c>
      <c r="D11" s="45">
        <f t="shared" si="2"/>
        <v>68531.790000000023</v>
      </c>
      <c r="E11" s="45">
        <f t="shared" si="2"/>
        <v>64021.97</v>
      </c>
      <c r="F11" s="45">
        <f t="shared" si="2"/>
        <v>90590.390000000043</v>
      </c>
      <c r="G11" s="45">
        <f t="shared" si="2"/>
        <v>76041.309999999983</v>
      </c>
      <c r="H11" s="45">
        <f t="shared" si="2"/>
        <v>58931.77999999997</v>
      </c>
      <c r="I11" s="45">
        <f t="shared" si="2"/>
        <v>58650.029999999984</v>
      </c>
      <c r="J11" s="45">
        <f t="shared" si="2"/>
        <v>61389.640000000043</v>
      </c>
      <c r="K11" s="45">
        <f t="shared" si="2"/>
        <v>65861.310000000012</v>
      </c>
      <c r="L11" s="45">
        <f t="shared" si="2"/>
        <v>90976.070000000036</v>
      </c>
      <c r="M11" s="45">
        <f t="shared" si="2"/>
        <v>89199.189999999988</v>
      </c>
      <c r="N11" s="45">
        <f t="shared" si="2"/>
        <v>77604.25</v>
      </c>
      <c r="O11" s="45">
        <f t="shared" si="2"/>
        <v>64347.609999999986</v>
      </c>
      <c r="P11" s="45">
        <f t="shared" si="2"/>
        <v>77077.869999999966</v>
      </c>
      <c r="Q11" s="45">
        <f t="shared" si="2"/>
        <v>66811.739999999976</v>
      </c>
      <c r="R11" s="45">
        <f t="shared" si="2"/>
        <v>93029.570000000065</v>
      </c>
      <c r="S11" s="45">
        <f t="shared" si="2"/>
        <v>82345.510000000024</v>
      </c>
      <c r="T11" s="45">
        <f t="shared" si="2"/>
        <v>66201.959999999977</v>
      </c>
      <c r="U11" s="45">
        <f t="shared" si="2"/>
        <v>68782.929999999949</v>
      </c>
      <c r="V11" s="45">
        <f t="shared" si="2"/>
        <v>70226.110000000015</v>
      </c>
      <c r="W11" s="45">
        <f t="shared" si="2"/>
        <v>76509.820000000036</v>
      </c>
      <c r="X11" s="45">
        <f t="shared" si="2"/>
        <v>115196.94999999998</v>
      </c>
      <c r="Y11" s="45">
        <f t="shared" si="2"/>
        <v>89166.359999999957</v>
      </c>
      <c r="Z11" s="43">
        <f t="shared" si="0"/>
        <v>1796063.6199999999</v>
      </c>
    </row>
    <row r="12" spans="1:26" x14ac:dyDescent="0.25">
      <c r="A12" s="41" t="s">
        <v>337</v>
      </c>
      <c r="B12" s="46">
        <f t="shared" ref="B12:Y12" si="3">IFERROR(B11/B9,0)</f>
        <v>0.45867266933582795</v>
      </c>
      <c r="C12" s="46">
        <f t="shared" si="3"/>
        <v>0.44709910473372533</v>
      </c>
      <c r="D12" s="46">
        <f t="shared" si="3"/>
        <v>0.45056527930635937</v>
      </c>
      <c r="E12" s="46">
        <f t="shared" si="3"/>
        <v>0.45790107524051582</v>
      </c>
      <c r="F12" s="46">
        <f t="shared" si="3"/>
        <v>0.46457741919354462</v>
      </c>
      <c r="G12" s="46">
        <f t="shared" si="3"/>
        <v>0.44803369975542395</v>
      </c>
      <c r="H12" s="46">
        <f t="shared" si="3"/>
        <v>0.45609750981996322</v>
      </c>
      <c r="I12" s="46">
        <f t="shared" si="3"/>
        <v>0.4548463446077004</v>
      </c>
      <c r="J12" s="46">
        <f t="shared" si="3"/>
        <v>0.4549033556266186</v>
      </c>
      <c r="K12" s="46">
        <f t="shared" si="3"/>
        <v>0.44407874642016676</v>
      </c>
      <c r="L12" s="46">
        <f t="shared" si="3"/>
        <v>0.44802650768934471</v>
      </c>
      <c r="M12" s="46">
        <f t="shared" si="3"/>
        <v>0.45307573407443374</v>
      </c>
      <c r="N12" s="46">
        <f t="shared" si="3"/>
        <v>0.44158445025035503</v>
      </c>
      <c r="O12" s="46">
        <f t="shared" si="3"/>
        <v>0.44336884366213247</v>
      </c>
      <c r="P12" s="46">
        <f t="shared" si="3"/>
        <v>0.45113245393630663</v>
      </c>
      <c r="Q12" s="46">
        <f t="shared" si="3"/>
        <v>0.46104263584480348</v>
      </c>
      <c r="R12" s="46">
        <f t="shared" si="3"/>
        <v>0.44509255795870628</v>
      </c>
      <c r="S12" s="46">
        <f t="shared" si="3"/>
        <v>0.44609258201576274</v>
      </c>
      <c r="T12" s="46">
        <f t="shared" si="3"/>
        <v>0.43068900067821742</v>
      </c>
      <c r="U12" s="46">
        <f t="shared" si="3"/>
        <v>0.45511327225935433</v>
      </c>
      <c r="V12" s="46">
        <f t="shared" si="3"/>
        <v>0.4492395481409262</v>
      </c>
      <c r="W12" s="46">
        <f t="shared" si="3"/>
        <v>0.45454516829706654</v>
      </c>
      <c r="X12" s="46">
        <f t="shared" si="3"/>
        <v>0.46389732230731878</v>
      </c>
      <c r="Y12" s="46">
        <f t="shared" si="3"/>
        <v>0.45896929109126716</v>
      </c>
      <c r="Z12" s="47">
        <f>IFERROR($Z$11/$Z$9,0)</f>
        <v>0.45183379924695405</v>
      </c>
    </row>
    <row r="13" spans="1:26" x14ac:dyDescent="0.25">
      <c r="A13" s="41" t="s">
        <v>338</v>
      </c>
      <c r="B13" s="42">
        <f>SUMIFS('04_Base_Despesas'!$D$4:$D$219, '04_Base_Despesas'!$A$4:$A$219, B$5, '04_Base_Despesas'!$B$4:$B$219, "pessoal")</f>
        <v>50652.31</v>
      </c>
      <c r="C13" s="42">
        <f>SUMIFS('04_Base_Despesas'!$D$4:$D$219, '04_Base_Despesas'!$A$4:$A$219, C$5, '04_Base_Despesas'!$B$4:$B$219, "pessoal")</f>
        <v>52124.12</v>
      </c>
      <c r="D13" s="42">
        <f>SUMIFS('04_Base_Despesas'!$D$4:$D$219, '04_Base_Despesas'!$A$4:$A$219, D$5, '04_Base_Despesas'!$B$4:$B$219, "pessoal")</f>
        <v>50124.75</v>
      </c>
      <c r="E13" s="42">
        <f>SUMIFS('04_Base_Despesas'!$D$4:$D$219, '04_Base_Despesas'!$A$4:$A$219, E$5, '04_Base_Despesas'!$B$4:$B$219, "pessoal")</f>
        <v>49472.83</v>
      </c>
      <c r="F13" s="42">
        <f>SUMIFS('04_Base_Despesas'!$D$4:$D$219, '04_Base_Despesas'!$A$4:$A$219, F$5, '04_Base_Despesas'!$B$4:$B$219, "pessoal")</f>
        <v>51984.88</v>
      </c>
      <c r="G13" s="42">
        <f>SUMIFS('04_Base_Despesas'!$D$4:$D$219, '04_Base_Despesas'!$A$4:$A$219, G$5, '04_Base_Despesas'!$B$4:$B$219, "pessoal")</f>
        <v>50582.85</v>
      </c>
      <c r="H13" s="42">
        <f>SUMIFS('04_Base_Despesas'!$D$4:$D$219, '04_Base_Despesas'!$A$4:$A$219, H$5, '04_Base_Despesas'!$B$4:$B$219, "pessoal")</f>
        <v>51882.99</v>
      </c>
      <c r="I13" s="42">
        <f>SUMIFS('04_Base_Despesas'!$D$4:$D$219, '04_Base_Despesas'!$A$4:$A$219, I$5, '04_Base_Despesas'!$B$4:$B$219, "pessoal")</f>
        <v>51904.5</v>
      </c>
      <c r="J13" s="42">
        <f>SUMIFS('04_Base_Despesas'!$D$4:$D$219, '04_Base_Despesas'!$A$4:$A$219, J$5, '04_Base_Despesas'!$B$4:$B$219, "pessoal")</f>
        <v>52089.52</v>
      </c>
      <c r="K13" s="42">
        <f>SUMIFS('04_Base_Despesas'!$D$4:$D$219, '04_Base_Despesas'!$A$4:$A$219, K$5, '04_Base_Despesas'!$B$4:$B$219, "pessoal")</f>
        <v>52459.11</v>
      </c>
      <c r="L13" s="42">
        <f>SUMIFS('04_Base_Despesas'!$D$4:$D$219, '04_Base_Despesas'!$A$4:$A$219, L$5, '04_Base_Despesas'!$B$4:$B$219, "pessoal")</f>
        <v>50631.33</v>
      </c>
      <c r="M13" s="42">
        <f>SUMIFS('04_Base_Despesas'!$D$4:$D$219, '04_Base_Despesas'!$A$4:$A$219, M$5, '04_Base_Despesas'!$B$4:$B$219, "pessoal")</f>
        <v>51913.95</v>
      </c>
      <c r="N13" s="42">
        <f>SUMIFS('04_Base_Despesas'!$D$4:$D$219, '04_Base_Despesas'!$A$4:$A$219, N$5, '04_Base_Despesas'!$B$4:$B$219, "pessoal")</f>
        <v>51631.47</v>
      </c>
      <c r="O13" s="42">
        <f>SUMIFS('04_Base_Despesas'!$D$4:$D$219, '04_Base_Despesas'!$A$4:$A$219, O$5, '04_Base_Despesas'!$B$4:$B$219, "pessoal")</f>
        <v>51696.43</v>
      </c>
      <c r="P13" s="42">
        <f>SUMIFS('04_Base_Despesas'!$D$4:$D$219, '04_Base_Despesas'!$A$4:$A$219, P$5, '04_Base_Despesas'!$B$4:$B$219, "pessoal")</f>
        <v>52168.47</v>
      </c>
      <c r="Q13" s="42">
        <f>SUMIFS('04_Base_Despesas'!$D$4:$D$219, '04_Base_Despesas'!$A$4:$A$219, Q$5, '04_Base_Despesas'!$B$4:$B$219, "pessoal")</f>
        <v>51926.16</v>
      </c>
      <c r="R13" s="42">
        <f>SUMIFS('04_Base_Despesas'!$D$4:$D$219, '04_Base_Despesas'!$A$4:$A$219, R$5, '04_Base_Despesas'!$B$4:$B$219, "pessoal")</f>
        <v>52247.49</v>
      </c>
      <c r="S13" s="42">
        <f>SUMIFS('04_Base_Despesas'!$D$4:$D$219, '04_Base_Despesas'!$A$4:$A$219, S$5, '04_Base_Despesas'!$B$4:$B$219, "pessoal")</f>
        <v>50421.84</v>
      </c>
      <c r="T13" s="42">
        <f>SUMIFS('04_Base_Despesas'!$D$4:$D$219, '04_Base_Despesas'!$A$4:$A$219, T$5, '04_Base_Despesas'!$B$4:$B$219, "pessoal")</f>
        <v>50441.87</v>
      </c>
      <c r="U13" s="42">
        <f>SUMIFS('04_Base_Despesas'!$D$4:$D$219, '04_Base_Despesas'!$A$4:$A$219, U$5, '04_Base_Despesas'!$B$4:$B$219, "pessoal")</f>
        <v>51200.27</v>
      </c>
      <c r="V13" s="42">
        <f>SUMIFS('04_Base_Despesas'!$D$4:$D$219, '04_Base_Despesas'!$A$4:$A$219, V$5, '04_Base_Despesas'!$B$4:$B$219, "pessoal")</f>
        <v>51236.77</v>
      </c>
      <c r="W13" s="42">
        <f>SUMIFS('04_Base_Despesas'!$D$4:$D$219, '04_Base_Despesas'!$A$4:$A$219, W$5, '04_Base_Despesas'!$B$4:$B$219, "pessoal")</f>
        <v>51231.41</v>
      </c>
      <c r="X13" s="42">
        <f>SUMIFS('04_Base_Despesas'!$D$4:$D$219, '04_Base_Despesas'!$A$4:$A$219, X$5, '04_Base_Despesas'!$B$4:$B$219, "pessoal")</f>
        <v>51234.93</v>
      </c>
      <c r="Y13" s="42">
        <f>SUMIFS('04_Base_Despesas'!$D$4:$D$219, '04_Base_Despesas'!$A$4:$A$219, Y$5, '04_Base_Despesas'!$B$4:$B$219, "pessoal")</f>
        <v>51109.32</v>
      </c>
      <c r="Z13" s="43">
        <f t="shared" ref="Z13:Z21" si="4">SUM(B13:Y13)</f>
        <v>1232369.5699999998</v>
      </c>
    </row>
    <row r="14" spans="1:26" x14ac:dyDescent="0.25">
      <c r="A14" s="41" t="s">
        <v>339</v>
      </c>
      <c r="B14" s="42">
        <f>SUMIFS('04_Base_Despesas'!$D$4:$D$219, '04_Base_Despesas'!$A$4:$A$219, B$5, '04_Base_Despesas'!$B$4:$B$219, "aluguel")</f>
        <v>9500.01</v>
      </c>
      <c r="C14" s="42">
        <f>SUMIFS('04_Base_Despesas'!$D$4:$D$219, '04_Base_Despesas'!$A$4:$A$219, C$5, '04_Base_Despesas'!$B$4:$B$219, "aluguel")</f>
        <v>9500</v>
      </c>
      <c r="D14" s="42">
        <f>SUMIFS('04_Base_Despesas'!$D$4:$D$219, '04_Base_Despesas'!$A$4:$A$219, D$5, '04_Base_Despesas'!$B$4:$B$219, "aluguel")</f>
        <v>9500</v>
      </c>
      <c r="E14" s="42">
        <f>SUMIFS('04_Base_Despesas'!$D$4:$D$219, '04_Base_Despesas'!$A$4:$A$219, E$5, '04_Base_Despesas'!$B$4:$B$219, "aluguel")</f>
        <v>9500</v>
      </c>
      <c r="F14" s="42">
        <f>SUMIFS('04_Base_Despesas'!$D$4:$D$219, '04_Base_Despesas'!$A$4:$A$219, F$5, '04_Base_Despesas'!$B$4:$B$219, "aluguel")</f>
        <v>9500</v>
      </c>
      <c r="G14" s="42">
        <f>SUMIFS('04_Base_Despesas'!$D$4:$D$219, '04_Base_Despesas'!$A$4:$A$219, G$5, '04_Base_Despesas'!$B$4:$B$219, "aluguel")</f>
        <v>9500</v>
      </c>
      <c r="H14" s="42">
        <f>SUMIFS('04_Base_Despesas'!$D$4:$D$219, '04_Base_Despesas'!$A$4:$A$219, H$5, '04_Base_Despesas'!$B$4:$B$219, "aluguel")</f>
        <v>9500</v>
      </c>
      <c r="I14" s="42">
        <f>SUMIFS('04_Base_Despesas'!$D$4:$D$219, '04_Base_Despesas'!$A$4:$A$219, I$5, '04_Base_Despesas'!$B$4:$B$219, "aluguel")</f>
        <v>9500</v>
      </c>
      <c r="J14" s="42">
        <f>SUMIFS('04_Base_Despesas'!$D$4:$D$219, '04_Base_Despesas'!$A$4:$A$219, J$5, '04_Base_Despesas'!$B$4:$B$219, "aluguel")</f>
        <v>9500</v>
      </c>
      <c r="K14" s="42">
        <f>SUMIFS('04_Base_Despesas'!$D$4:$D$219, '04_Base_Despesas'!$A$4:$A$219, K$5, '04_Base_Despesas'!$B$4:$B$219, "aluguel")</f>
        <v>9500</v>
      </c>
      <c r="L14" s="42">
        <f>SUMIFS('04_Base_Despesas'!$D$4:$D$219, '04_Base_Despesas'!$A$4:$A$219, L$5, '04_Base_Despesas'!$B$4:$B$219, "aluguel")</f>
        <v>9500</v>
      </c>
      <c r="M14" s="42">
        <f>SUMIFS('04_Base_Despesas'!$D$4:$D$219, '04_Base_Despesas'!$A$4:$A$219, M$5, '04_Base_Despesas'!$B$4:$B$219, "aluguel")</f>
        <v>9500</v>
      </c>
      <c r="N14" s="42">
        <f>SUMIFS('04_Base_Despesas'!$D$4:$D$219, '04_Base_Despesas'!$A$4:$A$219, N$5, '04_Base_Despesas'!$B$4:$B$219, "aluguel")</f>
        <v>9500.01</v>
      </c>
      <c r="O14" s="42">
        <f>SUMIFS('04_Base_Despesas'!$D$4:$D$219, '04_Base_Despesas'!$A$4:$A$219, O$5, '04_Base_Despesas'!$B$4:$B$219, "aluguel")</f>
        <v>9500</v>
      </c>
      <c r="P14" s="42">
        <f>SUMIFS('04_Base_Despesas'!$D$4:$D$219, '04_Base_Despesas'!$A$4:$A$219, P$5, '04_Base_Despesas'!$B$4:$B$219, "aluguel")</f>
        <v>9500</v>
      </c>
      <c r="Q14" s="42">
        <f>SUMIFS('04_Base_Despesas'!$D$4:$D$219, '04_Base_Despesas'!$A$4:$A$219, Q$5, '04_Base_Despesas'!$B$4:$B$219, "aluguel")</f>
        <v>9500</v>
      </c>
      <c r="R14" s="42">
        <f>SUMIFS('04_Base_Despesas'!$D$4:$D$219, '04_Base_Despesas'!$A$4:$A$219, R$5, '04_Base_Despesas'!$B$4:$B$219, "aluguel")</f>
        <v>9500.01</v>
      </c>
      <c r="S14" s="42">
        <f>SUMIFS('04_Base_Despesas'!$D$4:$D$219, '04_Base_Despesas'!$A$4:$A$219, S$5, '04_Base_Despesas'!$B$4:$B$219, "aluguel")</f>
        <v>9500.01</v>
      </c>
      <c r="T14" s="42">
        <f>SUMIFS('04_Base_Despesas'!$D$4:$D$219, '04_Base_Despesas'!$A$4:$A$219, T$5, '04_Base_Despesas'!$B$4:$B$219, "aluguel")</f>
        <v>9500.01</v>
      </c>
      <c r="U14" s="42">
        <f>SUMIFS('04_Base_Despesas'!$D$4:$D$219, '04_Base_Despesas'!$A$4:$A$219, U$5, '04_Base_Despesas'!$B$4:$B$219, "aluguel")</f>
        <v>9500</v>
      </c>
      <c r="V14" s="42">
        <f>SUMIFS('04_Base_Despesas'!$D$4:$D$219, '04_Base_Despesas'!$A$4:$A$219, V$5, '04_Base_Despesas'!$B$4:$B$219, "aluguel")</f>
        <v>9500</v>
      </c>
      <c r="W14" s="42">
        <f>SUMIFS('04_Base_Despesas'!$D$4:$D$219, '04_Base_Despesas'!$A$4:$A$219, W$5, '04_Base_Despesas'!$B$4:$B$219, "aluguel")</f>
        <v>9500</v>
      </c>
      <c r="X14" s="42">
        <f>SUMIFS('04_Base_Despesas'!$D$4:$D$219, '04_Base_Despesas'!$A$4:$A$219, X$5, '04_Base_Despesas'!$B$4:$B$219, "aluguel")</f>
        <v>9500</v>
      </c>
      <c r="Y14" s="42">
        <f>SUMIFS('04_Base_Despesas'!$D$4:$D$219, '04_Base_Despesas'!$A$4:$A$219, Y$5, '04_Base_Despesas'!$B$4:$B$219, "aluguel")</f>
        <v>9500.01</v>
      </c>
      <c r="Z14" s="43">
        <f t="shared" si="4"/>
        <v>228000.06000000006</v>
      </c>
    </row>
    <row r="15" spans="1:26" x14ac:dyDescent="0.25">
      <c r="A15" s="41" t="s">
        <v>340</v>
      </c>
      <c r="B15" s="42">
        <f>SUMIFS('04_Base_Despesas'!$D$4:$D$219, '04_Base_Despesas'!$A$4:$A$219, B$5, '04_Base_Despesas'!$B$4:$B$219, "marketing")</f>
        <v>17846.39</v>
      </c>
      <c r="C15" s="42">
        <f>SUMIFS('04_Base_Despesas'!$D$4:$D$219, '04_Base_Despesas'!$A$4:$A$219, C$5, '04_Base_Despesas'!$B$4:$B$219, "marketing")</f>
        <v>12148.23</v>
      </c>
      <c r="D15" s="42">
        <f>SUMIFS('04_Base_Despesas'!$D$4:$D$219, '04_Base_Despesas'!$A$4:$A$219, D$5, '04_Base_Despesas'!$B$4:$B$219, "marketing")</f>
        <v>10991.08</v>
      </c>
      <c r="E15" s="42">
        <f>SUMIFS('04_Base_Despesas'!$D$4:$D$219, '04_Base_Despesas'!$A$4:$A$219, E$5, '04_Base_Despesas'!$B$4:$B$219, "marketing")</f>
        <v>12370.69</v>
      </c>
      <c r="F15" s="42">
        <f>SUMIFS('04_Base_Despesas'!$D$4:$D$219, '04_Base_Despesas'!$A$4:$A$219, F$5, '04_Base_Despesas'!$B$4:$B$219, "marketing")</f>
        <v>17102.54</v>
      </c>
      <c r="G15" s="42">
        <f>SUMIFS('04_Base_Despesas'!$D$4:$D$219, '04_Base_Despesas'!$A$4:$A$219, G$5, '04_Base_Despesas'!$B$4:$B$219, "marketing")</f>
        <v>17727.79</v>
      </c>
      <c r="H15" s="42">
        <f>SUMIFS('04_Base_Despesas'!$D$4:$D$219, '04_Base_Despesas'!$A$4:$A$219, H$5, '04_Base_Despesas'!$B$4:$B$219, "marketing")</f>
        <v>9948.49</v>
      </c>
      <c r="I15" s="42">
        <f>SUMIFS('04_Base_Despesas'!$D$4:$D$219, '04_Base_Despesas'!$A$4:$A$219, I$5, '04_Base_Despesas'!$B$4:$B$219, "marketing")</f>
        <v>12849.46</v>
      </c>
      <c r="J15" s="42">
        <f>SUMIFS('04_Base_Despesas'!$D$4:$D$219, '04_Base_Despesas'!$A$4:$A$219, J$5, '04_Base_Despesas'!$B$4:$B$219, "marketing")</f>
        <v>14265.61</v>
      </c>
      <c r="K15" s="42">
        <f>SUMIFS('04_Base_Despesas'!$D$4:$D$219, '04_Base_Despesas'!$A$4:$A$219, K$5, '04_Base_Despesas'!$B$4:$B$219, "marketing")</f>
        <v>14515.82</v>
      </c>
      <c r="L15" s="42">
        <f>SUMIFS('04_Base_Despesas'!$D$4:$D$219, '04_Base_Despesas'!$A$4:$A$219, L$5, '04_Base_Despesas'!$B$4:$B$219, "marketing")</f>
        <v>16089.31</v>
      </c>
      <c r="M15" s="42">
        <f>SUMIFS('04_Base_Despesas'!$D$4:$D$219, '04_Base_Despesas'!$A$4:$A$219, M$5, '04_Base_Despesas'!$B$4:$B$219, "marketing")</f>
        <v>18182.099999999999</v>
      </c>
      <c r="N15" s="42">
        <f>SUMIFS('04_Base_Despesas'!$D$4:$D$219, '04_Base_Despesas'!$A$4:$A$219, N$5, '04_Base_Despesas'!$B$4:$B$219, "marketing")</f>
        <v>15044.51</v>
      </c>
      <c r="O15" s="42">
        <f>SUMIFS('04_Base_Despesas'!$D$4:$D$219, '04_Base_Despesas'!$A$4:$A$219, O$5, '04_Base_Despesas'!$B$4:$B$219, "marketing")</f>
        <v>12116.51</v>
      </c>
      <c r="P15" s="42">
        <f>SUMIFS('04_Base_Despesas'!$D$4:$D$219, '04_Base_Despesas'!$A$4:$A$219, P$5, '04_Base_Despesas'!$B$4:$B$219, "marketing")</f>
        <v>15935.34</v>
      </c>
      <c r="Q15" s="42">
        <f>SUMIFS('04_Base_Despesas'!$D$4:$D$219, '04_Base_Despesas'!$A$4:$A$219, Q$5, '04_Base_Despesas'!$B$4:$B$219, "marketing")</f>
        <v>12083.91</v>
      </c>
      <c r="R15" s="42">
        <f>SUMIFS('04_Base_Despesas'!$D$4:$D$219, '04_Base_Despesas'!$A$4:$A$219, R$5, '04_Base_Despesas'!$B$4:$B$219, "marketing")</f>
        <v>20886.62</v>
      </c>
      <c r="S15" s="42">
        <f>SUMIFS('04_Base_Despesas'!$D$4:$D$219, '04_Base_Despesas'!$A$4:$A$219, S$5, '04_Base_Despesas'!$B$4:$B$219, "marketing")</f>
        <v>15036.85</v>
      </c>
      <c r="T15" s="42">
        <f>SUMIFS('04_Base_Despesas'!$D$4:$D$219, '04_Base_Despesas'!$A$4:$A$219, T$5, '04_Base_Despesas'!$B$4:$B$219, "marketing")</f>
        <v>13841.23</v>
      </c>
      <c r="U15" s="42">
        <f>SUMIFS('04_Base_Despesas'!$D$4:$D$219, '04_Base_Despesas'!$A$4:$A$219, U$5, '04_Base_Despesas'!$B$4:$B$219, "marketing")</f>
        <v>12991.25</v>
      </c>
      <c r="V15" s="42">
        <f>SUMIFS('04_Base_Despesas'!$D$4:$D$219, '04_Base_Despesas'!$A$4:$A$219, V$5, '04_Base_Despesas'!$B$4:$B$219, "marketing")</f>
        <v>11814.48</v>
      </c>
      <c r="W15" s="42">
        <f>SUMIFS('04_Base_Despesas'!$D$4:$D$219, '04_Base_Despesas'!$A$4:$A$219, W$5, '04_Base_Despesas'!$B$4:$B$219, "marketing")</f>
        <v>15141.56</v>
      </c>
      <c r="X15" s="42">
        <f>SUMIFS('04_Base_Despesas'!$D$4:$D$219, '04_Base_Despesas'!$A$4:$A$219, X$5, '04_Base_Despesas'!$B$4:$B$219, "marketing")</f>
        <v>17131.12</v>
      </c>
      <c r="Y15" s="42">
        <f>SUMIFS('04_Base_Despesas'!$D$4:$D$219, '04_Base_Despesas'!$A$4:$A$219, Y$5, '04_Base_Despesas'!$B$4:$B$219, "marketing")</f>
        <v>14130.97</v>
      </c>
      <c r="Z15" s="43">
        <f t="shared" si="4"/>
        <v>350191.85999999993</v>
      </c>
    </row>
    <row r="16" spans="1:26" x14ac:dyDescent="0.25">
      <c r="A16" s="41" t="s">
        <v>341</v>
      </c>
      <c r="B16" s="42">
        <f>SUMIFS('04_Base_Despesas'!$D$4:$D$219, '04_Base_Despesas'!$A$4:$A$219, B$5, '04_Base_Despesas'!$B$4:$B$219, "logistica")</f>
        <v>8993.9500000000007</v>
      </c>
      <c r="C16" s="42">
        <f>SUMIFS('04_Base_Despesas'!$D$4:$D$219, '04_Base_Despesas'!$A$4:$A$219, C$5, '04_Base_Despesas'!$B$4:$B$219, "logistica")</f>
        <v>9160.58</v>
      </c>
      <c r="D16" s="42">
        <f>SUMIFS('04_Base_Despesas'!$D$4:$D$219, '04_Base_Despesas'!$A$4:$A$219, D$5, '04_Base_Despesas'!$B$4:$B$219, "logistica")</f>
        <v>9764.07</v>
      </c>
      <c r="E16" s="42">
        <f>SUMIFS('04_Base_Despesas'!$D$4:$D$219, '04_Base_Despesas'!$A$4:$A$219, E$5, '04_Base_Despesas'!$B$4:$B$219, "logistica")</f>
        <v>10858.12</v>
      </c>
      <c r="F16" s="42">
        <f>SUMIFS('04_Base_Despesas'!$D$4:$D$219, '04_Base_Despesas'!$A$4:$A$219, F$5, '04_Base_Despesas'!$B$4:$B$219, "logistica")</f>
        <v>9866.92</v>
      </c>
      <c r="G16" s="42">
        <f>SUMIFS('04_Base_Despesas'!$D$4:$D$219, '04_Base_Despesas'!$A$4:$A$219, G$5, '04_Base_Despesas'!$B$4:$B$219, "logistica")</f>
        <v>9425.93</v>
      </c>
      <c r="H16" s="42">
        <f>SUMIFS('04_Base_Despesas'!$D$4:$D$219, '04_Base_Despesas'!$A$4:$A$219, H$5, '04_Base_Despesas'!$B$4:$B$219, "logistica")</f>
        <v>10739.52</v>
      </c>
      <c r="I16" s="42">
        <f>SUMIFS('04_Base_Despesas'!$D$4:$D$219, '04_Base_Despesas'!$A$4:$A$219, I$5, '04_Base_Despesas'!$B$4:$B$219, "logistica")</f>
        <v>10757.29</v>
      </c>
      <c r="J16" s="42">
        <f>SUMIFS('04_Base_Despesas'!$D$4:$D$219, '04_Base_Despesas'!$A$4:$A$219, J$5, '04_Base_Despesas'!$B$4:$B$219, "logistica")</f>
        <v>10794.97</v>
      </c>
      <c r="K16" s="42">
        <f>SUMIFS('04_Base_Despesas'!$D$4:$D$219, '04_Base_Despesas'!$A$4:$A$219, K$5, '04_Base_Despesas'!$B$4:$B$219, "logistica")</f>
        <v>10176.35</v>
      </c>
      <c r="L16" s="42">
        <f>SUMIFS('04_Base_Despesas'!$D$4:$D$219, '04_Base_Despesas'!$A$4:$A$219, L$5, '04_Base_Despesas'!$B$4:$B$219, "logistica")</f>
        <v>10253.379999999999</v>
      </c>
      <c r="M16" s="42">
        <f>SUMIFS('04_Base_Despesas'!$D$4:$D$219, '04_Base_Despesas'!$A$4:$A$219, M$5, '04_Base_Despesas'!$B$4:$B$219, "logistica")</f>
        <v>9918.14</v>
      </c>
      <c r="N16" s="42">
        <f>SUMIFS('04_Base_Despesas'!$D$4:$D$219, '04_Base_Despesas'!$A$4:$A$219, N$5, '04_Base_Despesas'!$B$4:$B$219, "logistica")</f>
        <v>9464.36</v>
      </c>
      <c r="O16" s="42">
        <f>SUMIFS('04_Base_Despesas'!$D$4:$D$219, '04_Base_Despesas'!$A$4:$A$219, O$5, '04_Base_Despesas'!$B$4:$B$219, "logistica")</f>
        <v>10388.49</v>
      </c>
      <c r="P16" s="42">
        <f>SUMIFS('04_Base_Despesas'!$D$4:$D$219, '04_Base_Despesas'!$A$4:$A$219, P$5, '04_Base_Despesas'!$B$4:$B$219, "logistica")</f>
        <v>11157.93</v>
      </c>
      <c r="Q16" s="42">
        <f>SUMIFS('04_Base_Despesas'!$D$4:$D$219, '04_Base_Despesas'!$A$4:$A$219, Q$5, '04_Base_Despesas'!$B$4:$B$219, "logistica")</f>
        <v>9443.84</v>
      </c>
      <c r="R16" s="42">
        <f>SUMIFS('04_Base_Despesas'!$D$4:$D$219, '04_Base_Despesas'!$A$4:$A$219, R$5, '04_Base_Despesas'!$B$4:$B$219, "logistica")</f>
        <v>10499.24</v>
      </c>
      <c r="S16" s="42">
        <f>SUMIFS('04_Base_Despesas'!$D$4:$D$219, '04_Base_Despesas'!$A$4:$A$219, S$5, '04_Base_Despesas'!$B$4:$B$219, "logistica")</f>
        <v>9752.19</v>
      </c>
      <c r="T16" s="42">
        <f>SUMIFS('04_Base_Despesas'!$D$4:$D$219, '04_Base_Despesas'!$A$4:$A$219, T$5, '04_Base_Despesas'!$B$4:$B$219, "logistica")</f>
        <v>9396.23</v>
      </c>
      <c r="U16" s="42">
        <f>SUMIFS('04_Base_Despesas'!$D$4:$D$219, '04_Base_Despesas'!$A$4:$A$219, U$5, '04_Base_Despesas'!$B$4:$B$219, "logistica")</f>
        <v>9835.24</v>
      </c>
      <c r="V16" s="42">
        <f>SUMIFS('04_Base_Despesas'!$D$4:$D$219, '04_Base_Despesas'!$A$4:$A$219, V$5, '04_Base_Despesas'!$B$4:$B$219, "logistica")</f>
        <v>9068.7999999999993</v>
      </c>
      <c r="W16" s="42">
        <f>SUMIFS('04_Base_Despesas'!$D$4:$D$219, '04_Base_Despesas'!$A$4:$A$219, W$5, '04_Base_Despesas'!$B$4:$B$219, "logistica")</f>
        <v>9571.99</v>
      </c>
      <c r="X16" s="42">
        <f>SUMIFS('04_Base_Despesas'!$D$4:$D$219, '04_Base_Despesas'!$A$4:$A$219, X$5, '04_Base_Despesas'!$B$4:$B$219, "logistica")</f>
        <v>10186.030000000001</v>
      </c>
      <c r="Y16" s="42">
        <f>SUMIFS('04_Base_Despesas'!$D$4:$D$219, '04_Base_Despesas'!$A$4:$A$219, Y$5, '04_Base_Despesas'!$B$4:$B$219, "logistica")</f>
        <v>9303.17</v>
      </c>
      <c r="Z16" s="43">
        <f t="shared" si="4"/>
        <v>238776.72999999998</v>
      </c>
    </row>
    <row r="17" spans="1:26" x14ac:dyDescent="0.25">
      <c r="A17" s="41" t="s">
        <v>342</v>
      </c>
      <c r="B17" s="42">
        <f>SUMIFS('04_Base_Despesas'!$D$4:$D$219, '04_Base_Despesas'!$A$4:$A$219, B$5, '04_Base_Despesas'!$B$4:$B$219, "tecnologia")</f>
        <v>6715.05</v>
      </c>
      <c r="C17" s="42">
        <f>SUMIFS('04_Base_Despesas'!$D$4:$D$219, '04_Base_Despesas'!$A$4:$A$219, C$5, '04_Base_Despesas'!$B$4:$B$219, "tecnologia")</f>
        <v>6617.13</v>
      </c>
      <c r="D17" s="42">
        <f>SUMIFS('04_Base_Despesas'!$D$4:$D$219, '04_Base_Despesas'!$A$4:$A$219, D$5, '04_Base_Despesas'!$B$4:$B$219, "tecnologia")</f>
        <v>6653.07</v>
      </c>
      <c r="E17" s="42">
        <f>SUMIFS('04_Base_Despesas'!$D$4:$D$219, '04_Base_Despesas'!$A$4:$A$219, E$5, '04_Base_Despesas'!$B$4:$B$219, "tecnologia")</f>
        <v>6588.75</v>
      </c>
      <c r="F17" s="42">
        <f>SUMIFS('04_Base_Despesas'!$D$4:$D$219, '04_Base_Despesas'!$A$4:$A$219, F$5, '04_Base_Despesas'!$B$4:$B$219, "tecnologia")</f>
        <v>6590.3</v>
      </c>
      <c r="G17" s="42">
        <f>SUMIFS('04_Base_Despesas'!$D$4:$D$219, '04_Base_Despesas'!$A$4:$A$219, G$5, '04_Base_Despesas'!$B$4:$B$219, "tecnologia")</f>
        <v>6700.43</v>
      </c>
      <c r="H17" s="42">
        <f>SUMIFS('04_Base_Despesas'!$D$4:$D$219, '04_Base_Despesas'!$A$4:$A$219, H$5, '04_Base_Despesas'!$B$4:$B$219, "tecnologia")</f>
        <v>6624.29</v>
      </c>
      <c r="I17" s="42">
        <f>SUMIFS('04_Base_Despesas'!$D$4:$D$219, '04_Base_Despesas'!$A$4:$A$219, I$5, '04_Base_Despesas'!$B$4:$B$219, "tecnologia")</f>
        <v>6794.75</v>
      </c>
      <c r="J17" s="42">
        <f>SUMIFS('04_Base_Despesas'!$D$4:$D$219, '04_Base_Despesas'!$A$4:$A$219, J$5, '04_Base_Despesas'!$B$4:$B$219, "tecnologia")</f>
        <v>6782.06</v>
      </c>
      <c r="K17" s="42">
        <f>SUMIFS('04_Base_Despesas'!$D$4:$D$219, '04_Base_Despesas'!$A$4:$A$219, K$5, '04_Base_Despesas'!$B$4:$B$219, "tecnologia")</f>
        <v>6763.48</v>
      </c>
      <c r="L17" s="42">
        <f>SUMIFS('04_Base_Despesas'!$D$4:$D$219, '04_Base_Despesas'!$A$4:$A$219, L$5, '04_Base_Despesas'!$B$4:$B$219, "tecnologia")</f>
        <v>6514.9</v>
      </c>
      <c r="M17" s="42">
        <f>SUMIFS('04_Base_Despesas'!$D$4:$D$219, '04_Base_Despesas'!$A$4:$A$219, M$5, '04_Base_Despesas'!$B$4:$B$219, "tecnologia")</f>
        <v>6535.45</v>
      </c>
      <c r="N17" s="42">
        <f>SUMIFS('04_Base_Despesas'!$D$4:$D$219, '04_Base_Despesas'!$A$4:$A$219, N$5, '04_Base_Despesas'!$B$4:$B$219, "tecnologia")</f>
        <v>6520.62</v>
      </c>
      <c r="O17" s="42">
        <f>SUMIFS('04_Base_Despesas'!$D$4:$D$219, '04_Base_Despesas'!$A$4:$A$219, O$5, '04_Base_Despesas'!$B$4:$B$219, "tecnologia")</f>
        <v>6686.54</v>
      </c>
      <c r="P17" s="42">
        <f>SUMIFS('04_Base_Despesas'!$D$4:$D$219, '04_Base_Despesas'!$A$4:$A$219, P$5, '04_Base_Despesas'!$B$4:$B$219, "tecnologia")</f>
        <v>6718.6</v>
      </c>
      <c r="Q17" s="42">
        <f>SUMIFS('04_Base_Despesas'!$D$4:$D$219, '04_Base_Despesas'!$A$4:$A$219, Q$5, '04_Base_Despesas'!$B$4:$B$219, "tecnologia")</f>
        <v>6717.18</v>
      </c>
      <c r="R17" s="42">
        <f>SUMIFS('04_Base_Despesas'!$D$4:$D$219, '04_Base_Despesas'!$A$4:$A$219, R$5, '04_Base_Despesas'!$B$4:$B$219, "tecnologia")</f>
        <v>6599.15</v>
      </c>
      <c r="S17" s="42">
        <f>SUMIFS('04_Base_Despesas'!$D$4:$D$219, '04_Base_Despesas'!$A$4:$A$219, S$5, '04_Base_Despesas'!$B$4:$B$219, "tecnologia")</f>
        <v>6710.57</v>
      </c>
      <c r="T17" s="42">
        <f>SUMIFS('04_Base_Despesas'!$D$4:$D$219, '04_Base_Despesas'!$A$4:$A$219, T$5, '04_Base_Despesas'!$B$4:$B$219, "tecnologia")</f>
        <v>6829.25</v>
      </c>
      <c r="U17" s="42">
        <f>SUMIFS('04_Base_Despesas'!$D$4:$D$219, '04_Base_Despesas'!$A$4:$A$219, U$5, '04_Base_Despesas'!$B$4:$B$219, "tecnologia")</f>
        <v>6870.77</v>
      </c>
      <c r="V17" s="42">
        <f>SUMIFS('04_Base_Despesas'!$D$4:$D$219, '04_Base_Despesas'!$A$4:$A$219, V$5, '04_Base_Despesas'!$B$4:$B$219, "tecnologia")</f>
        <v>6716.18</v>
      </c>
      <c r="W17" s="42">
        <f>SUMIFS('04_Base_Despesas'!$D$4:$D$219, '04_Base_Despesas'!$A$4:$A$219, W$5, '04_Base_Despesas'!$B$4:$B$219, "tecnologia")</f>
        <v>6669.14</v>
      </c>
      <c r="X17" s="42">
        <f>SUMIFS('04_Base_Despesas'!$D$4:$D$219, '04_Base_Despesas'!$A$4:$A$219, X$5, '04_Base_Despesas'!$B$4:$B$219, "tecnologia")</f>
        <v>6751.82</v>
      </c>
      <c r="Y17" s="42">
        <f>SUMIFS('04_Base_Despesas'!$D$4:$D$219, '04_Base_Despesas'!$A$4:$A$219, Y$5, '04_Base_Despesas'!$B$4:$B$219, "tecnologia")</f>
        <v>0</v>
      </c>
      <c r="Z17" s="43">
        <f t="shared" si="4"/>
        <v>153669.47999999998</v>
      </c>
    </row>
    <row r="18" spans="1:26" x14ac:dyDescent="0.25">
      <c r="A18" s="41" t="s">
        <v>343</v>
      </c>
      <c r="B18" s="42">
        <f>SUMIFS('04_Base_Despesas'!$D$4:$D$219, '04_Base_Despesas'!$A$4:$A$219, B$5, '04_Base_Despesas'!$B$4:$B$219, "administrativo")</f>
        <v>4109.09</v>
      </c>
      <c r="C18" s="42">
        <f>SUMIFS('04_Base_Despesas'!$D$4:$D$219, '04_Base_Despesas'!$A$4:$A$219, C$5, '04_Base_Despesas'!$B$4:$B$219, "administrativo")</f>
        <v>2500</v>
      </c>
      <c r="D18" s="42">
        <f>SUMIFS('04_Base_Despesas'!$D$4:$D$219, '04_Base_Despesas'!$A$4:$A$219, D$5, '04_Base_Despesas'!$B$4:$B$219, "administrativo")</f>
        <v>2500</v>
      </c>
      <c r="E18" s="42">
        <f>SUMIFS('04_Base_Despesas'!$D$4:$D$219, '04_Base_Despesas'!$A$4:$A$219, E$5, '04_Base_Despesas'!$B$4:$B$219, "administrativo")</f>
        <v>4557.28</v>
      </c>
      <c r="F18" s="42">
        <f>SUMIFS('04_Base_Despesas'!$D$4:$D$219, '04_Base_Despesas'!$A$4:$A$219, F$5, '04_Base_Despesas'!$B$4:$B$219, "administrativo")</f>
        <v>2500</v>
      </c>
      <c r="G18" s="42">
        <f>SUMIFS('04_Base_Despesas'!$D$4:$D$219, '04_Base_Despesas'!$A$4:$A$219, G$5, '04_Base_Despesas'!$B$4:$B$219, "administrativo")</f>
        <v>2500</v>
      </c>
      <c r="H18" s="42">
        <f>SUMIFS('04_Base_Despesas'!$D$4:$D$219, '04_Base_Despesas'!$A$4:$A$219, H$5, '04_Base_Despesas'!$B$4:$B$219, "administrativo")</f>
        <v>4252.75</v>
      </c>
      <c r="I18" s="42">
        <f>SUMIFS('04_Base_Despesas'!$D$4:$D$219, '04_Base_Despesas'!$A$4:$A$219, I$5, '04_Base_Despesas'!$B$4:$B$219, "administrativo")</f>
        <v>2500</v>
      </c>
      <c r="J18" s="42">
        <f>SUMIFS('04_Base_Despesas'!$D$4:$D$219, '04_Base_Despesas'!$A$4:$A$219, J$5, '04_Base_Despesas'!$B$4:$B$219, "administrativo")</f>
        <v>2499.9899999999998</v>
      </c>
      <c r="K18" s="42">
        <f>SUMIFS('04_Base_Despesas'!$D$4:$D$219, '04_Base_Despesas'!$A$4:$A$219, K$5, '04_Base_Despesas'!$B$4:$B$219, "administrativo")</f>
        <v>4537.54</v>
      </c>
      <c r="L18" s="42">
        <f>SUMIFS('04_Base_Despesas'!$D$4:$D$219, '04_Base_Despesas'!$A$4:$A$219, L$5, '04_Base_Despesas'!$B$4:$B$219, "administrativo")</f>
        <v>2500</v>
      </c>
      <c r="M18" s="42">
        <f>SUMIFS('04_Base_Despesas'!$D$4:$D$219, '04_Base_Despesas'!$A$4:$A$219, M$5, '04_Base_Despesas'!$B$4:$B$219, "administrativo")</f>
        <v>2500</v>
      </c>
      <c r="N18" s="42">
        <f>SUMIFS('04_Base_Despesas'!$D$4:$D$219, '04_Base_Despesas'!$A$4:$A$219, N$5, '04_Base_Despesas'!$B$4:$B$219, "administrativo")</f>
        <v>4552.49</v>
      </c>
      <c r="O18" s="42">
        <f>SUMIFS('04_Base_Despesas'!$D$4:$D$219, '04_Base_Despesas'!$A$4:$A$219, O$5, '04_Base_Despesas'!$B$4:$B$219, "administrativo")</f>
        <v>2499.9899999999998</v>
      </c>
      <c r="P18" s="42">
        <f>SUMIFS('04_Base_Despesas'!$D$4:$D$219, '04_Base_Despesas'!$A$4:$A$219, P$5, '04_Base_Despesas'!$B$4:$B$219, "administrativo")</f>
        <v>2500</v>
      </c>
      <c r="Q18" s="42">
        <f>SUMIFS('04_Base_Despesas'!$D$4:$D$219, '04_Base_Despesas'!$A$4:$A$219, Q$5, '04_Base_Despesas'!$B$4:$B$219, "administrativo")</f>
        <v>4482.28</v>
      </c>
      <c r="R18" s="42">
        <f>SUMIFS('04_Base_Despesas'!$D$4:$D$219, '04_Base_Despesas'!$A$4:$A$219, R$5, '04_Base_Despesas'!$B$4:$B$219, "administrativo")</f>
        <v>2499.9899999999998</v>
      </c>
      <c r="S18" s="42">
        <f>SUMIFS('04_Base_Despesas'!$D$4:$D$219, '04_Base_Despesas'!$A$4:$A$219, S$5, '04_Base_Despesas'!$B$4:$B$219, "administrativo")</f>
        <v>2499.9899999999998</v>
      </c>
      <c r="T18" s="42">
        <f>SUMIFS('04_Base_Despesas'!$D$4:$D$219, '04_Base_Despesas'!$A$4:$A$219, T$5, '04_Base_Despesas'!$B$4:$B$219, "administrativo")</f>
        <v>4164.47</v>
      </c>
      <c r="U18" s="42">
        <f>SUMIFS('04_Base_Despesas'!$D$4:$D$219, '04_Base_Despesas'!$A$4:$A$219, U$5, '04_Base_Despesas'!$B$4:$B$219, "administrativo")</f>
        <v>2500</v>
      </c>
      <c r="V18" s="42">
        <f>SUMIFS('04_Base_Despesas'!$D$4:$D$219, '04_Base_Despesas'!$A$4:$A$219, V$5, '04_Base_Despesas'!$B$4:$B$219, "administrativo")</f>
        <v>2500</v>
      </c>
      <c r="W18" s="42">
        <f>SUMIFS('04_Base_Despesas'!$D$4:$D$219, '04_Base_Despesas'!$A$4:$A$219, W$5, '04_Base_Despesas'!$B$4:$B$219, "administrativo")</f>
        <v>4476.3599999999997</v>
      </c>
      <c r="X18" s="42">
        <f>SUMIFS('04_Base_Despesas'!$D$4:$D$219, '04_Base_Despesas'!$A$4:$A$219, X$5, '04_Base_Despesas'!$B$4:$B$219, "administrativo")</f>
        <v>2500</v>
      </c>
      <c r="Y18" s="42">
        <f>SUMIFS('04_Base_Despesas'!$D$4:$D$219, '04_Base_Despesas'!$A$4:$A$219, Y$5, '04_Base_Despesas'!$B$4:$B$219, "administrativo")</f>
        <v>2500</v>
      </c>
      <c r="Z18" s="43">
        <f t="shared" si="4"/>
        <v>75132.219999999987</v>
      </c>
    </row>
    <row r="19" spans="1:26" x14ac:dyDescent="0.25">
      <c r="A19" s="41" t="s">
        <v>344</v>
      </c>
      <c r="B19" s="42">
        <f>SUMIFS('04_Base_Despesas'!$D$4:$D$219, '04_Base_Despesas'!$A$4:$A$219, B$5, '04_Base_Despesas'!$B$4:$B$219, "outros")</f>
        <v>791.43</v>
      </c>
      <c r="C19" s="42">
        <f>SUMIFS('04_Base_Despesas'!$D$4:$D$219, '04_Base_Despesas'!$A$4:$A$219, C$5, '04_Base_Despesas'!$B$4:$B$219, "outros")</f>
        <v>878.67</v>
      </c>
      <c r="D19" s="42">
        <f>SUMIFS('04_Base_Despesas'!$D$4:$D$219, '04_Base_Despesas'!$A$4:$A$219, D$5, '04_Base_Despesas'!$B$4:$B$219, "outros")</f>
        <v>864.81</v>
      </c>
      <c r="E19" s="42">
        <f>SUMIFS('04_Base_Despesas'!$D$4:$D$219, '04_Base_Despesas'!$A$4:$A$219, E$5, '04_Base_Despesas'!$B$4:$B$219, "outros")</f>
        <v>688.55</v>
      </c>
      <c r="F19" s="42">
        <f>SUMIFS('04_Base_Despesas'!$D$4:$D$219, '04_Base_Despesas'!$A$4:$A$219, F$5, '04_Base_Despesas'!$B$4:$B$219, "outros")</f>
        <v>773.72</v>
      </c>
      <c r="G19" s="42">
        <f>SUMIFS('04_Base_Despesas'!$D$4:$D$219, '04_Base_Despesas'!$A$4:$A$219, G$5, '04_Base_Despesas'!$B$4:$B$219, "outros")</f>
        <v>770.82</v>
      </c>
      <c r="H19" s="42">
        <f>SUMIFS('04_Base_Despesas'!$D$4:$D$219, '04_Base_Despesas'!$A$4:$A$219, H$5, '04_Base_Despesas'!$B$4:$B$219, "outros")</f>
        <v>984.56</v>
      </c>
      <c r="I19" s="42">
        <f>SUMIFS('04_Base_Despesas'!$D$4:$D$219, '04_Base_Despesas'!$A$4:$A$219, I$5, '04_Base_Despesas'!$B$4:$B$219, "outros")</f>
        <v>873.81</v>
      </c>
      <c r="J19" s="42">
        <f>SUMIFS('04_Base_Despesas'!$D$4:$D$219, '04_Base_Despesas'!$A$4:$A$219, J$5, '04_Base_Despesas'!$B$4:$B$219, "outros")</f>
        <v>1050.3</v>
      </c>
      <c r="K19" s="42">
        <f>SUMIFS('04_Base_Despesas'!$D$4:$D$219, '04_Base_Despesas'!$A$4:$A$219, K$5, '04_Base_Despesas'!$B$4:$B$219, "outros")</f>
        <v>1132.05</v>
      </c>
      <c r="L19" s="42">
        <f>SUMIFS('04_Base_Despesas'!$D$4:$D$219, '04_Base_Despesas'!$A$4:$A$219, L$5, '04_Base_Despesas'!$B$4:$B$219, "outros")</f>
        <v>797.15</v>
      </c>
      <c r="M19" s="42">
        <f>SUMIFS('04_Base_Despesas'!$D$4:$D$219, '04_Base_Despesas'!$A$4:$A$219, M$5, '04_Base_Despesas'!$B$4:$B$219, "outros")</f>
        <v>767.13</v>
      </c>
      <c r="N19" s="42">
        <f>SUMIFS('04_Base_Despesas'!$D$4:$D$219, '04_Base_Despesas'!$A$4:$A$219, N$5, '04_Base_Despesas'!$B$4:$B$219, "outros")</f>
        <v>589.94000000000005</v>
      </c>
      <c r="O19" s="42">
        <f>SUMIFS('04_Base_Despesas'!$D$4:$D$219, '04_Base_Despesas'!$A$4:$A$219, O$5, '04_Base_Despesas'!$B$4:$B$219, "outros")</f>
        <v>632.86</v>
      </c>
      <c r="P19" s="42">
        <f>SUMIFS('04_Base_Despesas'!$D$4:$D$219, '04_Base_Despesas'!$A$4:$A$219, P$5, '04_Base_Despesas'!$B$4:$B$219, "outros")</f>
        <v>922.21</v>
      </c>
      <c r="Q19" s="42">
        <f>SUMIFS('04_Base_Despesas'!$D$4:$D$219, '04_Base_Despesas'!$A$4:$A$219, Q$5, '04_Base_Despesas'!$B$4:$B$219, "outros")</f>
        <v>882.14</v>
      </c>
      <c r="R19" s="42">
        <f>SUMIFS('04_Base_Despesas'!$D$4:$D$219, '04_Base_Despesas'!$A$4:$A$219, R$5, '04_Base_Despesas'!$B$4:$B$219, "outros")</f>
        <v>863.62</v>
      </c>
      <c r="S19" s="42">
        <f>SUMIFS('04_Base_Despesas'!$D$4:$D$219, '04_Base_Despesas'!$A$4:$A$219, S$5, '04_Base_Despesas'!$B$4:$B$219, "outros")</f>
        <v>999.96</v>
      </c>
      <c r="T19" s="42">
        <f>SUMIFS('04_Base_Despesas'!$D$4:$D$219, '04_Base_Despesas'!$A$4:$A$219, T$5, '04_Base_Despesas'!$B$4:$B$219, "outros")</f>
        <v>818.51</v>
      </c>
      <c r="U19" s="42">
        <f>SUMIFS('04_Base_Despesas'!$D$4:$D$219, '04_Base_Despesas'!$A$4:$A$219, U$5, '04_Base_Despesas'!$B$4:$B$219, "outros")</f>
        <v>1058.21</v>
      </c>
      <c r="V19" s="42">
        <f>SUMIFS('04_Base_Despesas'!$D$4:$D$219, '04_Base_Despesas'!$A$4:$A$219, V$5, '04_Base_Despesas'!$B$4:$B$219, "outros")</f>
        <v>896.54</v>
      </c>
      <c r="W19" s="42">
        <f>SUMIFS('04_Base_Despesas'!$D$4:$D$219, '04_Base_Despesas'!$A$4:$A$219, W$5, '04_Base_Despesas'!$B$4:$B$219, "outros")</f>
        <v>852.41</v>
      </c>
      <c r="X19" s="42">
        <f>SUMIFS('04_Base_Despesas'!$D$4:$D$219, '04_Base_Despesas'!$A$4:$A$219, X$5, '04_Base_Despesas'!$B$4:$B$219, "outros")</f>
        <v>889.93</v>
      </c>
      <c r="Y19" s="42">
        <f>SUMIFS('04_Base_Despesas'!$D$4:$D$219, '04_Base_Despesas'!$A$4:$A$219, Y$5, '04_Base_Despesas'!$B$4:$B$219, "outros")</f>
        <v>648.47</v>
      </c>
      <c r="Z19" s="43">
        <f t="shared" si="4"/>
        <v>20427.800000000003</v>
      </c>
    </row>
    <row r="20" spans="1:26" x14ac:dyDescent="0.25">
      <c r="A20" s="44" t="s">
        <v>345</v>
      </c>
      <c r="B20" s="45">
        <f t="shared" ref="B20:Y20" si="5">B13+B14+B15+B16+B17+B18+B19</f>
        <v>98608.229999999981</v>
      </c>
      <c r="C20" s="45">
        <f t="shared" si="5"/>
        <v>92928.73000000001</v>
      </c>
      <c r="D20" s="45">
        <f t="shared" si="5"/>
        <v>90397.78</v>
      </c>
      <c r="E20" s="45">
        <f t="shared" si="5"/>
        <v>94036.22</v>
      </c>
      <c r="F20" s="45">
        <f t="shared" si="5"/>
        <v>98318.36</v>
      </c>
      <c r="G20" s="45">
        <f t="shared" si="5"/>
        <v>97207.82</v>
      </c>
      <c r="H20" s="45">
        <f t="shared" si="5"/>
        <v>93932.599999999991</v>
      </c>
      <c r="I20" s="45">
        <f t="shared" si="5"/>
        <v>95179.81</v>
      </c>
      <c r="J20" s="45">
        <f t="shared" si="5"/>
        <v>96982.450000000012</v>
      </c>
      <c r="K20" s="45">
        <f t="shared" si="5"/>
        <v>99084.349999999991</v>
      </c>
      <c r="L20" s="45">
        <f t="shared" si="5"/>
        <v>96286.069999999992</v>
      </c>
      <c r="M20" s="45">
        <f t="shared" si="5"/>
        <v>99316.76999999999</v>
      </c>
      <c r="N20" s="45">
        <f t="shared" si="5"/>
        <v>97303.400000000009</v>
      </c>
      <c r="O20" s="45">
        <f t="shared" si="5"/>
        <v>93520.82</v>
      </c>
      <c r="P20" s="45">
        <f t="shared" si="5"/>
        <v>98902.55</v>
      </c>
      <c r="Q20" s="45">
        <f t="shared" si="5"/>
        <v>95035.51</v>
      </c>
      <c r="R20" s="45">
        <f t="shared" si="5"/>
        <v>103096.12</v>
      </c>
      <c r="S20" s="45">
        <f t="shared" si="5"/>
        <v>94921.41</v>
      </c>
      <c r="T20" s="45">
        <f t="shared" si="5"/>
        <v>94991.569999999992</v>
      </c>
      <c r="U20" s="45">
        <f t="shared" si="5"/>
        <v>93955.74</v>
      </c>
      <c r="V20" s="45">
        <f t="shared" si="5"/>
        <v>91732.77</v>
      </c>
      <c r="W20" s="45">
        <f t="shared" si="5"/>
        <v>97442.87000000001</v>
      </c>
      <c r="X20" s="45">
        <f t="shared" si="5"/>
        <v>98193.829999999987</v>
      </c>
      <c r="Y20" s="45">
        <f t="shared" si="5"/>
        <v>87191.94</v>
      </c>
      <c r="Z20" s="43">
        <f t="shared" si="4"/>
        <v>2298567.7199999997</v>
      </c>
    </row>
    <row r="21" spans="1:26" x14ac:dyDescent="0.25">
      <c r="A21" s="44" t="s">
        <v>115</v>
      </c>
      <c r="B21" s="45">
        <f t="shared" ref="B21:Y21" si="6">B11-B20</f>
        <v>-29797.17</v>
      </c>
      <c r="C21" s="45">
        <f t="shared" si="6"/>
        <v>-37170.330000000031</v>
      </c>
      <c r="D21" s="45">
        <f t="shared" si="6"/>
        <v>-21865.989999999976</v>
      </c>
      <c r="E21" s="45">
        <f t="shared" si="6"/>
        <v>-30014.25</v>
      </c>
      <c r="F21" s="45">
        <f t="shared" si="6"/>
        <v>-7727.9699999999575</v>
      </c>
      <c r="G21" s="45">
        <f t="shared" si="6"/>
        <v>-21166.510000000024</v>
      </c>
      <c r="H21" s="45">
        <f t="shared" si="6"/>
        <v>-35000.820000000022</v>
      </c>
      <c r="I21" s="45">
        <f t="shared" si="6"/>
        <v>-36529.780000000013</v>
      </c>
      <c r="J21" s="45">
        <f t="shared" si="6"/>
        <v>-35592.809999999969</v>
      </c>
      <c r="K21" s="45">
        <f t="shared" si="6"/>
        <v>-33223.039999999979</v>
      </c>
      <c r="L21" s="45">
        <f t="shared" si="6"/>
        <v>-5309.9999999999563</v>
      </c>
      <c r="M21" s="45">
        <f t="shared" si="6"/>
        <v>-10117.580000000002</v>
      </c>
      <c r="N21" s="45">
        <f t="shared" si="6"/>
        <v>-19699.150000000009</v>
      </c>
      <c r="O21" s="45">
        <f t="shared" si="6"/>
        <v>-29173.210000000021</v>
      </c>
      <c r="P21" s="45">
        <f t="shared" si="6"/>
        <v>-21824.680000000037</v>
      </c>
      <c r="Q21" s="45">
        <f t="shared" si="6"/>
        <v>-28223.770000000019</v>
      </c>
      <c r="R21" s="45">
        <f t="shared" si="6"/>
        <v>-10066.54999999993</v>
      </c>
      <c r="S21" s="45">
        <f t="shared" si="6"/>
        <v>-12575.89999999998</v>
      </c>
      <c r="T21" s="45">
        <f t="shared" si="6"/>
        <v>-28789.610000000015</v>
      </c>
      <c r="U21" s="45">
        <f t="shared" si="6"/>
        <v>-25172.810000000056</v>
      </c>
      <c r="V21" s="45">
        <f t="shared" si="6"/>
        <v>-21506.659999999989</v>
      </c>
      <c r="W21" s="45">
        <f t="shared" si="6"/>
        <v>-20933.049999999974</v>
      </c>
      <c r="X21" s="45">
        <f t="shared" si="6"/>
        <v>17003.119999999995</v>
      </c>
      <c r="Y21" s="45">
        <f t="shared" si="6"/>
        <v>1974.4199999999546</v>
      </c>
      <c r="Z21" s="43">
        <f t="shared" si="4"/>
        <v>-502504.1</v>
      </c>
    </row>
    <row r="22" spans="1:26" x14ac:dyDescent="0.25">
      <c r="A22" s="41" t="s">
        <v>346</v>
      </c>
      <c r="B22" s="46">
        <f t="shared" ref="B22:Y22" si="7">IFERROR(B21/B9,0)</f>
        <v>-0.19861847067249735</v>
      </c>
      <c r="C22" s="46">
        <f t="shared" si="7"/>
        <v>-0.29805054064781544</v>
      </c>
      <c r="D22" s="46">
        <f t="shared" si="7"/>
        <v>-0.14375891672550867</v>
      </c>
      <c r="E22" s="46">
        <f t="shared" si="7"/>
        <v>-0.21466939157819812</v>
      </c>
      <c r="F22" s="46">
        <f t="shared" si="7"/>
        <v>-3.9631580769274928E-2</v>
      </c>
      <c r="G22" s="46">
        <f t="shared" si="7"/>
        <v>-0.12471260405969059</v>
      </c>
      <c r="H22" s="46">
        <f t="shared" si="7"/>
        <v>-0.27088587590018126</v>
      </c>
      <c r="I22" s="46">
        <f t="shared" si="7"/>
        <v>-0.28329801199289228</v>
      </c>
      <c r="J22" s="46">
        <f t="shared" si="7"/>
        <v>-0.26374627225669739</v>
      </c>
      <c r="K22" s="46">
        <f t="shared" si="7"/>
        <v>-0.22401081842233392</v>
      </c>
      <c r="L22" s="46">
        <f t="shared" si="7"/>
        <v>-2.6149961806774022E-2</v>
      </c>
      <c r="M22" s="46">
        <f t="shared" si="7"/>
        <v>-5.1390937356682397E-2</v>
      </c>
      <c r="N22" s="46">
        <f t="shared" si="7"/>
        <v>-0.11209229292402524</v>
      </c>
      <c r="O22" s="46">
        <f t="shared" si="7"/>
        <v>-0.20100967827107444</v>
      </c>
      <c r="P22" s="46">
        <f t="shared" si="7"/>
        <v>-0.12773862906142389</v>
      </c>
      <c r="Q22" s="46">
        <f t="shared" si="7"/>
        <v>-0.19476159899858173</v>
      </c>
      <c r="R22" s="46">
        <f t="shared" si="7"/>
        <v>-4.8162605602919378E-2</v>
      </c>
      <c r="S22" s="46">
        <f t="shared" si="7"/>
        <v>-6.8127766798359982E-2</v>
      </c>
      <c r="T22" s="46">
        <f t="shared" si="7"/>
        <v>-0.18729609154797874</v>
      </c>
      <c r="U22" s="46">
        <f t="shared" si="7"/>
        <v>-0.1665599289106037</v>
      </c>
      <c r="V22" s="46">
        <f t="shared" si="7"/>
        <v>-0.13757906027288888</v>
      </c>
      <c r="W22" s="46">
        <f t="shared" si="7"/>
        <v>-0.12436333970228779</v>
      </c>
      <c r="X22" s="46">
        <f t="shared" si="7"/>
        <v>6.8471446847073791E-2</v>
      </c>
      <c r="Y22" s="46">
        <f t="shared" si="7"/>
        <v>1.0163004834069702E-2</v>
      </c>
      <c r="Z22" s="47">
        <f>IFERROR($Z$21/$Z$9,0)</f>
        <v>-0.1264144176809123</v>
      </c>
    </row>
    <row r="23" spans="1:26" x14ac:dyDescent="0.25">
      <c r="A23" s="41" t="s">
        <v>347</v>
      </c>
      <c r="B23" s="42">
        <f>SUMIFS('04_Base_Despesas'!$D$4:$D$219, '04_Base_Despesas'!$A$4:$A$219, B$5, '04_Base_Despesas'!$B$4:$B$219, "depreciacao")</f>
        <v>2199.9899999999998</v>
      </c>
      <c r="C23" s="42">
        <f>SUMIFS('04_Base_Despesas'!$D$4:$D$219, '04_Base_Despesas'!$A$4:$A$219, C$5, '04_Base_Despesas'!$B$4:$B$219, "depreciacao")</f>
        <v>2200</v>
      </c>
      <c r="D23" s="42">
        <f>SUMIFS('04_Base_Despesas'!$D$4:$D$219, '04_Base_Despesas'!$A$4:$A$219, D$5, '04_Base_Despesas'!$B$4:$B$219, "depreciacao")</f>
        <v>2199.9899999999998</v>
      </c>
      <c r="E23" s="42">
        <f>SUMIFS('04_Base_Despesas'!$D$4:$D$219, '04_Base_Despesas'!$A$4:$A$219, E$5, '04_Base_Despesas'!$B$4:$B$219, "depreciacao")</f>
        <v>2199.9899999999998</v>
      </c>
      <c r="F23" s="42">
        <f>SUMIFS('04_Base_Despesas'!$D$4:$D$219, '04_Base_Despesas'!$A$4:$A$219, F$5, '04_Base_Despesas'!$B$4:$B$219, "depreciacao")</f>
        <v>2199.9899999999998</v>
      </c>
      <c r="G23" s="42">
        <f>SUMIFS('04_Base_Despesas'!$D$4:$D$219, '04_Base_Despesas'!$A$4:$A$219, G$5, '04_Base_Despesas'!$B$4:$B$219, "depreciacao")</f>
        <v>2199.9899999999998</v>
      </c>
      <c r="H23" s="42">
        <f>SUMIFS('04_Base_Despesas'!$D$4:$D$219, '04_Base_Despesas'!$A$4:$A$219, H$5, '04_Base_Despesas'!$B$4:$B$219, "depreciacao")</f>
        <v>2199.9899999999998</v>
      </c>
      <c r="I23" s="42">
        <f>SUMIFS('04_Base_Despesas'!$D$4:$D$219, '04_Base_Despesas'!$A$4:$A$219, I$5, '04_Base_Despesas'!$B$4:$B$219, "depreciacao")</f>
        <v>2200</v>
      </c>
      <c r="J23" s="42">
        <f>SUMIFS('04_Base_Despesas'!$D$4:$D$219, '04_Base_Despesas'!$A$4:$A$219, J$5, '04_Base_Despesas'!$B$4:$B$219, "depreciacao")</f>
        <v>2199.9899999999998</v>
      </c>
      <c r="K23" s="42">
        <f>SUMIFS('04_Base_Despesas'!$D$4:$D$219, '04_Base_Despesas'!$A$4:$A$219, K$5, '04_Base_Despesas'!$B$4:$B$219, "depreciacao")</f>
        <v>2200</v>
      </c>
      <c r="L23" s="42">
        <f>SUMIFS('04_Base_Despesas'!$D$4:$D$219, '04_Base_Despesas'!$A$4:$A$219, L$5, '04_Base_Despesas'!$B$4:$B$219, "depreciacao")</f>
        <v>2200</v>
      </c>
      <c r="M23" s="42">
        <f>SUMIFS('04_Base_Despesas'!$D$4:$D$219, '04_Base_Despesas'!$A$4:$A$219, M$5, '04_Base_Despesas'!$B$4:$B$219, "depreciacao")</f>
        <v>2200</v>
      </c>
      <c r="N23" s="42">
        <f>SUMIFS('04_Base_Despesas'!$D$4:$D$219, '04_Base_Despesas'!$A$4:$A$219, N$5, '04_Base_Despesas'!$B$4:$B$219, "depreciacao")</f>
        <v>2200</v>
      </c>
      <c r="O23" s="42">
        <f>SUMIFS('04_Base_Despesas'!$D$4:$D$219, '04_Base_Despesas'!$A$4:$A$219, O$5, '04_Base_Despesas'!$B$4:$B$219, "depreciacao")</f>
        <v>2200</v>
      </c>
      <c r="P23" s="42">
        <f>SUMIFS('04_Base_Despesas'!$D$4:$D$219, '04_Base_Despesas'!$A$4:$A$219, P$5, '04_Base_Despesas'!$B$4:$B$219, "depreciacao")</f>
        <v>2200</v>
      </c>
      <c r="Q23" s="42">
        <f>SUMIFS('04_Base_Despesas'!$D$4:$D$219, '04_Base_Despesas'!$A$4:$A$219, Q$5, '04_Base_Despesas'!$B$4:$B$219, "depreciacao")</f>
        <v>2200</v>
      </c>
      <c r="R23" s="42">
        <f>SUMIFS('04_Base_Despesas'!$D$4:$D$219, '04_Base_Despesas'!$A$4:$A$219, R$5, '04_Base_Despesas'!$B$4:$B$219, "depreciacao")</f>
        <v>2199.9899999999998</v>
      </c>
      <c r="S23" s="42">
        <f>SUMIFS('04_Base_Despesas'!$D$4:$D$219, '04_Base_Despesas'!$A$4:$A$219, S$5, '04_Base_Despesas'!$B$4:$B$219, "depreciacao")</f>
        <v>2200</v>
      </c>
      <c r="T23" s="42">
        <f>SUMIFS('04_Base_Despesas'!$D$4:$D$219, '04_Base_Despesas'!$A$4:$A$219, T$5, '04_Base_Despesas'!$B$4:$B$219, "depreciacao")</f>
        <v>2200</v>
      </c>
      <c r="U23" s="42">
        <f>SUMIFS('04_Base_Despesas'!$D$4:$D$219, '04_Base_Despesas'!$A$4:$A$219, U$5, '04_Base_Despesas'!$B$4:$B$219, "depreciacao")</f>
        <v>2200</v>
      </c>
      <c r="V23" s="42">
        <f>SUMIFS('04_Base_Despesas'!$D$4:$D$219, '04_Base_Despesas'!$A$4:$A$219, V$5, '04_Base_Despesas'!$B$4:$B$219, "depreciacao")</f>
        <v>2200</v>
      </c>
      <c r="W23" s="42">
        <f>SUMIFS('04_Base_Despesas'!$D$4:$D$219, '04_Base_Despesas'!$A$4:$A$219, W$5, '04_Base_Despesas'!$B$4:$B$219, "depreciacao")</f>
        <v>2199.9899999999998</v>
      </c>
      <c r="X23" s="42">
        <f>SUMIFS('04_Base_Despesas'!$D$4:$D$219, '04_Base_Despesas'!$A$4:$A$219, X$5, '04_Base_Despesas'!$B$4:$B$219, "depreciacao")</f>
        <v>2200</v>
      </c>
      <c r="Y23" s="42">
        <f>SUMIFS('04_Base_Despesas'!$D$4:$D$219, '04_Base_Despesas'!$A$4:$A$219, Y$5, '04_Base_Despesas'!$B$4:$B$219, "depreciacao")</f>
        <v>2200</v>
      </c>
      <c r="Z23" s="43">
        <f>SUM(B23:Y23)</f>
        <v>52799.909999999996</v>
      </c>
    </row>
    <row r="24" spans="1:26" x14ac:dyDescent="0.25">
      <c r="A24" s="44" t="s">
        <v>117</v>
      </c>
      <c r="B24" s="45">
        <f t="shared" ref="B24:Y24" si="8">B21-B23</f>
        <v>-31997.159999999996</v>
      </c>
      <c r="C24" s="45">
        <f t="shared" si="8"/>
        <v>-39370.330000000031</v>
      </c>
      <c r="D24" s="45">
        <f t="shared" si="8"/>
        <v>-24065.979999999974</v>
      </c>
      <c r="E24" s="45">
        <f t="shared" si="8"/>
        <v>-32214.239999999998</v>
      </c>
      <c r="F24" s="45">
        <f t="shared" si="8"/>
        <v>-9927.9599999999573</v>
      </c>
      <c r="G24" s="45">
        <f t="shared" si="8"/>
        <v>-23366.500000000022</v>
      </c>
      <c r="H24" s="45">
        <f t="shared" si="8"/>
        <v>-37200.810000000019</v>
      </c>
      <c r="I24" s="45">
        <f t="shared" si="8"/>
        <v>-38729.780000000013</v>
      </c>
      <c r="J24" s="45">
        <f t="shared" si="8"/>
        <v>-37792.799999999967</v>
      </c>
      <c r="K24" s="45">
        <f t="shared" si="8"/>
        <v>-35423.039999999979</v>
      </c>
      <c r="L24" s="45">
        <f t="shared" si="8"/>
        <v>-7509.9999999999563</v>
      </c>
      <c r="M24" s="45">
        <f t="shared" si="8"/>
        <v>-12317.580000000002</v>
      </c>
      <c r="N24" s="45">
        <f t="shared" si="8"/>
        <v>-21899.150000000009</v>
      </c>
      <c r="O24" s="45">
        <f t="shared" si="8"/>
        <v>-31373.210000000021</v>
      </c>
      <c r="P24" s="45">
        <f t="shared" si="8"/>
        <v>-24024.680000000037</v>
      </c>
      <c r="Q24" s="45">
        <f t="shared" si="8"/>
        <v>-30423.770000000019</v>
      </c>
      <c r="R24" s="45">
        <f t="shared" si="8"/>
        <v>-12266.53999999993</v>
      </c>
      <c r="S24" s="45">
        <f t="shared" si="8"/>
        <v>-14775.89999999998</v>
      </c>
      <c r="T24" s="45">
        <f t="shared" si="8"/>
        <v>-30989.610000000015</v>
      </c>
      <c r="U24" s="45">
        <f t="shared" si="8"/>
        <v>-27372.810000000056</v>
      </c>
      <c r="V24" s="45">
        <f t="shared" si="8"/>
        <v>-23706.659999999989</v>
      </c>
      <c r="W24" s="45">
        <f t="shared" si="8"/>
        <v>-23133.039999999972</v>
      </c>
      <c r="X24" s="45">
        <f t="shared" si="8"/>
        <v>14803.119999999995</v>
      </c>
      <c r="Y24" s="45">
        <f t="shared" si="8"/>
        <v>-225.5800000000454</v>
      </c>
      <c r="Z24" s="43">
        <f>SUM(B24:Y24)</f>
        <v>-555304.01</v>
      </c>
    </row>
    <row r="25" spans="1:26" x14ac:dyDescent="0.25">
      <c r="A25" s="41" t="s">
        <v>348</v>
      </c>
      <c r="B25" s="42">
        <f>SUMIFS('04_Base_Despesas'!$D$4:$D$219, '04_Base_Despesas'!$A$4:$A$219, B$5, '04_Base_Despesas'!$B$4:$B$219, "financeiro")</f>
        <v>1365.44</v>
      </c>
      <c r="C25" s="42">
        <f>SUMIFS('04_Base_Despesas'!$D$4:$D$219, '04_Base_Despesas'!$A$4:$A$219, C$5, '04_Base_Despesas'!$B$4:$B$219, "financeiro")</f>
        <v>1351.57</v>
      </c>
      <c r="D25" s="42">
        <f>SUMIFS('04_Base_Despesas'!$D$4:$D$219, '04_Base_Despesas'!$A$4:$A$219, D$5, '04_Base_Despesas'!$B$4:$B$219, "financeiro")</f>
        <v>1345.81</v>
      </c>
      <c r="E25" s="42">
        <f>SUMIFS('04_Base_Despesas'!$D$4:$D$219, '04_Base_Despesas'!$A$4:$A$219, E$5, '04_Base_Despesas'!$B$4:$B$219, "financeiro")</f>
        <v>1298.0999999999999</v>
      </c>
      <c r="F25" s="42">
        <f>SUMIFS('04_Base_Despesas'!$D$4:$D$219, '04_Base_Despesas'!$A$4:$A$219, F$5, '04_Base_Despesas'!$B$4:$B$219, "financeiro")</f>
        <v>1353.03</v>
      </c>
      <c r="G25" s="42">
        <f>SUMIFS('04_Base_Despesas'!$D$4:$D$219, '04_Base_Despesas'!$A$4:$A$219, G$5, '04_Base_Despesas'!$B$4:$B$219, "financeiro")</f>
        <v>1278.47</v>
      </c>
      <c r="H25" s="42">
        <f>SUMIFS('04_Base_Despesas'!$D$4:$D$219, '04_Base_Despesas'!$A$4:$A$219, H$5, '04_Base_Despesas'!$B$4:$B$219, "financeiro")</f>
        <v>5445.99</v>
      </c>
      <c r="I25" s="42">
        <f>SUMIFS('04_Base_Despesas'!$D$4:$D$219, '04_Base_Despesas'!$A$4:$A$219, I$5, '04_Base_Despesas'!$B$4:$B$219, "financeiro")</f>
        <v>1313.68</v>
      </c>
      <c r="J25" s="42">
        <f>SUMIFS('04_Base_Despesas'!$D$4:$D$219, '04_Base_Despesas'!$A$4:$A$219, J$5, '04_Base_Despesas'!$B$4:$B$219, "financeiro")</f>
        <v>1301.22</v>
      </c>
      <c r="K25" s="42">
        <f>SUMIFS('04_Base_Despesas'!$D$4:$D$219, '04_Base_Despesas'!$A$4:$A$219, K$5, '04_Base_Despesas'!$B$4:$B$219, "financeiro")</f>
        <v>1178.82</v>
      </c>
      <c r="L25" s="42">
        <f>SUMIFS('04_Base_Despesas'!$D$4:$D$219, '04_Base_Despesas'!$A$4:$A$219, L$5, '04_Base_Despesas'!$B$4:$B$219, "financeiro")</f>
        <v>1292.18</v>
      </c>
      <c r="M25" s="42">
        <f>SUMIFS('04_Base_Despesas'!$D$4:$D$219, '04_Base_Despesas'!$A$4:$A$219, M$5, '04_Base_Despesas'!$B$4:$B$219, "financeiro")</f>
        <v>1297.56</v>
      </c>
      <c r="N25" s="42">
        <f>SUMIFS('04_Base_Despesas'!$D$4:$D$219, '04_Base_Despesas'!$A$4:$A$219, N$5, '04_Base_Despesas'!$B$4:$B$219, "financeiro")</f>
        <v>1209.68</v>
      </c>
      <c r="O25" s="42">
        <f>SUMIFS('04_Base_Despesas'!$D$4:$D$219, '04_Base_Despesas'!$A$4:$A$219, O$5, '04_Base_Despesas'!$B$4:$B$219, "financeiro")</f>
        <v>1271.53</v>
      </c>
      <c r="P25" s="42">
        <f>SUMIFS('04_Base_Despesas'!$D$4:$D$219, '04_Base_Despesas'!$A$4:$A$219, P$5, '04_Base_Despesas'!$B$4:$B$219, "financeiro")</f>
        <v>1313.88</v>
      </c>
      <c r="Q25" s="42">
        <f>SUMIFS('04_Base_Despesas'!$D$4:$D$219, '04_Base_Despesas'!$A$4:$A$219, Q$5, '04_Base_Despesas'!$B$4:$B$219, "financeiro")</f>
        <v>1394.83</v>
      </c>
      <c r="R25" s="42">
        <f>SUMIFS('04_Base_Despesas'!$D$4:$D$219, '04_Base_Despesas'!$A$4:$A$219, R$5, '04_Base_Despesas'!$B$4:$B$219, "financeiro")</f>
        <v>1344.64</v>
      </c>
      <c r="S25" s="42">
        <f>SUMIFS('04_Base_Despesas'!$D$4:$D$219, '04_Base_Despesas'!$A$4:$A$219, S$5, '04_Base_Despesas'!$B$4:$B$219, "financeiro")</f>
        <v>1358.12</v>
      </c>
      <c r="T25" s="42">
        <f>SUMIFS('04_Base_Despesas'!$D$4:$D$219, '04_Base_Despesas'!$A$4:$A$219, T$5, '04_Base_Despesas'!$B$4:$B$219, "financeiro")</f>
        <v>1311.67</v>
      </c>
      <c r="U25" s="42">
        <f>SUMIFS('04_Base_Despesas'!$D$4:$D$219, '04_Base_Despesas'!$A$4:$A$219, U$5, '04_Base_Despesas'!$B$4:$B$219, "financeiro")</f>
        <v>1364.52</v>
      </c>
      <c r="V25" s="42">
        <f>SUMIFS('04_Base_Despesas'!$D$4:$D$219, '04_Base_Despesas'!$A$4:$A$219, V$5, '04_Base_Despesas'!$B$4:$B$219, "financeiro")</f>
        <v>1209.68</v>
      </c>
      <c r="W25" s="42">
        <f>SUMIFS('04_Base_Despesas'!$D$4:$D$219, '04_Base_Despesas'!$A$4:$A$219, W$5, '04_Base_Despesas'!$B$4:$B$219, "financeiro")</f>
        <v>1335.64</v>
      </c>
      <c r="X25" s="42">
        <f>SUMIFS('04_Base_Despesas'!$D$4:$D$219, '04_Base_Despesas'!$A$4:$A$219, X$5, '04_Base_Despesas'!$B$4:$B$219, "financeiro")</f>
        <v>1308.6400000000001</v>
      </c>
      <c r="Y25" s="42">
        <f>SUMIFS('04_Base_Despesas'!$D$4:$D$219, '04_Base_Despesas'!$A$4:$A$219, Y$5, '04_Base_Despesas'!$B$4:$B$219, "financeiro")</f>
        <v>1383.86</v>
      </c>
      <c r="Z25" s="43">
        <f>SUM(B25:Y25)</f>
        <v>35628.560000000005</v>
      </c>
    </row>
    <row r="26" spans="1:26" x14ac:dyDescent="0.25">
      <c r="A26" s="44" t="s">
        <v>119</v>
      </c>
      <c r="B26" s="45">
        <f t="shared" ref="B26:Y26" si="9">B24-B25</f>
        <v>-33362.6</v>
      </c>
      <c r="C26" s="45">
        <f t="shared" si="9"/>
        <v>-40721.900000000031</v>
      </c>
      <c r="D26" s="45">
        <f t="shared" si="9"/>
        <v>-25411.789999999975</v>
      </c>
      <c r="E26" s="45">
        <f t="shared" si="9"/>
        <v>-33512.339999999997</v>
      </c>
      <c r="F26" s="45">
        <f t="shared" si="9"/>
        <v>-11280.989999999958</v>
      </c>
      <c r="G26" s="45">
        <f t="shared" si="9"/>
        <v>-24644.970000000023</v>
      </c>
      <c r="H26" s="45">
        <f t="shared" si="9"/>
        <v>-42646.800000000017</v>
      </c>
      <c r="I26" s="45">
        <f t="shared" si="9"/>
        <v>-40043.460000000014</v>
      </c>
      <c r="J26" s="45">
        <f t="shared" si="9"/>
        <v>-39094.019999999968</v>
      </c>
      <c r="K26" s="45">
        <f t="shared" si="9"/>
        <v>-36601.859999999979</v>
      </c>
      <c r="L26" s="45">
        <f t="shared" si="9"/>
        <v>-8802.1799999999566</v>
      </c>
      <c r="M26" s="45">
        <f t="shared" si="9"/>
        <v>-13615.140000000001</v>
      </c>
      <c r="N26" s="45">
        <f t="shared" si="9"/>
        <v>-23108.830000000009</v>
      </c>
      <c r="O26" s="45">
        <f t="shared" si="9"/>
        <v>-32644.74000000002</v>
      </c>
      <c r="P26" s="45">
        <f t="shared" si="9"/>
        <v>-25338.560000000038</v>
      </c>
      <c r="Q26" s="45">
        <f t="shared" si="9"/>
        <v>-31818.60000000002</v>
      </c>
      <c r="R26" s="45">
        <f t="shared" si="9"/>
        <v>-13611.179999999929</v>
      </c>
      <c r="S26" s="45">
        <f t="shared" si="9"/>
        <v>-16134.019999999979</v>
      </c>
      <c r="T26" s="45">
        <f t="shared" si="9"/>
        <v>-32301.280000000013</v>
      </c>
      <c r="U26" s="45">
        <f t="shared" si="9"/>
        <v>-28737.330000000056</v>
      </c>
      <c r="V26" s="45">
        <f t="shared" si="9"/>
        <v>-24916.339999999989</v>
      </c>
      <c r="W26" s="45">
        <f t="shared" si="9"/>
        <v>-24468.679999999971</v>
      </c>
      <c r="X26" s="45">
        <f t="shared" si="9"/>
        <v>13494.479999999996</v>
      </c>
      <c r="Y26" s="45">
        <f t="shared" si="9"/>
        <v>-1609.4400000000453</v>
      </c>
      <c r="Z26" s="43">
        <f>SUM(B26:Y26)</f>
        <v>-590932.57000000007</v>
      </c>
    </row>
    <row r="27" spans="1:26" x14ac:dyDescent="0.25">
      <c r="A27" s="41" t="s">
        <v>349</v>
      </c>
      <c r="B27" s="46">
        <f t="shared" ref="B27:Y27" si="10">IFERROR(B26/B9,0)</f>
        <v>-0.22238449455630385</v>
      </c>
      <c r="C27" s="46">
        <f t="shared" si="10"/>
        <v>-0.32652882853626197</v>
      </c>
      <c r="D27" s="46">
        <f t="shared" si="10"/>
        <v>-0.16707093538669479</v>
      </c>
      <c r="E27" s="46">
        <f t="shared" si="10"/>
        <v>-0.23968860251919374</v>
      </c>
      <c r="F27" s="46">
        <f t="shared" si="10"/>
        <v>-5.7852640000204909E-2</v>
      </c>
      <c r="G27" s="46">
        <f t="shared" si="10"/>
        <v>-0.14520761267081594</v>
      </c>
      <c r="H27" s="46">
        <f t="shared" si="10"/>
        <v>-0.33006128920236288</v>
      </c>
      <c r="I27" s="46">
        <f t="shared" si="10"/>
        <v>-0.31054752071643749</v>
      </c>
      <c r="J27" s="46">
        <f t="shared" si="10"/>
        <v>-0.28969058758015381</v>
      </c>
      <c r="K27" s="46">
        <f t="shared" si="10"/>
        <v>-0.24679296700060221</v>
      </c>
      <c r="L27" s="46">
        <f t="shared" si="10"/>
        <v>-4.3347772281798667E-2</v>
      </c>
      <c r="M27" s="46">
        <f t="shared" si="10"/>
        <v>-6.9156340433429803E-2</v>
      </c>
      <c r="N27" s="46">
        <f t="shared" si="10"/>
        <v>-0.13149408687641354</v>
      </c>
      <c r="O27" s="46">
        <f t="shared" si="10"/>
        <v>-0.22492926505663496</v>
      </c>
      <c r="P27" s="46">
        <f t="shared" si="10"/>
        <v>-0.14830517179590411</v>
      </c>
      <c r="Q27" s="46">
        <f t="shared" si="10"/>
        <v>-0.2195681659075408</v>
      </c>
      <c r="R27" s="46">
        <f t="shared" si="10"/>
        <v>-6.5121605130888466E-2</v>
      </c>
      <c r="S27" s="46">
        <f t="shared" si="10"/>
        <v>-8.7403267525988301E-2</v>
      </c>
      <c r="T27" s="46">
        <f t="shared" si="10"/>
        <v>-0.21014190522194964</v>
      </c>
      <c r="U27" s="46">
        <f t="shared" si="10"/>
        <v>-0.19014514636548555</v>
      </c>
      <c r="V27" s="46">
        <f t="shared" si="10"/>
        <v>-0.15939093483784988</v>
      </c>
      <c r="W27" s="46">
        <f t="shared" si="10"/>
        <v>-0.14536853267472133</v>
      </c>
      <c r="X27" s="46">
        <f t="shared" si="10"/>
        <v>5.4342177791423009E-2</v>
      </c>
      <c r="Y27" s="46">
        <f t="shared" si="10"/>
        <v>-8.284329828580534E-3</v>
      </c>
      <c r="Z27" s="47">
        <f>IFERROR($Z$26/$Z$9,0)</f>
        <v>-0.14866027307087634</v>
      </c>
    </row>
  </sheetData>
  <mergeCells count="3">
    <mergeCell ref="A1:Z1"/>
    <mergeCell ref="A2:Z2"/>
    <mergeCell ref="A4:Z4"/>
  </mergeCells>
  <conditionalFormatting sqref="B21:Z21">
    <cfRule type="cellIs" dxfId="59" priority="2" operator="lessThan">
      <formula>0</formula>
    </cfRule>
    <cfRule type="cellIs" dxfId="58" priority="3" operator="greaterThan">
      <formula>0</formula>
    </cfRule>
  </conditionalFormatting>
  <conditionalFormatting sqref="B24:Z24">
    <cfRule type="cellIs" dxfId="57" priority="4" operator="lessThan">
      <formula>0</formula>
    </cfRule>
    <cfRule type="cellIs" dxfId="56" priority="5" operator="greaterThan">
      <formula>0</formula>
    </cfRule>
  </conditionalFormatting>
  <conditionalFormatting sqref="B26:Z26">
    <cfRule type="cellIs" dxfId="55" priority="6" operator="lessThan">
      <formula>0</formula>
    </cfRule>
    <cfRule type="cellIs" dxfId="54" priority="7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Z1"/>
    </sheetView>
  </sheetViews>
  <sheetFormatPr defaultColWidth="8.7109375" defaultRowHeight="15" x14ac:dyDescent="0.25"/>
  <cols>
    <col min="1" max="1" width="38" customWidth="1"/>
    <col min="2" max="25" width="13" customWidth="1"/>
    <col min="26" max="26" width="15" customWidth="1"/>
  </cols>
  <sheetData>
    <row r="1" spans="1:26" ht="27.75" customHeight="1" x14ac:dyDescent="0.25">
      <c r="A1" s="8" t="s">
        <v>350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7" t="s">
        <v>351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4" spans="1:26" ht="30" customHeight="1" x14ac:dyDescent="0.25">
      <c r="A4" s="3" t="s">
        <v>352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6" spans="1:26" ht="21.75" customHeight="1" x14ac:dyDescent="0.25">
      <c r="A6" s="4" t="s">
        <v>353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38" t="s">
        <v>329</v>
      </c>
      <c r="B7" s="39" t="s">
        <v>135</v>
      </c>
      <c r="C7" s="39" t="s">
        <v>144</v>
      </c>
      <c r="D7" s="39" t="s">
        <v>145</v>
      </c>
      <c r="E7" s="39" t="s">
        <v>146</v>
      </c>
      <c r="F7" s="39" t="s">
        <v>147</v>
      </c>
      <c r="G7" s="39" t="s">
        <v>148</v>
      </c>
      <c r="H7" s="39" t="s">
        <v>149</v>
      </c>
      <c r="I7" s="39" t="s">
        <v>150</v>
      </c>
      <c r="J7" s="39" t="s">
        <v>151</v>
      </c>
      <c r="K7" s="39" t="s">
        <v>152</v>
      </c>
      <c r="L7" s="39" t="s">
        <v>153</v>
      </c>
      <c r="M7" s="39" t="s">
        <v>154</v>
      </c>
      <c r="N7" s="39" t="s">
        <v>155</v>
      </c>
      <c r="O7" s="39" t="s">
        <v>156</v>
      </c>
      <c r="P7" s="39" t="s">
        <v>157</v>
      </c>
      <c r="Q7" s="39" t="s">
        <v>158</v>
      </c>
      <c r="R7" s="39" t="s">
        <v>159</v>
      </c>
      <c r="S7" s="39" t="s">
        <v>160</v>
      </c>
      <c r="T7" s="39" t="s">
        <v>161</v>
      </c>
      <c r="U7" s="39" t="s">
        <v>162</v>
      </c>
      <c r="V7" s="39" t="s">
        <v>163</v>
      </c>
      <c r="W7" s="39" t="s">
        <v>164</v>
      </c>
      <c r="X7" s="39" t="s">
        <v>165</v>
      </c>
      <c r="Y7" s="39" t="s">
        <v>166</v>
      </c>
      <c r="Z7" s="40" t="s">
        <v>330</v>
      </c>
    </row>
    <row r="8" spans="1:26" x14ac:dyDescent="0.25">
      <c r="A8" s="41" t="s">
        <v>331</v>
      </c>
      <c r="B8" s="42">
        <f>SUMIFS('03_Base_Vendas'!$F$4:$F$387, '03_Base_Vendas'!$A$4:$A$387, B$7, '03_Base_Vendas'!$B$4:$B$387, "ecommerce")</f>
        <v>68636.19</v>
      </c>
      <c r="C8" s="42">
        <f>SUMIFS('03_Base_Vendas'!$F$4:$F$387, '03_Base_Vendas'!$A$4:$A$387, C$7, '03_Base_Vendas'!$B$4:$B$387, "ecommerce")</f>
        <v>66148.95</v>
      </c>
      <c r="D8" s="42">
        <f>SUMIFS('03_Base_Vendas'!$F$4:$F$387, '03_Base_Vendas'!$A$4:$A$387, D$7, '03_Base_Vendas'!$B$4:$B$387, "ecommerce")</f>
        <v>70357.55</v>
      </c>
      <c r="E8" s="42">
        <f>SUMIFS('03_Base_Vendas'!$F$4:$F$387, '03_Base_Vendas'!$A$4:$A$387, E$7, '03_Base_Vendas'!$B$4:$B$387, "ecommerce")</f>
        <v>65336.909999999996</v>
      </c>
      <c r="F8" s="42">
        <f>SUMIFS('03_Base_Vendas'!$F$4:$F$387, '03_Base_Vendas'!$A$4:$A$387, F$7, '03_Base_Vendas'!$B$4:$B$387, "ecommerce")</f>
        <v>101416.68</v>
      </c>
      <c r="G8" s="42">
        <f>SUMIFS('03_Base_Vendas'!$F$4:$F$387, '03_Base_Vendas'!$A$4:$A$387, G$7, '03_Base_Vendas'!$B$4:$B$387, "ecommerce")</f>
        <v>87766.93</v>
      </c>
      <c r="H8" s="42">
        <f>SUMIFS('03_Base_Vendas'!$F$4:$F$387, '03_Base_Vendas'!$A$4:$A$387, H$7, '03_Base_Vendas'!$B$4:$B$387, "ecommerce")</f>
        <v>66646.31</v>
      </c>
      <c r="I8" s="42">
        <f>SUMIFS('03_Base_Vendas'!$F$4:$F$387, '03_Base_Vendas'!$A$4:$A$387, I$7, '03_Base_Vendas'!$B$4:$B$387, "ecommerce")</f>
        <v>64204.009999999995</v>
      </c>
      <c r="J8" s="42">
        <f>SUMIFS('03_Base_Vendas'!$F$4:$F$387, '03_Base_Vendas'!$A$4:$A$387, J$7, '03_Base_Vendas'!$B$4:$B$387, "ecommerce")</f>
        <v>71822.450000000012</v>
      </c>
      <c r="K8" s="42">
        <f>SUMIFS('03_Base_Vendas'!$F$4:$F$387, '03_Base_Vendas'!$A$4:$A$387, K$7, '03_Base_Vendas'!$B$4:$B$387, "ecommerce")</f>
        <v>76330.679999999993</v>
      </c>
      <c r="L8" s="42">
        <f>SUMIFS('03_Base_Vendas'!$F$4:$F$387, '03_Base_Vendas'!$A$4:$A$387, L$7, '03_Base_Vendas'!$B$4:$B$387, "ecommerce")</f>
        <v>100204.32</v>
      </c>
      <c r="M8" s="42">
        <f>SUMIFS('03_Base_Vendas'!$F$4:$F$387, '03_Base_Vendas'!$A$4:$A$387, M$7, '03_Base_Vendas'!$B$4:$B$387, "ecommerce")</f>
        <v>95169.56</v>
      </c>
      <c r="N8" s="42">
        <f>SUMIFS('03_Base_Vendas'!$F$4:$F$387, '03_Base_Vendas'!$A$4:$A$387, N$7, '03_Base_Vendas'!$B$4:$B$387, "ecommerce")</f>
        <v>86926.9</v>
      </c>
      <c r="O8" s="42">
        <f>SUMIFS('03_Base_Vendas'!$F$4:$F$387, '03_Base_Vendas'!$A$4:$A$387, O$7, '03_Base_Vendas'!$B$4:$B$387, "ecommerce")</f>
        <v>67976.240000000005</v>
      </c>
      <c r="P8" s="42">
        <f>SUMIFS('03_Base_Vendas'!$F$4:$F$387, '03_Base_Vendas'!$A$4:$A$387, P$7, '03_Base_Vendas'!$B$4:$B$387, "ecommerce")</f>
        <v>82465.61</v>
      </c>
      <c r="Q8" s="42">
        <f>SUMIFS('03_Base_Vendas'!$F$4:$F$387, '03_Base_Vendas'!$A$4:$A$387, Q$7, '03_Base_Vendas'!$B$4:$B$387, "ecommerce")</f>
        <v>75924.759999999995</v>
      </c>
      <c r="R8" s="42">
        <f>SUMIFS('03_Base_Vendas'!$F$4:$F$387, '03_Base_Vendas'!$A$4:$A$387, R$7, '03_Base_Vendas'!$B$4:$B$387, "ecommerce")</f>
        <v>98401.5</v>
      </c>
      <c r="S8" s="42">
        <f>SUMIFS('03_Base_Vendas'!$F$4:$F$387, '03_Base_Vendas'!$A$4:$A$387, S$7, '03_Base_Vendas'!$B$4:$B$387, "ecommerce")</f>
        <v>92063.1</v>
      </c>
      <c r="T8" s="42">
        <f>SUMIFS('03_Base_Vendas'!$F$4:$F$387, '03_Base_Vendas'!$A$4:$A$387, T$7, '03_Base_Vendas'!$B$4:$B$387, "ecommerce")</f>
        <v>70841.789999999994</v>
      </c>
      <c r="U8" s="42">
        <f>SUMIFS('03_Base_Vendas'!$F$4:$F$387, '03_Base_Vendas'!$A$4:$A$387, U$7, '03_Base_Vendas'!$B$4:$B$387, "ecommerce")</f>
        <v>61302.89</v>
      </c>
      <c r="V8" s="42">
        <f>SUMIFS('03_Base_Vendas'!$F$4:$F$387, '03_Base_Vendas'!$A$4:$A$387, V$7, '03_Base_Vendas'!$B$4:$B$387, "ecommerce")</f>
        <v>77240.78</v>
      </c>
      <c r="W8" s="42">
        <f>SUMIFS('03_Base_Vendas'!$F$4:$F$387, '03_Base_Vendas'!$A$4:$A$387, W$7, '03_Base_Vendas'!$B$4:$B$387, "ecommerce")</f>
        <v>76827.94</v>
      </c>
      <c r="X8" s="42">
        <f>SUMIFS('03_Base_Vendas'!$F$4:$F$387, '03_Base_Vendas'!$A$4:$A$387, X$7, '03_Base_Vendas'!$B$4:$B$387, "ecommerce")</f>
        <v>114160.56</v>
      </c>
      <c r="Y8" s="42">
        <f>SUMIFS('03_Base_Vendas'!$F$4:$F$387, '03_Base_Vendas'!$A$4:$A$387, Y$7, '03_Base_Vendas'!$B$4:$B$387, "ecommerce")</f>
        <v>105016.31</v>
      </c>
      <c r="Z8" s="43">
        <f t="shared" ref="Z8:Z13" si="0">SUM(B8:Y8)</f>
        <v>1943188.9200000004</v>
      </c>
    </row>
    <row r="9" spans="1:26" x14ac:dyDescent="0.25">
      <c r="A9" s="41" t="s">
        <v>332</v>
      </c>
      <c r="B9" s="42">
        <f>SUMIFS('03_Base_Vendas'!$G$4:$G$387, '03_Base_Vendas'!$A$4:$A$387, B$7, '03_Base_Vendas'!$B$4:$B$387, "ecommerce")</f>
        <v>1942.53</v>
      </c>
      <c r="C9" s="42">
        <f>SUMIFS('03_Base_Vendas'!$G$4:$G$387, '03_Base_Vendas'!$A$4:$A$387, C$7, '03_Base_Vendas'!$B$4:$B$387, "ecommerce")</f>
        <v>3660.31</v>
      </c>
      <c r="D9" s="42">
        <f>SUMIFS('03_Base_Vendas'!$G$4:$G$387, '03_Base_Vendas'!$A$4:$A$387, D$7, '03_Base_Vendas'!$B$4:$B$387, "ecommerce")</f>
        <v>2128.42</v>
      </c>
      <c r="E9" s="42">
        <f>SUMIFS('03_Base_Vendas'!$G$4:$G$387, '03_Base_Vendas'!$A$4:$A$387, E$7, '03_Base_Vendas'!$B$4:$B$387, "ecommerce")</f>
        <v>2640.31</v>
      </c>
      <c r="F9" s="42">
        <f>SUMIFS('03_Base_Vendas'!$G$4:$G$387, '03_Base_Vendas'!$A$4:$A$387, F$7, '03_Base_Vendas'!$B$4:$B$387, "ecommerce")</f>
        <v>2478.7600000000002</v>
      </c>
      <c r="G9" s="42">
        <f>SUMIFS('03_Base_Vendas'!$G$4:$G$387, '03_Base_Vendas'!$A$4:$A$387, G$7, '03_Base_Vendas'!$B$4:$B$387, "ecommerce")</f>
        <v>3237.3099999999995</v>
      </c>
      <c r="H9" s="42">
        <f>SUMIFS('03_Base_Vendas'!$G$4:$G$387, '03_Base_Vendas'!$A$4:$A$387, H$7, '03_Base_Vendas'!$B$4:$B$387, "ecommerce")</f>
        <v>790.33</v>
      </c>
      <c r="I9" s="42">
        <f>SUMIFS('03_Base_Vendas'!$G$4:$G$387, '03_Base_Vendas'!$A$4:$A$387, I$7, '03_Base_Vendas'!$B$4:$B$387, "ecommerce")</f>
        <v>2014.64</v>
      </c>
      <c r="J9" s="42">
        <f>SUMIFS('03_Base_Vendas'!$G$4:$G$387, '03_Base_Vendas'!$A$4:$A$387, J$7, '03_Base_Vendas'!$B$4:$B$387, "ecommerce")</f>
        <v>2882.55</v>
      </c>
      <c r="K9" s="42">
        <f>SUMIFS('03_Base_Vendas'!$G$4:$G$387, '03_Base_Vendas'!$A$4:$A$387, K$7, '03_Base_Vendas'!$B$4:$B$387, "ecommerce")</f>
        <v>3372.08</v>
      </c>
      <c r="L9" s="42">
        <f>SUMIFS('03_Base_Vendas'!$G$4:$G$387, '03_Base_Vendas'!$A$4:$A$387, L$7, '03_Base_Vendas'!$B$4:$B$387, "ecommerce")</f>
        <v>2492.44</v>
      </c>
      <c r="M9" s="42">
        <f>SUMIFS('03_Base_Vendas'!$G$4:$G$387, '03_Base_Vendas'!$A$4:$A$387, M$7, '03_Base_Vendas'!$B$4:$B$387, "ecommerce")</f>
        <v>1743.9899999999998</v>
      </c>
      <c r="N9" s="42">
        <f>SUMIFS('03_Base_Vendas'!$G$4:$G$387, '03_Base_Vendas'!$A$4:$A$387, N$7, '03_Base_Vendas'!$B$4:$B$387, "ecommerce")</f>
        <v>2793.26</v>
      </c>
      <c r="O9" s="42">
        <f>SUMIFS('03_Base_Vendas'!$G$4:$G$387, '03_Base_Vendas'!$A$4:$A$387, O$7, '03_Base_Vendas'!$B$4:$B$387, "ecommerce")</f>
        <v>524.5</v>
      </c>
      <c r="P9" s="42">
        <f>SUMIFS('03_Base_Vendas'!$G$4:$G$387, '03_Base_Vendas'!$A$4:$A$387, P$7, '03_Base_Vendas'!$B$4:$B$387, "ecommerce")</f>
        <v>3470.5</v>
      </c>
      <c r="Q9" s="42">
        <f>SUMIFS('03_Base_Vendas'!$G$4:$G$387, '03_Base_Vendas'!$A$4:$A$387, Q$7, '03_Base_Vendas'!$B$4:$B$387, "ecommerce")</f>
        <v>1229.55</v>
      </c>
      <c r="R9" s="42">
        <f>SUMIFS('03_Base_Vendas'!$G$4:$G$387, '03_Base_Vendas'!$A$4:$A$387, R$7, '03_Base_Vendas'!$B$4:$B$387, "ecommerce")</f>
        <v>3596.7200000000003</v>
      </c>
      <c r="S9" s="42">
        <f>SUMIFS('03_Base_Vendas'!$G$4:$G$387, '03_Base_Vendas'!$A$4:$A$387, S$7, '03_Base_Vendas'!$B$4:$B$387, "ecommerce")</f>
        <v>3878.7200000000003</v>
      </c>
      <c r="T9" s="42">
        <f>SUMIFS('03_Base_Vendas'!$G$4:$G$387, '03_Base_Vendas'!$A$4:$A$387, T$7, '03_Base_Vendas'!$B$4:$B$387, "ecommerce")</f>
        <v>2672.49</v>
      </c>
      <c r="U9" s="42">
        <f>SUMIFS('03_Base_Vendas'!$G$4:$G$387, '03_Base_Vendas'!$A$4:$A$387, U$7, '03_Base_Vendas'!$B$4:$B$387, "ecommerce")</f>
        <v>2237.5700000000002</v>
      </c>
      <c r="V9" s="42">
        <f>SUMIFS('03_Base_Vendas'!$G$4:$G$387, '03_Base_Vendas'!$A$4:$A$387, V$7, '03_Base_Vendas'!$B$4:$B$387, "ecommerce")</f>
        <v>2477.52</v>
      </c>
      <c r="W9" s="42">
        <f>SUMIFS('03_Base_Vendas'!$G$4:$G$387, '03_Base_Vendas'!$A$4:$A$387, W$7, '03_Base_Vendas'!$B$4:$B$387, "ecommerce")</f>
        <v>2116.44</v>
      </c>
      <c r="X9" s="42">
        <f>SUMIFS('03_Base_Vendas'!$G$4:$G$387, '03_Base_Vendas'!$A$4:$A$387, X$7, '03_Base_Vendas'!$B$4:$B$387, "ecommerce")</f>
        <v>1685.98</v>
      </c>
      <c r="Y9" s="42">
        <f>SUMIFS('03_Base_Vendas'!$G$4:$G$387, '03_Base_Vendas'!$A$4:$A$387, Y$7, '03_Base_Vendas'!$B$4:$B$387, "ecommerce")</f>
        <v>1827.6100000000001</v>
      </c>
      <c r="Z9" s="43">
        <f t="shared" si="0"/>
        <v>57894.530000000006</v>
      </c>
    </row>
    <row r="10" spans="1:26" x14ac:dyDescent="0.25">
      <c r="A10" s="41" t="s">
        <v>333</v>
      </c>
      <c r="B10" s="42">
        <f>SUMIFS('03_Base_Vendas'!$H$4:$H$387, '03_Base_Vendas'!$A$4:$A$387, B$7, '03_Base_Vendas'!$B$4:$B$387, "ecommerce")</f>
        <v>2806.55</v>
      </c>
      <c r="C10" s="42">
        <f>SUMIFS('03_Base_Vendas'!$H$4:$H$387, '03_Base_Vendas'!$A$4:$A$387, C$7, '03_Base_Vendas'!$B$4:$B$387, "ecommerce")</f>
        <v>2615.42</v>
      </c>
      <c r="D10" s="42">
        <f>SUMIFS('03_Base_Vendas'!$H$4:$H$387, '03_Base_Vendas'!$A$4:$A$387, D$7, '03_Base_Vendas'!$B$4:$B$387, "ecommerce")</f>
        <v>2846.6</v>
      </c>
      <c r="E10" s="42">
        <f>SUMIFS('03_Base_Vendas'!$H$4:$H$387, '03_Base_Vendas'!$A$4:$A$387, E$7, '03_Base_Vendas'!$B$4:$B$387, "ecommerce")</f>
        <v>2656.2799999999997</v>
      </c>
      <c r="F10" s="42">
        <f>SUMIFS('03_Base_Vendas'!$H$4:$H$387, '03_Base_Vendas'!$A$4:$A$387, F$7, '03_Base_Vendas'!$B$4:$B$387, "ecommerce")</f>
        <v>3975.5700000000006</v>
      </c>
      <c r="G10" s="42">
        <f>SUMIFS('03_Base_Vendas'!$H$4:$H$387, '03_Base_Vendas'!$A$4:$A$387, G$7, '03_Base_Vendas'!$B$4:$B$387, "ecommerce")</f>
        <v>3480.01</v>
      </c>
      <c r="H10" s="42">
        <f>SUMIFS('03_Base_Vendas'!$H$4:$H$387, '03_Base_Vendas'!$A$4:$A$387, H$7, '03_Base_Vendas'!$B$4:$B$387, "ecommerce")</f>
        <v>2639.68</v>
      </c>
      <c r="I10" s="42">
        <f>SUMIFS('03_Base_Vendas'!$H$4:$H$387, '03_Base_Vendas'!$A$4:$A$387, I$7, '03_Base_Vendas'!$B$4:$B$387, "ecommerce")</f>
        <v>2523.04</v>
      </c>
      <c r="J10" s="42">
        <f>SUMIFS('03_Base_Vendas'!$H$4:$H$387, '03_Base_Vendas'!$A$4:$A$387, J$7, '03_Base_Vendas'!$B$4:$B$387, "ecommerce")</f>
        <v>2794.3199999999997</v>
      </c>
      <c r="K10" s="42">
        <f>SUMIFS('03_Base_Vendas'!$H$4:$H$387, '03_Base_Vendas'!$A$4:$A$387, K$7, '03_Base_Vendas'!$B$4:$B$387, "ecommerce")</f>
        <v>3105.63</v>
      </c>
      <c r="L10" s="42">
        <f>SUMIFS('03_Base_Vendas'!$H$4:$H$387, '03_Base_Vendas'!$A$4:$A$387, L$7, '03_Base_Vendas'!$B$4:$B$387, "ecommerce")</f>
        <v>3952.7799999999997</v>
      </c>
      <c r="M10" s="42">
        <f>SUMIFS('03_Base_Vendas'!$H$4:$H$387, '03_Base_Vendas'!$A$4:$A$387, M$7, '03_Base_Vendas'!$B$4:$B$387, "ecommerce")</f>
        <v>3807.14</v>
      </c>
      <c r="N10" s="42">
        <f>SUMIFS('03_Base_Vendas'!$H$4:$H$387, '03_Base_Vendas'!$A$4:$A$387, N$7, '03_Base_Vendas'!$B$4:$B$387, "ecommerce")</f>
        <v>3505.3199999999997</v>
      </c>
      <c r="O10" s="42">
        <f>SUMIFS('03_Base_Vendas'!$H$4:$H$387, '03_Base_Vendas'!$A$4:$A$387, O$7, '03_Base_Vendas'!$B$4:$B$387, "ecommerce")</f>
        <v>2700.22</v>
      </c>
      <c r="P10" s="42">
        <f>SUMIFS('03_Base_Vendas'!$H$4:$H$387, '03_Base_Vendas'!$A$4:$A$387, P$7, '03_Base_Vendas'!$B$4:$B$387, "ecommerce")</f>
        <v>3253.65</v>
      </c>
      <c r="Q10" s="42">
        <f>SUMIFS('03_Base_Vendas'!$H$4:$H$387, '03_Base_Vendas'!$A$4:$A$387, Q$7, '03_Base_Vendas'!$B$4:$B$387, "ecommerce")</f>
        <v>3059.51</v>
      </c>
      <c r="R10" s="42">
        <f>SUMIFS('03_Base_Vendas'!$H$4:$H$387, '03_Base_Vendas'!$A$4:$A$387, R$7, '03_Base_Vendas'!$B$4:$B$387, "ecommerce")</f>
        <v>3973.65</v>
      </c>
      <c r="S10" s="42">
        <f>SUMIFS('03_Base_Vendas'!$H$4:$H$387, '03_Base_Vendas'!$A$4:$A$387, S$7, '03_Base_Vendas'!$B$4:$B$387, "ecommerce")</f>
        <v>3623.7599999999998</v>
      </c>
      <c r="T10" s="42">
        <f>SUMIFS('03_Base_Vendas'!$H$4:$H$387, '03_Base_Vendas'!$A$4:$A$387, T$7, '03_Base_Vendas'!$B$4:$B$387, "ecommerce")</f>
        <v>2789.06</v>
      </c>
      <c r="U10" s="42">
        <f>SUMIFS('03_Base_Vendas'!$H$4:$H$387, '03_Base_Vendas'!$A$4:$A$387, U$7, '03_Base_Vendas'!$B$4:$B$387, "ecommerce")</f>
        <v>2403.87</v>
      </c>
      <c r="V10" s="42">
        <f>SUMIFS('03_Base_Vendas'!$H$4:$H$387, '03_Base_Vendas'!$A$4:$A$387, V$7, '03_Base_Vendas'!$B$4:$B$387, "ecommerce")</f>
        <v>3081.92</v>
      </c>
      <c r="W10" s="42">
        <f>SUMIFS('03_Base_Vendas'!$H$4:$H$387, '03_Base_Vendas'!$A$4:$A$387, W$7, '03_Base_Vendas'!$B$4:$B$387, "ecommerce")</f>
        <v>3066.06</v>
      </c>
      <c r="X10" s="42">
        <f>SUMIFS('03_Base_Vendas'!$H$4:$H$387, '03_Base_Vendas'!$A$4:$A$387, X$7, '03_Base_Vendas'!$B$4:$B$387, "ecommerce")</f>
        <v>4509.93</v>
      </c>
      <c r="Y10" s="42">
        <f>SUMIFS('03_Base_Vendas'!$H$4:$H$387, '03_Base_Vendas'!$A$4:$A$387, Y$7, '03_Base_Vendas'!$B$4:$B$387, "ecommerce")</f>
        <v>4244.96</v>
      </c>
      <c r="Z10" s="43">
        <f t="shared" si="0"/>
        <v>77414.930000000008</v>
      </c>
    </row>
    <row r="11" spans="1:26" x14ac:dyDescent="0.25">
      <c r="A11" s="44" t="s">
        <v>334</v>
      </c>
      <c r="B11" s="45">
        <f t="shared" ref="B11:Y11" si="1">B8-B9-B10</f>
        <v>63887.11</v>
      </c>
      <c r="C11" s="45">
        <f t="shared" si="1"/>
        <v>59873.22</v>
      </c>
      <c r="D11" s="45">
        <f t="shared" si="1"/>
        <v>65382.530000000006</v>
      </c>
      <c r="E11" s="45">
        <f t="shared" si="1"/>
        <v>60040.32</v>
      </c>
      <c r="F11" s="45">
        <f t="shared" si="1"/>
        <v>94962.349999999991</v>
      </c>
      <c r="G11" s="45">
        <f t="shared" si="1"/>
        <v>81049.61</v>
      </c>
      <c r="H11" s="45">
        <f t="shared" si="1"/>
        <v>63216.299999999996</v>
      </c>
      <c r="I11" s="45">
        <f t="shared" si="1"/>
        <v>59666.329999999994</v>
      </c>
      <c r="J11" s="45">
        <f t="shared" si="1"/>
        <v>66145.580000000016</v>
      </c>
      <c r="K11" s="45">
        <f t="shared" si="1"/>
        <v>69852.969999999987</v>
      </c>
      <c r="L11" s="45">
        <f t="shared" si="1"/>
        <v>93759.1</v>
      </c>
      <c r="M11" s="45">
        <f t="shared" si="1"/>
        <v>89618.43</v>
      </c>
      <c r="N11" s="45">
        <f t="shared" si="1"/>
        <v>80628.320000000007</v>
      </c>
      <c r="O11" s="45">
        <f t="shared" si="1"/>
        <v>64751.520000000004</v>
      </c>
      <c r="P11" s="45">
        <f t="shared" si="1"/>
        <v>75741.460000000006</v>
      </c>
      <c r="Q11" s="45">
        <f t="shared" si="1"/>
        <v>71635.7</v>
      </c>
      <c r="R11" s="45">
        <f t="shared" si="1"/>
        <v>90831.13</v>
      </c>
      <c r="S11" s="45">
        <f t="shared" si="1"/>
        <v>84560.62000000001</v>
      </c>
      <c r="T11" s="45">
        <f t="shared" si="1"/>
        <v>65380.239999999991</v>
      </c>
      <c r="U11" s="45">
        <f t="shared" si="1"/>
        <v>56661.45</v>
      </c>
      <c r="V11" s="45">
        <f t="shared" si="1"/>
        <v>71681.34</v>
      </c>
      <c r="W11" s="45">
        <f t="shared" si="1"/>
        <v>71645.440000000002</v>
      </c>
      <c r="X11" s="45">
        <f t="shared" si="1"/>
        <v>107964.65</v>
      </c>
      <c r="Y11" s="45">
        <f t="shared" si="1"/>
        <v>98943.739999999991</v>
      </c>
      <c r="Z11" s="43">
        <f t="shared" si="0"/>
        <v>1807879.46</v>
      </c>
    </row>
    <row r="12" spans="1:26" x14ac:dyDescent="0.25">
      <c r="A12" s="41" t="s">
        <v>335</v>
      </c>
      <c r="B12" s="42">
        <f>SUMIFS('03_Base_Vendas'!$J$4:$J$387, '03_Base_Vendas'!$A$4:$A$387, B$7, '03_Base_Vendas'!$B$4:$B$387, "ecommerce")</f>
        <v>32724.81</v>
      </c>
      <c r="C12" s="42">
        <f>SUMIFS('03_Base_Vendas'!$J$4:$J$387, '03_Base_Vendas'!$A$4:$A$387, C$7, '03_Base_Vendas'!$B$4:$B$387, "ecommerce")</f>
        <v>31609.47</v>
      </c>
      <c r="D12" s="42">
        <f>SUMIFS('03_Base_Vendas'!$J$4:$J$387, '03_Base_Vendas'!$A$4:$A$387, D$7, '03_Base_Vendas'!$B$4:$B$387, "ecommerce")</f>
        <v>34083.99</v>
      </c>
      <c r="E12" s="42">
        <f>SUMIFS('03_Base_Vendas'!$J$4:$J$387, '03_Base_Vendas'!$A$4:$A$387, E$7, '03_Base_Vendas'!$B$4:$B$387, "ecommerce")</f>
        <v>30620.35</v>
      </c>
      <c r="F12" s="42">
        <f>SUMIFS('03_Base_Vendas'!$J$4:$J$387, '03_Base_Vendas'!$A$4:$A$387, F$7, '03_Base_Vendas'!$B$4:$B$387, "ecommerce")</f>
        <v>48888.53</v>
      </c>
      <c r="G12" s="42">
        <f>SUMIFS('03_Base_Vendas'!$J$4:$J$387, '03_Base_Vendas'!$A$4:$A$387, G$7, '03_Base_Vendas'!$B$4:$B$387, "ecommerce")</f>
        <v>43155.149999999994</v>
      </c>
      <c r="H12" s="42">
        <f>SUMIFS('03_Base_Vendas'!$J$4:$J$387, '03_Base_Vendas'!$A$4:$A$387, H$7, '03_Base_Vendas'!$B$4:$B$387, "ecommerce")</f>
        <v>32083.03</v>
      </c>
      <c r="I12" s="42">
        <f>SUMIFS('03_Base_Vendas'!$J$4:$J$387, '03_Base_Vendas'!$A$4:$A$387, I$7, '03_Base_Vendas'!$B$4:$B$387, "ecommerce")</f>
        <v>30738</v>
      </c>
      <c r="J12" s="42">
        <f>SUMIFS('03_Base_Vendas'!$J$4:$J$387, '03_Base_Vendas'!$A$4:$A$387, J$7, '03_Base_Vendas'!$B$4:$B$387, "ecommerce")</f>
        <v>35045.86</v>
      </c>
      <c r="K12" s="42">
        <f>SUMIFS('03_Base_Vendas'!$J$4:$J$387, '03_Base_Vendas'!$A$4:$A$387, K$7, '03_Base_Vendas'!$B$4:$B$387, "ecommerce")</f>
        <v>36347.01</v>
      </c>
      <c r="L12" s="42">
        <f>SUMIFS('03_Base_Vendas'!$J$4:$J$387, '03_Base_Vendas'!$A$4:$A$387, L$7, '03_Base_Vendas'!$B$4:$B$387, "ecommerce")</f>
        <v>46812.19</v>
      </c>
      <c r="M12" s="42">
        <f>SUMIFS('03_Base_Vendas'!$J$4:$J$387, '03_Base_Vendas'!$A$4:$A$387, M$7, '03_Base_Vendas'!$B$4:$B$387, "ecommerce")</f>
        <v>45842.400000000001</v>
      </c>
      <c r="N12" s="42">
        <f>SUMIFS('03_Base_Vendas'!$J$4:$J$387, '03_Base_Vendas'!$A$4:$A$387, N$7, '03_Base_Vendas'!$B$4:$B$387, "ecommerce")</f>
        <v>41508.76</v>
      </c>
      <c r="O12" s="42">
        <f>SUMIFS('03_Base_Vendas'!$J$4:$J$387, '03_Base_Vendas'!$A$4:$A$387, O$7, '03_Base_Vendas'!$B$4:$B$387, "ecommerce")</f>
        <v>33167.279999999999</v>
      </c>
      <c r="P12" s="42">
        <f>SUMIFS('03_Base_Vendas'!$J$4:$J$387, '03_Base_Vendas'!$A$4:$A$387, P$7, '03_Base_Vendas'!$B$4:$B$387, "ecommerce")</f>
        <v>39223.97</v>
      </c>
      <c r="Q12" s="42">
        <f>SUMIFS('03_Base_Vendas'!$J$4:$J$387, '03_Base_Vendas'!$A$4:$A$387, Q$7, '03_Base_Vendas'!$B$4:$B$387, "ecommerce")</f>
        <v>36015.440000000002</v>
      </c>
      <c r="R12" s="42">
        <f>SUMIFS('03_Base_Vendas'!$J$4:$J$387, '03_Base_Vendas'!$A$4:$A$387, R$7, '03_Base_Vendas'!$B$4:$B$387, "ecommerce")</f>
        <v>46662.039999999994</v>
      </c>
      <c r="S12" s="42">
        <f>SUMIFS('03_Base_Vendas'!$J$4:$J$387, '03_Base_Vendas'!$A$4:$A$387, S$7, '03_Base_Vendas'!$B$4:$B$387, "ecommerce")</f>
        <v>44612.729999999996</v>
      </c>
      <c r="T12" s="42">
        <f>SUMIFS('03_Base_Vendas'!$J$4:$J$387, '03_Base_Vendas'!$A$4:$A$387, T$7, '03_Base_Vendas'!$B$4:$B$387, "ecommerce")</f>
        <v>34624.28</v>
      </c>
      <c r="U12" s="42">
        <f>SUMIFS('03_Base_Vendas'!$J$4:$J$387, '03_Base_Vendas'!$A$4:$A$387, U$7, '03_Base_Vendas'!$B$4:$B$387, "ecommerce")</f>
        <v>29753.409999999996</v>
      </c>
      <c r="V12" s="42">
        <f>SUMIFS('03_Base_Vendas'!$J$4:$J$387, '03_Base_Vendas'!$A$4:$A$387, V$7, '03_Base_Vendas'!$B$4:$B$387, "ecommerce")</f>
        <v>36425.99</v>
      </c>
      <c r="W12" s="42">
        <f>SUMIFS('03_Base_Vendas'!$J$4:$J$387, '03_Base_Vendas'!$A$4:$A$387, W$7, '03_Base_Vendas'!$B$4:$B$387, "ecommerce")</f>
        <v>36049.449999999997</v>
      </c>
      <c r="X12" s="42">
        <f>SUMIFS('03_Base_Vendas'!$J$4:$J$387, '03_Base_Vendas'!$A$4:$A$387, X$7, '03_Base_Vendas'!$B$4:$B$387, "ecommerce")</f>
        <v>54751.74</v>
      </c>
      <c r="Y12" s="42">
        <f>SUMIFS('03_Base_Vendas'!$J$4:$J$387, '03_Base_Vendas'!$A$4:$A$387, Y$7, '03_Base_Vendas'!$B$4:$B$387, "ecommerce")</f>
        <v>50354.61</v>
      </c>
      <c r="Z12" s="43">
        <f t="shared" si="0"/>
        <v>931100.49</v>
      </c>
    </row>
    <row r="13" spans="1:26" x14ac:dyDescent="0.25">
      <c r="A13" s="44" t="s">
        <v>336</v>
      </c>
      <c r="B13" s="45">
        <f t="shared" ref="B13:Y13" si="2">B11-B12</f>
        <v>31162.3</v>
      </c>
      <c r="C13" s="45">
        <f t="shared" si="2"/>
        <v>28263.75</v>
      </c>
      <c r="D13" s="45">
        <f t="shared" si="2"/>
        <v>31298.540000000008</v>
      </c>
      <c r="E13" s="45">
        <f t="shared" si="2"/>
        <v>29419.97</v>
      </c>
      <c r="F13" s="45">
        <f t="shared" si="2"/>
        <v>46073.819999999992</v>
      </c>
      <c r="G13" s="45">
        <f t="shared" si="2"/>
        <v>37894.460000000006</v>
      </c>
      <c r="H13" s="45">
        <f t="shared" si="2"/>
        <v>31133.269999999997</v>
      </c>
      <c r="I13" s="45">
        <f t="shared" si="2"/>
        <v>28928.329999999994</v>
      </c>
      <c r="J13" s="45">
        <f t="shared" si="2"/>
        <v>31099.720000000016</v>
      </c>
      <c r="K13" s="45">
        <f t="shared" si="2"/>
        <v>33505.959999999985</v>
      </c>
      <c r="L13" s="45">
        <f t="shared" si="2"/>
        <v>46946.91</v>
      </c>
      <c r="M13" s="45">
        <f t="shared" si="2"/>
        <v>43776.029999999992</v>
      </c>
      <c r="N13" s="45">
        <f t="shared" si="2"/>
        <v>39119.560000000005</v>
      </c>
      <c r="O13" s="45">
        <f t="shared" si="2"/>
        <v>31584.240000000005</v>
      </c>
      <c r="P13" s="45">
        <f t="shared" si="2"/>
        <v>36517.490000000005</v>
      </c>
      <c r="Q13" s="45">
        <f t="shared" si="2"/>
        <v>35620.259999999995</v>
      </c>
      <c r="R13" s="45">
        <f t="shared" si="2"/>
        <v>44169.090000000011</v>
      </c>
      <c r="S13" s="45">
        <f t="shared" si="2"/>
        <v>39947.890000000014</v>
      </c>
      <c r="T13" s="45">
        <f t="shared" si="2"/>
        <v>30755.959999999992</v>
      </c>
      <c r="U13" s="45">
        <f t="shared" si="2"/>
        <v>26908.04</v>
      </c>
      <c r="V13" s="45">
        <f t="shared" si="2"/>
        <v>35255.35</v>
      </c>
      <c r="W13" s="45">
        <f t="shared" si="2"/>
        <v>35595.990000000005</v>
      </c>
      <c r="X13" s="45">
        <f t="shared" si="2"/>
        <v>53212.909999999996</v>
      </c>
      <c r="Y13" s="45">
        <f t="shared" si="2"/>
        <v>48589.12999999999</v>
      </c>
      <c r="Z13" s="43">
        <f t="shared" si="0"/>
        <v>876778.97</v>
      </c>
    </row>
    <row r="14" spans="1:26" x14ac:dyDescent="0.25">
      <c r="A14" s="41" t="s">
        <v>337</v>
      </c>
      <c r="B14" s="46">
        <f t="shared" ref="B14:Y14" si="3">IFERROR(B13/B11,0)</f>
        <v>0.48777132038059007</v>
      </c>
      <c r="C14" s="46">
        <f t="shared" si="3"/>
        <v>0.47205996270118761</v>
      </c>
      <c r="D14" s="46">
        <f t="shared" si="3"/>
        <v>0.47869882061767882</v>
      </c>
      <c r="E14" s="46">
        <f t="shared" si="3"/>
        <v>0.49000355094709691</v>
      </c>
      <c r="F14" s="46">
        <f t="shared" si="3"/>
        <v>0.48517986338796371</v>
      </c>
      <c r="G14" s="46">
        <f t="shared" si="3"/>
        <v>0.46754648171656848</v>
      </c>
      <c r="H14" s="46">
        <f t="shared" si="3"/>
        <v>0.49248801337629694</v>
      </c>
      <c r="I14" s="46">
        <f t="shared" si="3"/>
        <v>0.48483508203035108</v>
      </c>
      <c r="J14" s="46">
        <f t="shared" si="3"/>
        <v>0.47017079599271799</v>
      </c>
      <c r="K14" s="46">
        <f t="shared" si="3"/>
        <v>0.47966407154914087</v>
      </c>
      <c r="L14" s="46">
        <f t="shared" si="3"/>
        <v>0.50071843693038864</v>
      </c>
      <c r="M14" s="46">
        <f t="shared" si="3"/>
        <v>0.488471288773972</v>
      </c>
      <c r="N14" s="46">
        <f t="shared" si="3"/>
        <v>0.48518386591708723</v>
      </c>
      <c r="O14" s="46">
        <f t="shared" si="3"/>
        <v>0.48777603985203749</v>
      </c>
      <c r="P14" s="46">
        <f t="shared" si="3"/>
        <v>0.48213343128056946</v>
      </c>
      <c r="Q14" s="46">
        <f t="shared" si="3"/>
        <v>0.49724173840696745</v>
      </c>
      <c r="R14" s="46">
        <f t="shared" si="3"/>
        <v>0.48627700657252648</v>
      </c>
      <c r="S14" s="46">
        <f t="shared" si="3"/>
        <v>0.47241718426378626</v>
      </c>
      <c r="T14" s="46">
        <f t="shared" si="3"/>
        <v>0.47041674977026693</v>
      </c>
      <c r="U14" s="46">
        <f t="shared" si="3"/>
        <v>0.47489148265707992</v>
      </c>
      <c r="V14" s="46">
        <f t="shared" si="3"/>
        <v>0.4918344160418876</v>
      </c>
      <c r="W14" s="46">
        <f t="shared" si="3"/>
        <v>0.49683538826755763</v>
      </c>
      <c r="X14" s="46">
        <f t="shared" si="3"/>
        <v>0.492873454413088</v>
      </c>
      <c r="Y14" s="46">
        <f t="shared" si="3"/>
        <v>0.49107836433108343</v>
      </c>
      <c r="Z14" s="47">
        <f>IFERROR($Z$13/$Z$11,0)</f>
        <v>0.48497645412709095</v>
      </c>
    </row>
    <row r="15" spans="1:26" x14ac:dyDescent="0.25">
      <c r="A15" s="41" t="s">
        <v>338</v>
      </c>
      <c r="B15" s="42">
        <f>(SUMIFS('04_Base_Despesas'!$D$4:$D$219, '04_Base_Despesas'!$A$4:$A$219, B$7, '04_Base_Despesas'!$B$4:$B$219, "pessoal"))*(IFERROR(SUMIFS('03_Base_Vendas'!$I$4:$I$387, '03_Base_Vendas'!$A$4:$A$387, B$7, '03_Base_Vendas'!$B$4:$B$387, "ecommerce")/SUMIFS('03_Base_Vendas'!$I$4:$I$387, '03_Base_Vendas'!$A$4:$A$387, B$7),0))</f>
        <v>21570.346117050711</v>
      </c>
      <c r="C15" s="42">
        <f>(SUMIFS('04_Base_Despesas'!$D$4:$D$219, '04_Base_Despesas'!$A$4:$A$219, C$7, '04_Base_Despesas'!$B$4:$B$219, "pessoal"))*(IFERROR(SUMIFS('03_Base_Vendas'!$I$4:$I$387, '03_Base_Vendas'!$A$4:$A$387, C$7, '03_Base_Vendas'!$B$4:$B$387, "ecommerce")/SUMIFS('03_Base_Vendas'!$I$4:$I$387, '03_Base_Vendas'!$A$4:$A$387, C$7),0))</f>
        <v>25024.467703992017</v>
      </c>
      <c r="D15" s="42">
        <f>(SUMIFS('04_Base_Despesas'!$D$4:$D$219, '04_Base_Despesas'!$A$4:$A$219, D$7, '04_Base_Despesas'!$B$4:$B$219, "pessoal"))*(IFERROR(SUMIFS('03_Base_Vendas'!$I$4:$I$387, '03_Base_Vendas'!$A$4:$A$387, D$7, '03_Base_Vendas'!$B$4:$B$387, "ecommerce")/SUMIFS('03_Base_Vendas'!$I$4:$I$387, '03_Base_Vendas'!$A$4:$A$387, D$7),0))</f>
        <v>21546.641595415043</v>
      </c>
      <c r="E15" s="42">
        <f>(SUMIFS('04_Base_Despesas'!$D$4:$D$219, '04_Base_Despesas'!$A$4:$A$219, E$7, '04_Base_Despesas'!$B$4:$B$219, "pessoal"))*(IFERROR(SUMIFS('03_Base_Vendas'!$I$4:$I$387, '03_Base_Vendas'!$A$4:$A$387, E$7, '03_Base_Vendas'!$B$4:$B$387, "ecommerce")/SUMIFS('03_Base_Vendas'!$I$4:$I$387, '03_Base_Vendas'!$A$4:$A$387, E$7),0))</f>
        <v>21244.78704396974</v>
      </c>
      <c r="F15" s="42">
        <f>(SUMIFS('04_Base_Despesas'!$D$4:$D$219, '04_Base_Despesas'!$A$4:$A$219, F$7, '04_Base_Despesas'!$B$4:$B$219, "pessoal"))*(IFERROR(SUMIFS('03_Base_Vendas'!$I$4:$I$387, '03_Base_Vendas'!$A$4:$A$387, F$7, '03_Base_Vendas'!$B$4:$B$387, "ecommerce")/SUMIFS('03_Base_Vendas'!$I$4:$I$387, '03_Base_Vendas'!$A$4:$A$387, F$7),0))</f>
        <v>25316.546783924219</v>
      </c>
      <c r="G15" s="42">
        <f>(SUMIFS('04_Base_Despesas'!$D$4:$D$219, '04_Base_Despesas'!$A$4:$A$219, G$7, '04_Base_Despesas'!$B$4:$B$219, "pessoal"))*(IFERROR(SUMIFS('03_Base_Vendas'!$I$4:$I$387, '03_Base_Vendas'!$A$4:$A$387, G$7, '03_Base_Vendas'!$B$4:$B$387, "ecommerce")/SUMIFS('03_Base_Vendas'!$I$4:$I$387, '03_Base_Vendas'!$A$4:$A$387, G$7),0))</f>
        <v>24155.460214647694</v>
      </c>
      <c r="H15" s="42">
        <f>(SUMIFS('04_Base_Despesas'!$D$4:$D$219, '04_Base_Despesas'!$A$4:$A$219, H$7, '04_Base_Despesas'!$B$4:$B$219, "pessoal"))*(IFERROR(SUMIFS('03_Base_Vendas'!$I$4:$I$387, '03_Base_Vendas'!$A$4:$A$387, H$7, '03_Base_Vendas'!$B$4:$B$387, "ecommerce")/SUMIFS('03_Base_Vendas'!$I$4:$I$387, '03_Base_Vendas'!$A$4:$A$387, H$7),0))</f>
        <v>25384.125830638535</v>
      </c>
      <c r="I15" s="42">
        <f>(SUMIFS('04_Base_Despesas'!$D$4:$D$219, '04_Base_Despesas'!$A$4:$A$219, I$7, '04_Base_Despesas'!$B$4:$B$219, "pessoal"))*(IFERROR(SUMIFS('03_Base_Vendas'!$I$4:$I$387, '03_Base_Vendas'!$A$4:$A$387, I$7, '03_Base_Vendas'!$B$4:$B$387, "ecommerce")/SUMIFS('03_Base_Vendas'!$I$4:$I$387, '03_Base_Vendas'!$A$4:$A$387, I$7),0))</f>
        <v>24017.666374099412</v>
      </c>
      <c r="J15" s="42">
        <f>(SUMIFS('04_Base_Despesas'!$D$4:$D$219, '04_Base_Despesas'!$A$4:$A$219, J$7, '04_Base_Despesas'!$B$4:$B$219, "pessoal"))*(IFERROR(SUMIFS('03_Base_Vendas'!$I$4:$I$387, '03_Base_Vendas'!$A$4:$A$387, J$7, '03_Base_Vendas'!$B$4:$B$387, "ecommerce")/SUMIFS('03_Base_Vendas'!$I$4:$I$387, '03_Base_Vendas'!$A$4:$A$387, J$7),0))</f>
        <v>25531.435772194269</v>
      </c>
      <c r="K15" s="42">
        <f>(SUMIFS('04_Base_Despesas'!$D$4:$D$219, '04_Base_Despesas'!$A$4:$A$219, K$7, '04_Base_Despesas'!$B$4:$B$219, "pessoal"))*(IFERROR(SUMIFS('03_Base_Vendas'!$I$4:$I$387, '03_Base_Vendas'!$A$4:$A$387, K$7, '03_Base_Vendas'!$B$4:$B$387, "ecommerce")/SUMIFS('03_Base_Vendas'!$I$4:$I$387, '03_Base_Vendas'!$A$4:$A$387, K$7),0))</f>
        <v>24707.876280859189</v>
      </c>
      <c r="L15" s="42">
        <f>(SUMIFS('04_Base_Despesas'!$D$4:$D$219, '04_Base_Despesas'!$A$4:$A$219, L$7, '04_Base_Despesas'!$B$4:$B$219, "pessoal"))*(IFERROR(SUMIFS('03_Base_Vendas'!$I$4:$I$387, '03_Base_Vendas'!$A$4:$A$387, L$7, '03_Base_Vendas'!$B$4:$B$387, "ecommerce")/SUMIFS('03_Base_Vendas'!$I$4:$I$387, '03_Base_Vendas'!$A$4:$A$387, L$7),0))</f>
        <v>23378.104920654569</v>
      </c>
      <c r="M15" s="42">
        <f>(SUMIFS('04_Base_Despesas'!$D$4:$D$219, '04_Base_Despesas'!$A$4:$A$219, M$7, '04_Base_Despesas'!$B$4:$B$219, "pessoal"))*(IFERROR(SUMIFS('03_Base_Vendas'!$I$4:$I$387, '03_Base_Vendas'!$A$4:$A$387, M$7, '03_Base_Vendas'!$B$4:$B$387, "ecommerce")/SUMIFS('03_Base_Vendas'!$I$4:$I$387, '03_Base_Vendas'!$A$4:$A$387, M$7),0))</f>
        <v>23631.500478545273</v>
      </c>
      <c r="N15" s="42">
        <f>(SUMIFS('04_Base_Despesas'!$D$4:$D$219, '04_Base_Despesas'!$A$4:$A$219, N$7, '04_Base_Despesas'!$B$4:$B$219, "pessoal"))*(IFERROR(SUMIFS('03_Base_Vendas'!$I$4:$I$387, '03_Base_Vendas'!$A$4:$A$387, N$7, '03_Base_Vendas'!$B$4:$B$387, "ecommerce")/SUMIFS('03_Base_Vendas'!$I$4:$I$387, '03_Base_Vendas'!$A$4:$A$387, N$7),0))</f>
        <v>23688.107577000061</v>
      </c>
      <c r="O15" s="42">
        <f>(SUMIFS('04_Base_Despesas'!$D$4:$D$219, '04_Base_Despesas'!$A$4:$A$219, O$7, '04_Base_Despesas'!$B$4:$B$219, "pessoal"))*(IFERROR(SUMIFS('03_Base_Vendas'!$I$4:$I$387, '03_Base_Vendas'!$A$4:$A$387, O$7, '03_Base_Vendas'!$B$4:$B$387, "ecommerce")/SUMIFS('03_Base_Vendas'!$I$4:$I$387, '03_Base_Vendas'!$A$4:$A$387, O$7),0))</f>
        <v>23064.458929866985</v>
      </c>
      <c r="P15" s="42">
        <f>(SUMIFS('04_Base_Despesas'!$D$4:$D$219, '04_Base_Despesas'!$A$4:$A$219, P$7, '04_Base_Despesas'!$B$4:$B$219, "pessoal"))*(IFERROR(SUMIFS('03_Base_Vendas'!$I$4:$I$387, '03_Base_Vendas'!$A$4:$A$387, P$7, '03_Base_Vendas'!$B$4:$B$387, "ecommerce")/SUMIFS('03_Base_Vendas'!$I$4:$I$387, '03_Base_Vendas'!$A$4:$A$387, P$7),0))</f>
        <v>23126.831620378754</v>
      </c>
      <c r="Q15" s="42">
        <f>(SUMIFS('04_Base_Despesas'!$D$4:$D$219, '04_Base_Despesas'!$A$4:$A$219, Q$7, '04_Base_Despesas'!$B$4:$B$219, "pessoal"))*(IFERROR(SUMIFS('03_Base_Vendas'!$I$4:$I$387, '03_Base_Vendas'!$A$4:$A$387, Q$7, '03_Base_Vendas'!$B$4:$B$387, "ecommerce")/SUMIFS('03_Base_Vendas'!$I$4:$I$387, '03_Base_Vendas'!$A$4:$A$387, Q$7),0))</f>
        <v>25668.708813455116</v>
      </c>
      <c r="R15" s="42">
        <f>(SUMIFS('04_Base_Despesas'!$D$4:$D$219, '04_Base_Despesas'!$A$4:$A$219, R$7, '04_Base_Despesas'!$B$4:$B$219, "pessoal"))*(IFERROR(SUMIFS('03_Base_Vendas'!$I$4:$I$387, '03_Base_Vendas'!$A$4:$A$387, R$7, '03_Base_Vendas'!$B$4:$B$387, "ecommerce")/SUMIFS('03_Base_Vendas'!$I$4:$I$387, '03_Base_Vendas'!$A$4:$A$387, R$7),0))</f>
        <v>22705.416242952186</v>
      </c>
      <c r="S15" s="42">
        <f>(SUMIFS('04_Base_Despesas'!$D$4:$D$219, '04_Base_Despesas'!$A$4:$A$219, S$7, '04_Base_Despesas'!$B$4:$B$219, "pessoal"))*(IFERROR(SUMIFS('03_Base_Vendas'!$I$4:$I$387, '03_Base_Vendas'!$A$4:$A$387, S$7, '03_Base_Vendas'!$B$4:$B$387, "ecommerce")/SUMIFS('03_Base_Vendas'!$I$4:$I$387, '03_Base_Vendas'!$A$4:$A$387, S$7),0))</f>
        <v>23097.869662792498</v>
      </c>
      <c r="T15" s="42">
        <f>(SUMIFS('04_Base_Despesas'!$D$4:$D$219, '04_Base_Despesas'!$A$4:$A$219, T$7, '04_Base_Despesas'!$B$4:$B$219, "pessoal"))*(IFERROR(SUMIFS('03_Base_Vendas'!$I$4:$I$387, '03_Base_Vendas'!$A$4:$A$387, T$7, '03_Base_Vendas'!$B$4:$B$387, "ecommerce")/SUMIFS('03_Base_Vendas'!$I$4:$I$387, '03_Base_Vendas'!$A$4:$A$387, T$7),0))</f>
        <v>21455.103898360408</v>
      </c>
      <c r="U15" s="42">
        <f>(SUMIFS('04_Base_Despesas'!$D$4:$D$219, '04_Base_Despesas'!$A$4:$A$219, U$7, '04_Base_Despesas'!$B$4:$B$219, "pessoal"))*(IFERROR(SUMIFS('03_Base_Vendas'!$I$4:$I$387, '03_Base_Vendas'!$A$4:$A$387, U$7, '03_Base_Vendas'!$B$4:$B$387, "ecommerce")/SUMIFS('03_Base_Vendas'!$I$4:$I$387, '03_Base_Vendas'!$A$4:$A$387, U$7),0))</f>
        <v>19195.470622138087</v>
      </c>
      <c r="V15" s="42">
        <f>(SUMIFS('04_Base_Despesas'!$D$4:$D$219, '04_Base_Despesas'!$A$4:$A$219, V$7, '04_Base_Despesas'!$B$4:$B$219, "pessoal"))*(IFERROR(SUMIFS('03_Base_Vendas'!$I$4:$I$387, '03_Base_Vendas'!$A$4:$A$387, V$7, '03_Base_Vendas'!$B$4:$B$387, "ecommerce")/SUMIFS('03_Base_Vendas'!$I$4:$I$387, '03_Base_Vendas'!$A$4:$A$387, V$7),0))</f>
        <v>23494.555257137836</v>
      </c>
      <c r="W15" s="42">
        <f>(SUMIFS('04_Base_Despesas'!$D$4:$D$219, '04_Base_Despesas'!$A$4:$A$219, W$7, '04_Base_Despesas'!$B$4:$B$219, "pessoal"))*(IFERROR(SUMIFS('03_Base_Vendas'!$I$4:$I$387, '03_Base_Vendas'!$A$4:$A$387, W$7, '03_Base_Vendas'!$B$4:$B$387, "ecommerce")/SUMIFS('03_Base_Vendas'!$I$4:$I$387, '03_Base_Vendas'!$A$4:$A$387, W$7),0))</f>
        <v>21806.437869900441</v>
      </c>
      <c r="X15" s="42">
        <f>(SUMIFS('04_Base_Despesas'!$D$4:$D$219, '04_Base_Despesas'!$A$4:$A$219, X$7, '04_Base_Despesas'!$B$4:$B$219, "pessoal"))*(IFERROR(SUMIFS('03_Base_Vendas'!$I$4:$I$387, '03_Base_Vendas'!$A$4:$A$387, X$7, '03_Base_Vendas'!$B$4:$B$387, "ecommerce")/SUMIFS('03_Base_Vendas'!$I$4:$I$387, '03_Base_Vendas'!$A$4:$A$387, X$7),0))</f>
        <v>22275.559104598487</v>
      </c>
      <c r="Y15" s="42">
        <f>(SUMIFS('04_Base_Despesas'!$D$4:$D$219, '04_Base_Despesas'!$A$4:$A$219, Y$7, '04_Base_Despesas'!$B$4:$B$219, "pessoal"))*(IFERROR(SUMIFS('03_Base_Vendas'!$I$4:$I$387, '03_Base_Vendas'!$A$4:$A$387, Y$7, '03_Base_Vendas'!$B$4:$B$387, "ecommerce")/SUMIFS('03_Base_Vendas'!$I$4:$I$387, '03_Base_Vendas'!$A$4:$A$387, Y$7),0))</f>
        <v>26029.811056998424</v>
      </c>
      <c r="Z15" s="43">
        <f t="shared" ref="Z15:Z23" si="4">SUM(B15:Y15)</f>
        <v>561117.28977156989</v>
      </c>
    </row>
    <row r="16" spans="1:26" x14ac:dyDescent="0.25">
      <c r="A16" s="41" t="s">
        <v>339</v>
      </c>
      <c r="B16" s="42">
        <f>(SUMIFS('04_Base_Despesas'!$D$4:$D$219, '04_Base_Despesas'!$A$4:$A$219, B$7, '04_Base_Despesas'!$B$4:$B$219, "aluguel"))*(IFERROR(SUMIFS('03_Base_Vendas'!$I$4:$I$387, '03_Base_Vendas'!$A$4:$A$387, B$7, '03_Base_Vendas'!$B$4:$B$387, "ecommerce")/SUMIFS('03_Base_Vendas'!$I$4:$I$387, '03_Base_Vendas'!$A$4:$A$387, B$7),0))</f>
        <v>4045.5904936111097</v>
      </c>
      <c r="C16" s="42">
        <f>(SUMIFS('04_Base_Despesas'!$D$4:$D$219, '04_Base_Despesas'!$A$4:$A$219, C$7, '04_Base_Despesas'!$B$4:$B$219, "aluguel"))*(IFERROR(SUMIFS('03_Base_Vendas'!$I$4:$I$387, '03_Base_Vendas'!$A$4:$A$387, C$7, '03_Base_Vendas'!$B$4:$B$387, "ecommerce")/SUMIFS('03_Base_Vendas'!$I$4:$I$387, '03_Base_Vendas'!$A$4:$A$387, C$7),0))</f>
        <v>4560.8912570212051</v>
      </c>
      <c r="D16" s="42">
        <f>(SUMIFS('04_Base_Despesas'!$D$4:$D$219, '04_Base_Despesas'!$A$4:$A$219, D$7, '04_Base_Despesas'!$B$4:$B$219, "aluguel"))*(IFERROR(SUMIFS('03_Base_Vendas'!$I$4:$I$387, '03_Base_Vendas'!$A$4:$A$387, D$7, '03_Base_Vendas'!$B$4:$B$387, "ecommerce")/SUMIFS('03_Base_Vendas'!$I$4:$I$387, '03_Base_Vendas'!$A$4:$A$387, D$7),0))</f>
        <v>4083.6731386479314</v>
      </c>
      <c r="E16" s="42">
        <f>(SUMIFS('04_Base_Despesas'!$D$4:$D$219, '04_Base_Despesas'!$A$4:$A$219, E$7, '04_Base_Despesas'!$B$4:$B$219, "aluguel"))*(IFERROR(SUMIFS('03_Base_Vendas'!$I$4:$I$387, '03_Base_Vendas'!$A$4:$A$387, E$7, '03_Base_Vendas'!$B$4:$B$387, "ecommerce")/SUMIFS('03_Base_Vendas'!$I$4:$I$387, '03_Base_Vendas'!$A$4:$A$387, E$7),0))</f>
        <v>4079.5215660335684</v>
      </c>
      <c r="F16" s="42">
        <f>(SUMIFS('04_Base_Despesas'!$D$4:$D$219, '04_Base_Despesas'!$A$4:$A$219, F$7, '04_Base_Despesas'!$B$4:$B$219, "aluguel"))*(IFERROR(SUMIFS('03_Base_Vendas'!$I$4:$I$387, '03_Base_Vendas'!$A$4:$A$387, F$7, '03_Base_Vendas'!$B$4:$B$387, "ecommerce")/SUMIFS('03_Base_Vendas'!$I$4:$I$387, '03_Base_Vendas'!$A$4:$A$387, F$7),0))</f>
        <v>4626.4835938311317</v>
      </c>
      <c r="G16" s="42">
        <f>(SUMIFS('04_Base_Despesas'!$D$4:$D$219, '04_Base_Despesas'!$A$4:$A$219, G$7, '04_Base_Despesas'!$B$4:$B$219, "aluguel"))*(IFERROR(SUMIFS('03_Base_Vendas'!$I$4:$I$387, '03_Base_Vendas'!$A$4:$A$387, G$7, '03_Base_Vendas'!$B$4:$B$387, "ecommerce")/SUMIFS('03_Base_Vendas'!$I$4:$I$387, '03_Base_Vendas'!$A$4:$A$387, G$7),0))</f>
        <v>4536.6536689639488</v>
      </c>
      <c r="H16" s="42">
        <f>(SUMIFS('04_Base_Despesas'!$D$4:$D$219, '04_Base_Despesas'!$A$4:$A$219, H$7, '04_Base_Despesas'!$B$4:$B$219, "aluguel"))*(IFERROR(SUMIFS('03_Base_Vendas'!$I$4:$I$387, '03_Base_Vendas'!$A$4:$A$387, H$7, '03_Base_Vendas'!$B$4:$B$387, "ecommerce")/SUMIFS('03_Base_Vendas'!$I$4:$I$387, '03_Base_Vendas'!$A$4:$A$387, H$7),0))</f>
        <v>4647.9432929957602</v>
      </c>
      <c r="I16" s="42">
        <f>(SUMIFS('04_Base_Despesas'!$D$4:$D$219, '04_Base_Despesas'!$A$4:$A$219, I$7, '04_Base_Despesas'!$B$4:$B$219, "aluguel"))*(IFERROR(SUMIFS('03_Base_Vendas'!$I$4:$I$387, '03_Base_Vendas'!$A$4:$A$387, I$7, '03_Base_Vendas'!$B$4:$B$387, "ecommerce")/SUMIFS('03_Base_Vendas'!$I$4:$I$387, '03_Base_Vendas'!$A$4:$A$387, I$7),0))</f>
        <v>4395.9161643777397</v>
      </c>
      <c r="J16" s="42">
        <f>(SUMIFS('04_Base_Despesas'!$D$4:$D$219, '04_Base_Despesas'!$A$4:$A$219, J$7, '04_Base_Despesas'!$B$4:$B$219, "aluguel"))*(IFERROR(SUMIFS('03_Base_Vendas'!$I$4:$I$387, '03_Base_Vendas'!$A$4:$A$387, J$7, '03_Base_Vendas'!$B$4:$B$387, "ecommerce")/SUMIFS('03_Base_Vendas'!$I$4:$I$387, '03_Base_Vendas'!$A$4:$A$387, J$7),0))</f>
        <v>4656.3807813135072</v>
      </c>
      <c r="K16" s="42">
        <f>(SUMIFS('04_Base_Despesas'!$D$4:$D$219, '04_Base_Despesas'!$A$4:$A$219, K$7, '04_Base_Despesas'!$B$4:$B$219, "aluguel"))*(IFERROR(SUMIFS('03_Base_Vendas'!$I$4:$I$387, '03_Base_Vendas'!$A$4:$A$387, K$7, '03_Base_Vendas'!$B$4:$B$387, "ecommerce")/SUMIFS('03_Base_Vendas'!$I$4:$I$387, '03_Base_Vendas'!$A$4:$A$387, K$7),0))</f>
        <v>4474.4339861686994</v>
      </c>
      <c r="L16" s="42">
        <f>(SUMIFS('04_Base_Despesas'!$D$4:$D$219, '04_Base_Despesas'!$A$4:$A$219, L$7, '04_Base_Despesas'!$B$4:$B$219, "aluguel"))*(IFERROR(SUMIFS('03_Base_Vendas'!$I$4:$I$387, '03_Base_Vendas'!$A$4:$A$387, L$7, '03_Base_Vendas'!$B$4:$B$387, "ecommerce")/SUMIFS('03_Base_Vendas'!$I$4:$I$387, '03_Base_Vendas'!$A$4:$A$387, L$7),0))</f>
        <v>4386.4539356603582</v>
      </c>
      <c r="M16" s="42">
        <f>(SUMIFS('04_Base_Despesas'!$D$4:$D$219, '04_Base_Despesas'!$A$4:$A$219, M$7, '04_Base_Despesas'!$B$4:$B$219, "aluguel"))*(IFERROR(SUMIFS('03_Base_Vendas'!$I$4:$I$387, '03_Base_Vendas'!$A$4:$A$387, M$7, '03_Base_Vendas'!$B$4:$B$387, "ecommerce")/SUMIFS('03_Base_Vendas'!$I$4:$I$387, '03_Base_Vendas'!$A$4:$A$387, M$7),0))</f>
        <v>4324.4494889365978</v>
      </c>
      <c r="N16" s="42">
        <f>(SUMIFS('04_Base_Despesas'!$D$4:$D$219, '04_Base_Despesas'!$A$4:$A$219, N$7, '04_Base_Despesas'!$B$4:$B$219, "aluguel"))*(IFERROR(SUMIFS('03_Base_Vendas'!$I$4:$I$387, '03_Base_Vendas'!$A$4:$A$387, N$7, '03_Base_Vendas'!$B$4:$B$387, "ecommerce")/SUMIFS('03_Base_Vendas'!$I$4:$I$387, '03_Base_Vendas'!$A$4:$A$387, N$7),0))</f>
        <v>4358.5289913801862</v>
      </c>
      <c r="O16" s="42">
        <f>(SUMIFS('04_Base_Despesas'!$D$4:$D$219, '04_Base_Despesas'!$A$4:$A$219, O$7, '04_Base_Despesas'!$B$4:$B$219, "aluguel"))*(IFERROR(SUMIFS('03_Base_Vendas'!$I$4:$I$387, '03_Base_Vendas'!$A$4:$A$387, O$7, '03_Base_Vendas'!$B$4:$B$387, "ecommerce")/SUMIFS('03_Base_Vendas'!$I$4:$I$387, '03_Base_Vendas'!$A$4:$A$387, O$7),0))</f>
        <v>4238.4427673968275</v>
      </c>
      <c r="P16" s="42">
        <f>(SUMIFS('04_Base_Despesas'!$D$4:$D$219, '04_Base_Despesas'!$A$4:$A$219, P$7, '04_Base_Despesas'!$B$4:$B$219, "aluguel"))*(IFERROR(SUMIFS('03_Base_Vendas'!$I$4:$I$387, '03_Base_Vendas'!$A$4:$A$387, P$7, '03_Base_Vendas'!$B$4:$B$387, "ecommerce")/SUMIFS('03_Base_Vendas'!$I$4:$I$387, '03_Base_Vendas'!$A$4:$A$387, P$7),0))</f>
        <v>4211.449950393373</v>
      </c>
      <c r="Q16" s="42">
        <f>(SUMIFS('04_Base_Despesas'!$D$4:$D$219, '04_Base_Despesas'!$A$4:$A$219, Q$7, '04_Base_Despesas'!$B$4:$B$219, "aluguel"))*(IFERROR(SUMIFS('03_Base_Vendas'!$I$4:$I$387, '03_Base_Vendas'!$A$4:$A$387, Q$7, '03_Base_Vendas'!$B$4:$B$387, "ecommerce")/SUMIFS('03_Base_Vendas'!$I$4:$I$387, '03_Base_Vendas'!$A$4:$A$387, Q$7),0))</f>
        <v>4696.1441733381316</v>
      </c>
      <c r="R16" s="42">
        <f>(SUMIFS('04_Base_Despesas'!$D$4:$D$219, '04_Base_Despesas'!$A$4:$A$219, R$7, '04_Base_Despesas'!$B$4:$B$219, "aluguel"))*(IFERROR(SUMIFS('03_Base_Vendas'!$I$4:$I$387, '03_Base_Vendas'!$A$4:$A$387, R$7, '03_Base_Vendas'!$B$4:$B$387, "ecommerce")/SUMIFS('03_Base_Vendas'!$I$4:$I$387, '03_Base_Vendas'!$A$4:$A$387, R$7),0))</f>
        <v>4128.4601683680539</v>
      </c>
      <c r="S16" s="42">
        <f>(SUMIFS('04_Base_Despesas'!$D$4:$D$219, '04_Base_Despesas'!$A$4:$A$219, S$7, '04_Base_Despesas'!$B$4:$B$219, "aluguel"))*(IFERROR(SUMIFS('03_Base_Vendas'!$I$4:$I$387, '03_Base_Vendas'!$A$4:$A$387, S$7, '03_Base_Vendas'!$B$4:$B$387, "ecommerce")/SUMIFS('03_Base_Vendas'!$I$4:$I$387, '03_Base_Vendas'!$A$4:$A$387, S$7),0))</f>
        <v>4351.8838815724575</v>
      </c>
      <c r="T16" s="42">
        <f>(SUMIFS('04_Base_Despesas'!$D$4:$D$219, '04_Base_Despesas'!$A$4:$A$219, T$7, '04_Base_Despesas'!$B$4:$B$219, "aluguel"))*(IFERROR(SUMIFS('03_Base_Vendas'!$I$4:$I$387, '03_Base_Vendas'!$A$4:$A$387, T$7, '03_Base_Vendas'!$B$4:$B$387, "ecommerce")/SUMIFS('03_Base_Vendas'!$I$4:$I$387, '03_Base_Vendas'!$A$4:$A$387, T$7),0))</f>
        <v>4040.7641823243835</v>
      </c>
      <c r="U16" s="42">
        <f>(SUMIFS('04_Base_Despesas'!$D$4:$D$219, '04_Base_Despesas'!$A$4:$A$219, U$7, '04_Base_Despesas'!$B$4:$B$219, "aluguel"))*(IFERROR(SUMIFS('03_Base_Vendas'!$I$4:$I$387, '03_Base_Vendas'!$A$4:$A$387, U$7, '03_Base_Vendas'!$B$4:$B$387, "ecommerce")/SUMIFS('03_Base_Vendas'!$I$4:$I$387, '03_Base_Vendas'!$A$4:$A$387, U$7),0))</f>
        <v>3561.6408060018402</v>
      </c>
      <c r="V16" s="42">
        <f>(SUMIFS('04_Base_Despesas'!$D$4:$D$219, '04_Base_Despesas'!$A$4:$A$219, V$7, '04_Base_Despesas'!$B$4:$B$219, "aluguel"))*(IFERROR(SUMIFS('03_Base_Vendas'!$I$4:$I$387, '03_Base_Vendas'!$A$4:$A$387, V$7, '03_Base_Vendas'!$B$4:$B$387, "ecommerce")/SUMIFS('03_Base_Vendas'!$I$4:$I$387, '03_Base_Vendas'!$A$4:$A$387, V$7),0))</f>
        <v>4356.2128319722233</v>
      </c>
      <c r="W16" s="42">
        <f>(SUMIFS('04_Base_Despesas'!$D$4:$D$219, '04_Base_Despesas'!$A$4:$A$219, W$7, '04_Base_Despesas'!$B$4:$B$219, "aluguel"))*(IFERROR(SUMIFS('03_Base_Vendas'!$I$4:$I$387, '03_Base_Vendas'!$A$4:$A$387, W$7, '03_Base_Vendas'!$B$4:$B$387, "ecommerce")/SUMIFS('03_Base_Vendas'!$I$4:$I$387, '03_Base_Vendas'!$A$4:$A$387, W$7),0))</f>
        <v>4043.6357258965581</v>
      </c>
      <c r="X16" s="42">
        <f>(SUMIFS('04_Base_Despesas'!$D$4:$D$219, '04_Base_Despesas'!$A$4:$A$219, X$7, '04_Base_Despesas'!$B$4:$B$219, "aluguel"))*(IFERROR(SUMIFS('03_Base_Vendas'!$I$4:$I$387, '03_Base_Vendas'!$A$4:$A$387, X$7, '03_Base_Vendas'!$B$4:$B$387, "ecommerce")/SUMIFS('03_Base_Vendas'!$I$4:$I$387, '03_Base_Vendas'!$A$4:$A$387, X$7),0))</f>
        <v>4130.3425513353022</v>
      </c>
      <c r="Y16" s="42">
        <f>(SUMIFS('04_Base_Despesas'!$D$4:$D$219, '04_Base_Despesas'!$A$4:$A$219, Y$7, '04_Base_Despesas'!$B$4:$B$219, "aluguel"))*(IFERROR(SUMIFS('03_Base_Vendas'!$I$4:$I$387, '03_Base_Vendas'!$A$4:$A$387, Y$7, '03_Base_Vendas'!$B$4:$B$387, "ecommerce")/SUMIFS('03_Base_Vendas'!$I$4:$I$387, '03_Base_Vendas'!$A$4:$A$387, Y$7),0))</f>
        <v>4838.3243083569805</v>
      </c>
      <c r="Z16" s="43">
        <f t="shared" si="4"/>
        <v>103774.22170589789</v>
      </c>
    </row>
    <row r="17" spans="1:26" x14ac:dyDescent="0.25">
      <c r="A17" s="41" t="s">
        <v>340</v>
      </c>
      <c r="B17" s="42">
        <f>(SUMIFS('04_Base_Despesas'!$D$4:$D$219, '04_Base_Despesas'!$A$4:$A$219, B$7, '04_Base_Despesas'!$B$4:$B$219, "marketing"))*(IFERROR(SUMIFS('03_Base_Vendas'!$I$4:$I$387, '03_Base_Vendas'!$A$4:$A$387, B$7, '03_Base_Vendas'!$B$4:$B$387, "ecommerce")/SUMIFS('03_Base_Vendas'!$I$4:$I$387, '03_Base_Vendas'!$A$4:$A$387, B$7),0))</f>
        <v>7599.9062873908942</v>
      </c>
      <c r="C17" s="42">
        <f>(SUMIFS('04_Base_Despesas'!$D$4:$D$219, '04_Base_Despesas'!$A$4:$A$219, C$7, '04_Base_Despesas'!$B$4:$B$219, "marketing"))*(IFERROR(SUMIFS('03_Base_Vendas'!$I$4:$I$387, '03_Base_Vendas'!$A$4:$A$387, C$7, '03_Base_Vendas'!$B$4:$B$387, "ecommerce")/SUMIFS('03_Base_Vendas'!$I$4:$I$387, '03_Base_Vendas'!$A$4:$A$387, C$7),0))</f>
        <v>5832.2901047666019</v>
      </c>
      <c r="D17" s="42">
        <f>(SUMIFS('04_Base_Despesas'!$D$4:$D$219, '04_Base_Despesas'!$A$4:$A$219, D$7, '04_Base_Despesas'!$B$4:$B$219, "marketing"))*(IFERROR(SUMIFS('03_Base_Vendas'!$I$4:$I$387, '03_Base_Vendas'!$A$4:$A$387, D$7, '03_Base_Vendas'!$B$4:$B$387, "ecommerce")/SUMIFS('03_Base_Vendas'!$I$4:$I$387, '03_Base_Vendas'!$A$4:$A$387, D$7),0))</f>
        <v>4724.6292800768952</v>
      </c>
      <c r="E17" s="42">
        <f>(SUMIFS('04_Base_Despesas'!$D$4:$D$219, '04_Base_Despesas'!$A$4:$A$219, E$7, '04_Base_Despesas'!$B$4:$B$219, "marketing"))*(IFERROR(SUMIFS('03_Base_Vendas'!$I$4:$I$387, '03_Base_Vendas'!$A$4:$A$387, E$7, '03_Base_Vendas'!$B$4:$B$387, "ecommerce")/SUMIFS('03_Base_Vendas'!$I$4:$I$387, '03_Base_Vendas'!$A$4:$A$387, E$7),0))</f>
        <v>5312.2628043911382</v>
      </c>
      <c r="F17" s="42">
        <f>(SUMIFS('04_Base_Despesas'!$D$4:$D$219, '04_Base_Despesas'!$A$4:$A$219, F$7, '04_Base_Despesas'!$B$4:$B$219, "marketing"))*(IFERROR(SUMIFS('03_Base_Vendas'!$I$4:$I$387, '03_Base_Vendas'!$A$4:$A$387, F$7, '03_Base_Vendas'!$B$4:$B$387, "ecommerce")/SUMIFS('03_Base_Vendas'!$I$4:$I$387, '03_Base_Vendas'!$A$4:$A$387, F$7),0))</f>
        <v>8328.9074445095448</v>
      </c>
      <c r="G17" s="42">
        <f>(SUMIFS('04_Base_Despesas'!$D$4:$D$219, '04_Base_Despesas'!$A$4:$A$219, G$7, '04_Base_Despesas'!$B$4:$B$219, "marketing"))*(IFERROR(SUMIFS('03_Base_Vendas'!$I$4:$I$387, '03_Base_Vendas'!$A$4:$A$387, G$7, '03_Base_Vendas'!$B$4:$B$387, "ecommerce")/SUMIFS('03_Base_Vendas'!$I$4:$I$387, '03_Base_Vendas'!$A$4:$A$387, G$7),0))</f>
        <v>8465.7730048549911</v>
      </c>
      <c r="H17" s="42">
        <f>(SUMIFS('04_Base_Despesas'!$D$4:$D$219, '04_Base_Despesas'!$A$4:$A$219, H$7, '04_Base_Despesas'!$B$4:$B$219, "marketing"))*(IFERROR(SUMIFS('03_Base_Vendas'!$I$4:$I$387, '03_Base_Vendas'!$A$4:$A$387, H$7, '03_Base_Vendas'!$B$4:$B$387, "ecommerce")/SUMIFS('03_Base_Vendas'!$I$4:$I$387, '03_Base_Vendas'!$A$4:$A$387, H$7),0))</f>
        <v>4867.3702495721463</v>
      </c>
      <c r="I17" s="42">
        <f>(SUMIFS('04_Base_Despesas'!$D$4:$D$219, '04_Base_Despesas'!$A$4:$A$219, I$7, '04_Base_Despesas'!$B$4:$B$219, "marketing"))*(IFERROR(SUMIFS('03_Base_Vendas'!$I$4:$I$387, '03_Base_Vendas'!$A$4:$A$387, I$7, '03_Base_Vendas'!$B$4:$B$387, "ecommerce")/SUMIFS('03_Base_Vendas'!$I$4:$I$387, '03_Base_Vendas'!$A$4:$A$387, I$7),0))</f>
        <v>5945.8051492131781</v>
      </c>
      <c r="J17" s="42">
        <f>(SUMIFS('04_Base_Despesas'!$D$4:$D$219, '04_Base_Despesas'!$A$4:$A$219, J$7, '04_Base_Despesas'!$B$4:$B$219, "marketing"))*(IFERROR(SUMIFS('03_Base_Vendas'!$I$4:$I$387, '03_Base_Vendas'!$A$4:$A$387, J$7, '03_Base_Vendas'!$B$4:$B$387, "ecommerce")/SUMIFS('03_Base_Vendas'!$I$4:$I$387, '03_Base_Vendas'!$A$4:$A$387, J$7),0))</f>
        <v>6992.222340811978</v>
      </c>
      <c r="K17" s="42">
        <f>(SUMIFS('04_Base_Despesas'!$D$4:$D$219, '04_Base_Despesas'!$A$4:$A$219, K$7, '04_Base_Despesas'!$B$4:$B$219, "marketing"))*(IFERROR(SUMIFS('03_Base_Vendas'!$I$4:$I$387, '03_Base_Vendas'!$A$4:$A$387, K$7, '03_Base_Vendas'!$B$4:$B$387, "ecommerce")/SUMIFS('03_Base_Vendas'!$I$4:$I$387, '03_Base_Vendas'!$A$4:$A$387, K$7),0))</f>
        <v>6836.8503521165612</v>
      </c>
      <c r="L17" s="42">
        <f>(SUMIFS('04_Base_Despesas'!$D$4:$D$219, '04_Base_Despesas'!$A$4:$A$219, L$7, '04_Base_Despesas'!$B$4:$B$219, "marketing"))*(IFERROR(SUMIFS('03_Base_Vendas'!$I$4:$I$387, '03_Base_Vendas'!$A$4:$A$387, L$7, '03_Base_Vendas'!$B$4:$B$387, "ecommerce")/SUMIFS('03_Base_Vendas'!$I$4:$I$387, '03_Base_Vendas'!$A$4:$A$387, L$7),0))</f>
        <v>7428.9491759536377</v>
      </c>
      <c r="M17" s="42">
        <f>(SUMIFS('04_Base_Despesas'!$D$4:$D$219, '04_Base_Despesas'!$A$4:$A$219, M$7, '04_Base_Despesas'!$B$4:$B$219, "marketing"))*(IFERROR(SUMIFS('03_Base_Vendas'!$I$4:$I$387, '03_Base_Vendas'!$A$4:$A$387, M$7, '03_Base_Vendas'!$B$4:$B$387, "ecommerce")/SUMIFS('03_Base_Vendas'!$I$4:$I$387, '03_Base_Vendas'!$A$4:$A$387, M$7),0))</f>
        <v>8276.5866371362226</v>
      </c>
      <c r="N17" s="42">
        <f>(SUMIFS('04_Base_Despesas'!$D$4:$D$219, '04_Base_Despesas'!$A$4:$A$219, N$7, '04_Base_Despesas'!$B$4:$B$219, "marketing"))*(IFERROR(SUMIFS('03_Base_Vendas'!$I$4:$I$387, '03_Base_Vendas'!$A$4:$A$387, N$7, '03_Base_Vendas'!$B$4:$B$387, "ecommerce")/SUMIFS('03_Base_Vendas'!$I$4:$I$387, '03_Base_Vendas'!$A$4:$A$387, N$7),0))</f>
        <v>6902.3014708520432</v>
      </c>
      <c r="O17" s="42">
        <f>(SUMIFS('04_Base_Despesas'!$D$4:$D$219, '04_Base_Despesas'!$A$4:$A$219, O$7, '04_Base_Despesas'!$B$4:$B$219, "marketing"))*(IFERROR(SUMIFS('03_Base_Vendas'!$I$4:$I$387, '03_Base_Vendas'!$A$4:$A$387, O$7, '03_Base_Vendas'!$B$4:$B$387, "ecommerce")/SUMIFS('03_Base_Vendas'!$I$4:$I$387, '03_Base_Vendas'!$A$4:$A$387, O$7),0))</f>
        <v>5405.8035974306667</v>
      </c>
      <c r="P17" s="42">
        <f>(SUMIFS('04_Base_Despesas'!$D$4:$D$219, '04_Base_Despesas'!$A$4:$A$219, P$7, '04_Base_Despesas'!$B$4:$B$219, "marketing"))*(IFERROR(SUMIFS('03_Base_Vendas'!$I$4:$I$387, '03_Base_Vendas'!$A$4:$A$387, P$7, '03_Base_Vendas'!$B$4:$B$387, "ecommerce")/SUMIFS('03_Base_Vendas'!$I$4:$I$387, '03_Base_Vendas'!$A$4:$A$387, P$7),0))</f>
        <v>7064.3038792106872</v>
      </c>
      <c r="Q17" s="42">
        <f>(SUMIFS('04_Base_Despesas'!$D$4:$D$219, '04_Base_Despesas'!$A$4:$A$219, Q$7, '04_Base_Despesas'!$B$4:$B$219, "marketing"))*(IFERROR(SUMIFS('03_Base_Vendas'!$I$4:$I$387, '03_Base_Vendas'!$A$4:$A$387, Q$7, '03_Base_Vendas'!$B$4:$B$387, "ecommerce")/SUMIFS('03_Base_Vendas'!$I$4:$I$387, '03_Base_Vendas'!$A$4:$A$387, Q$7),0))</f>
        <v>5973.4508986991987</v>
      </c>
      <c r="R17" s="42">
        <f>(SUMIFS('04_Base_Despesas'!$D$4:$D$219, '04_Base_Despesas'!$A$4:$A$219, R$7, '04_Base_Despesas'!$B$4:$B$219, "marketing"))*(IFERROR(SUMIFS('03_Base_Vendas'!$I$4:$I$387, '03_Base_Vendas'!$A$4:$A$387, R$7, '03_Base_Vendas'!$B$4:$B$387, "ecommerce")/SUMIFS('03_Base_Vendas'!$I$4:$I$387, '03_Base_Vendas'!$A$4:$A$387, R$7),0))</f>
        <v>9076.7882056797371</v>
      </c>
      <c r="S17" s="42">
        <f>(SUMIFS('04_Base_Despesas'!$D$4:$D$219, '04_Base_Despesas'!$A$4:$A$219, S$7, '04_Base_Despesas'!$B$4:$B$219, "marketing"))*(IFERROR(SUMIFS('03_Base_Vendas'!$I$4:$I$387, '03_Base_Vendas'!$A$4:$A$387, S$7, '03_Base_Vendas'!$B$4:$B$387, "ecommerce")/SUMIFS('03_Base_Vendas'!$I$4:$I$387, '03_Base_Vendas'!$A$4:$A$387, S$7),0))</f>
        <v>6888.2690802033685</v>
      </c>
      <c r="T17" s="42">
        <f>(SUMIFS('04_Base_Despesas'!$D$4:$D$219, '04_Base_Despesas'!$A$4:$A$219, T$7, '04_Base_Despesas'!$B$4:$B$219, "marketing"))*(IFERROR(SUMIFS('03_Base_Vendas'!$I$4:$I$387, '03_Base_Vendas'!$A$4:$A$387, T$7, '03_Base_Vendas'!$B$4:$B$387, "ecommerce")/SUMIFS('03_Base_Vendas'!$I$4:$I$387, '03_Base_Vendas'!$A$4:$A$387, T$7),0))</f>
        <v>5887.2723737463148</v>
      </c>
      <c r="U17" s="42">
        <f>(SUMIFS('04_Base_Despesas'!$D$4:$D$219, '04_Base_Despesas'!$A$4:$A$219, U$7, '04_Base_Despesas'!$B$4:$B$219, "marketing"))*(IFERROR(SUMIFS('03_Base_Vendas'!$I$4:$I$387, '03_Base_Vendas'!$A$4:$A$387, U$7, '03_Base_Vendas'!$B$4:$B$387, "ecommerce")/SUMIFS('03_Base_Vendas'!$I$4:$I$387, '03_Base_Vendas'!$A$4:$A$387, U$7),0))</f>
        <v>4870.5438022075159</v>
      </c>
      <c r="V17" s="42">
        <f>(SUMIFS('04_Base_Despesas'!$D$4:$D$219, '04_Base_Despesas'!$A$4:$A$219, V$7, '04_Base_Despesas'!$B$4:$B$219, "marketing"))*(IFERROR(SUMIFS('03_Base_Vendas'!$I$4:$I$387, '03_Base_Vendas'!$A$4:$A$387, V$7, '03_Base_Vendas'!$B$4:$B$387, "ecommerce")/SUMIFS('03_Base_Vendas'!$I$4:$I$387, '03_Base_Vendas'!$A$4:$A$387, V$7),0))</f>
        <v>5417.5146714820203</v>
      </c>
      <c r="W17" s="42">
        <f>(SUMIFS('04_Base_Despesas'!$D$4:$D$219, '04_Base_Despesas'!$A$4:$A$219, W$7, '04_Base_Despesas'!$B$4:$B$219, "marketing"))*(IFERROR(SUMIFS('03_Base_Vendas'!$I$4:$I$387, '03_Base_Vendas'!$A$4:$A$387, W$7, '03_Base_Vendas'!$B$4:$B$387, "ecommerce")/SUMIFS('03_Base_Vendas'!$I$4:$I$387, '03_Base_Vendas'!$A$4:$A$387, W$7),0))</f>
        <v>6444.9424170322409</v>
      </c>
      <c r="X17" s="42">
        <f>(SUMIFS('04_Base_Despesas'!$D$4:$D$219, '04_Base_Despesas'!$A$4:$A$219, X$7, '04_Base_Despesas'!$B$4:$B$219, "marketing"))*(IFERROR(SUMIFS('03_Base_Vendas'!$I$4:$I$387, '03_Base_Vendas'!$A$4:$A$387, X$7, '03_Base_Vendas'!$B$4:$B$387, "ecommerce")/SUMIFS('03_Base_Vendas'!$I$4:$I$387, '03_Base_Vendas'!$A$4:$A$387, X$7),0))</f>
        <v>7448.1467250559181</v>
      </c>
      <c r="Y17" s="42">
        <f>(SUMIFS('04_Base_Despesas'!$D$4:$D$219, '04_Base_Despesas'!$A$4:$A$219, Y$7, '04_Base_Despesas'!$B$4:$B$219, "marketing"))*(IFERROR(SUMIFS('03_Base_Vendas'!$I$4:$I$387, '03_Base_Vendas'!$A$4:$A$387, Y$7, '03_Base_Vendas'!$B$4:$B$387, "ecommerce")/SUMIFS('03_Base_Vendas'!$I$4:$I$387, '03_Base_Vendas'!$A$4:$A$387, Y$7),0))</f>
        <v>7196.8572297990459</v>
      </c>
      <c r="Z17" s="43">
        <f t="shared" si="4"/>
        <v>159187.74718219254</v>
      </c>
    </row>
    <row r="18" spans="1:26" x14ac:dyDescent="0.25">
      <c r="A18" s="41" t="s">
        <v>341</v>
      </c>
      <c r="B18" s="42">
        <f>(SUMIFS('04_Base_Despesas'!$D$4:$D$219, '04_Base_Despesas'!$A$4:$A$219, B$7, '04_Base_Despesas'!$B$4:$B$219, "logistica"))*(IFERROR(SUMIFS('03_Base_Vendas'!$I$4:$I$387, '03_Base_Vendas'!$A$4:$A$387, B$7, '03_Base_Vendas'!$B$4:$B$387, "ecommerce")/SUMIFS('03_Base_Vendas'!$I$4:$I$387, '03_Base_Vendas'!$A$4:$A$387, B$7),0))</f>
        <v>3830.0842441232844</v>
      </c>
      <c r="C18" s="42">
        <f>(SUMIFS('04_Base_Despesas'!$D$4:$D$219, '04_Base_Despesas'!$A$4:$A$219, C$7, '04_Base_Despesas'!$B$4:$B$219, "logistica"))*(IFERROR(SUMIFS('03_Base_Vendas'!$I$4:$I$387, '03_Base_Vendas'!$A$4:$A$387, C$7, '03_Base_Vendas'!$B$4:$B$387, "ecommerce")/SUMIFS('03_Base_Vendas'!$I$4:$I$387, '03_Base_Vendas'!$A$4:$A$387, C$7),0))</f>
        <v>4397.937813815086</v>
      </c>
      <c r="D18" s="42">
        <f>(SUMIFS('04_Base_Despesas'!$D$4:$D$219, '04_Base_Despesas'!$A$4:$A$219, D$7, '04_Base_Despesas'!$B$4:$B$219, "logistica"))*(IFERROR(SUMIFS('03_Base_Vendas'!$I$4:$I$387, '03_Base_Vendas'!$A$4:$A$387, D$7, '03_Base_Vendas'!$B$4:$B$387, "ecommerce")/SUMIFS('03_Base_Vendas'!$I$4:$I$387, '03_Base_Vendas'!$A$4:$A$387, D$7),0))</f>
        <v>4197.1863560924321</v>
      </c>
      <c r="E18" s="42">
        <f>(SUMIFS('04_Base_Despesas'!$D$4:$D$219, '04_Base_Despesas'!$A$4:$A$219, E$7, '04_Base_Despesas'!$B$4:$B$219, "logistica"))*(IFERROR(SUMIFS('03_Base_Vendas'!$I$4:$I$387, '03_Base_Vendas'!$A$4:$A$387, E$7, '03_Base_Vendas'!$B$4:$B$387, "ecommerce")/SUMIFS('03_Base_Vendas'!$I$4:$I$387, '03_Base_Vendas'!$A$4:$A$387, E$7),0))</f>
        <v>4662.7299691137277</v>
      </c>
      <c r="F18" s="42">
        <f>(SUMIFS('04_Base_Despesas'!$D$4:$D$219, '04_Base_Despesas'!$A$4:$A$219, F$7, '04_Base_Despesas'!$B$4:$B$219, "logistica"))*(IFERROR(SUMIFS('03_Base_Vendas'!$I$4:$I$387, '03_Base_Vendas'!$A$4:$A$387, F$7, '03_Base_Vendas'!$B$4:$B$387, "ecommerce")/SUMIFS('03_Base_Vendas'!$I$4:$I$387, '03_Base_Vendas'!$A$4:$A$387, F$7),0))</f>
        <v>4805.1730001730812</v>
      </c>
      <c r="G18" s="42">
        <f>(SUMIFS('04_Base_Despesas'!$D$4:$D$219, '04_Base_Despesas'!$A$4:$A$219, G$7, '04_Base_Despesas'!$B$4:$B$219, "logistica"))*(IFERROR(SUMIFS('03_Base_Vendas'!$I$4:$I$387, '03_Base_Vendas'!$A$4:$A$387, G$7, '03_Base_Vendas'!$B$4:$B$387, "ecommerce")/SUMIFS('03_Base_Vendas'!$I$4:$I$387, '03_Base_Vendas'!$A$4:$A$387, G$7),0))</f>
        <v>4501.2820966207746</v>
      </c>
      <c r="H18" s="42">
        <f>(SUMIFS('04_Base_Despesas'!$D$4:$D$219, '04_Base_Despesas'!$A$4:$A$219, H$7, '04_Base_Despesas'!$B$4:$B$219, "logistica"))*(IFERROR(SUMIFS('03_Base_Vendas'!$I$4:$I$387, '03_Base_Vendas'!$A$4:$A$387, H$7, '03_Base_Vendas'!$B$4:$B$387, "ecommerce")/SUMIFS('03_Base_Vendas'!$I$4:$I$387, '03_Base_Vendas'!$A$4:$A$387, H$7),0))</f>
        <v>5254.3873635782975</v>
      </c>
      <c r="I18" s="42">
        <f>(SUMIFS('04_Base_Despesas'!$D$4:$D$219, '04_Base_Despesas'!$A$4:$A$219, I$7, '04_Base_Despesas'!$B$4:$B$219, "logistica"))*(IFERROR(SUMIFS('03_Base_Vendas'!$I$4:$I$387, '03_Base_Vendas'!$A$4:$A$387, I$7, '03_Base_Vendas'!$B$4:$B$387, "ecommerce")/SUMIFS('03_Base_Vendas'!$I$4:$I$387, '03_Base_Vendas'!$A$4:$A$387, I$7),0))</f>
        <v>4977.6994732525291</v>
      </c>
      <c r="J18" s="42">
        <f>(SUMIFS('04_Base_Despesas'!$D$4:$D$219, '04_Base_Despesas'!$A$4:$A$219, J$7, '04_Base_Despesas'!$B$4:$B$219, "logistica"))*(IFERROR(SUMIFS('03_Base_Vendas'!$I$4:$I$387, '03_Base_Vendas'!$A$4:$A$387, J$7, '03_Base_Vendas'!$B$4:$B$387, "ecommerce")/SUMIFS('03_Base_Vendas'!$I$4:$I$387, '03_Base_Vendas'!$A$4:$A$387, J$7),0))</f>
        <v>5291.1042992479861</v>
      </c>
      <c r="K18" s="42">
        <f>(SUMIFS('04_Base_Despesas'!$D$4:$D$219, '04_Base_Despesas'!$A$4:$A$219, K$7, '04_Base_Despesas'!$B$4:$B$219, "logistica"))*(IFERROR(SUMIFS('03_Base_Vendas'!$I$4:$I$387, '03_Base_Vendas'!$A$4:$A$387, K$7, '03_Base_Vendas'!$B$4:$B$387, "ecommerce")/SUMIFS('03_Base_Vendas'!$I$4:$I$387, '03_Base_Vendas'!$A$4:$A$387, K$7),0))</f>
        <v>4792.9901363313529</v>
      </c>
      <c r="L18" s="42">
        <f>(SUMIFS('04_Base_Despesas'!$D$4:$D$219, '04_Base_Despesas'!$A$4:$A$219, L$7, '04_Base_Despesas'!$B$4:$B$219, "logistica"))*(IFERROR(SUMIFS('03_Base_Vendas'!$I$4:$I$387, '03_Base_Vendas'!$A$4:$A$387, L$7, '03_Base_Vendas'!$B$4:$B$387, "ecommerce")/SUMIFS('03_Base_Vendas'!$I$4:$I$387, '03_Base_Vendas'!$A$4:$A$387, L$7),0))</f>
        <v>4734.313584718021</v>
      </c>
      <c r="M18" s="42">
        <f>(SUMIFS('04_Base_Despesas'!$D$4:$D$219, '04_Base_Despesas'!$A$4:$A$219, M$7, '04_Base_Despesas'!$B$4:$B$219, "logistica"))*(IFERROR(SUMIFS('03_Base_Vendas'!$I$4:$I$387, '03_Base_Vendas'!$A$4:$A$387, M$7, '03_Base_Vendas'!$B$4:$B$387, "ecommerce")/SUMIFS('03_Base_Vendas'!$I$4:$I$387, '03_Base_Vendas'!$A$4:$A$387, M$7),0))</f>
        <v>4514.7889951791185</v>
      </c>
      <c r="N18" s="42">
        <f>(SUMIFS('04_Base_Despesas'!$D$4:$D$219, '04_Base_Despesas'!$A$4:$A$219, N$7, '04_Base_Despesas'!$B$4:$B$219, "logistica"))*(IFERROR(SUMIFS('03_Base_Vendas'!$I$4:$I$387, '03_Base_Vendas'!$A$4:$A$387, N$7, '03_Base_Vendas'!$B$4:$B$387, "ecommerce")/SUMIFS('03_Base_Vendas'!$I$4:$I$387, '03_Base_Vendas'!$A$4:$A$387, N$7),0))</f>
        <v>4342.1730550661505</v>
      </c>
      <c r="O18" s="42">
        <f>(SUMIFS('04_Base_Despesas'!$D$4:$D$219, '04_Base_Despesas'!$A$4:$A$219, O$7, '04_Base_Despesas'!$B$4:$B$219, "logistica"))*(IFERROR(SUMIFS('03_Base_Vendas'!$I$4:$I$387, '03_Base_Vendas'!$A$4:$A$387, O$7, '03_Base_Vendas'!$B$4:$B$387, "ecommerce")/SUMIFS('03_Base_Vendas'!$I$4:$I$387, '03_Base_Vendas'!$A$4:$A$387, O$7),0))</f>
        <v>4634.8442425972917</v>
      </c>
      <c r="P18" s="42">
        <f>(SUMIFS('04_Base_Despesas'!$D$4:$D$219, '04_Base_Despesas'!$A$4:$A$219, P$7, '04_Base_Despesas'!$B$4:$B$219, "logistica"))*(IFERROR(SUMIFS('03_Base_Vendas'!$I$4:$I$387, '03_Base_Vendas'!$A$4:$A$387, P$7, '03_Base_Vendas'!$B$4:$B$387, "ecommerce")/SUMIFS('03_Base_Vendas'!$I$4:$I$387, '03_Base_Vendas'!$A$4:$A$387, P$7),0))</f>
        <v>4946.427762630813</v>
      </c>
      <c r="Q18" s="42">
        <f>(SUMIFS('04_Base_Despesas'!$D$4:$D$219, '04_Base_Despesas'!$A$4:$A$219, Q$7, '04_Base_Despesas'!$B$4:$B$219, "logistica"))*(IFERROR(SUMIFS('03_Base_Vendas'!$I$4:$I$387, '03_Base_Vendas'!$A$4:$A$387, Q$7, '03_Base_Vendas'!$B$4:$B$387, "ecommerce")/SUMIFS('03_Base_Vendas'!$I$4:$I$387, '03_Base_Vendas'!$A$4:$A$387, Q$7),0))</f>
        <v>4668.3825463092198</v>
      </c>
      <c r="R18" s="42">
        <f>(SUMIFS('04_Base_Despesas'!$D$4:$D$219, '04_Base_Despesas'!$A$4:$A$219, R$7, '04_Base_Despesas'!$B$4:$B$219, "logistica"))*(IFERROR(SUMIFS('03_Base_Vendas'!$I$4:$I$387, '03_Base_Vendas'!$A$4:$A$387, R$7, '03_Base_Vendas'!$B$4:$B$387, "ecommerce")/SUMIFS('03_Base_Vendas'!$I$4:$I$387, '03_Base_Vendas'!$A$4:$A$387, R$7),0))</f>
        <v>4562.6998432777027</v>
      </c>
      <c r="S18" s="42">
        <f>(SUMIFS('04_Base_Despesas'!$D$4:$D$219, '04_Base_Despesas'!$A$4:$A$219, S$7, '04_Base_Despesas'!$B$4:$B$219, "logistica"))*(IFERROR(SUMIFS('03_Base_Vendas'!$I$4:$I$387, '03_Base_Vendas'!$A$4:$A$387, S$7, '03_Base_Vendas'!$B$4:$B$387, "ecommerce")/SUMIFS('03_Base_Vendas'!$I$4:$I$387, '03_Base_Vendas'!$A$4:$A$387, S$7),0))</f>
        <v>4467.4056628395238</v>
      </c>
      <c r="T18" s="42">
        <f>(SUMIFS('04_Base_Despesas'!$D$4:$D$219, '04_Base_Despesas'!$A$4:$A$219, T$7, '04_Base_Despesas'!$B$4:$B$219, "logistica"))*(IFERROR(SUMIFS('03_Base_Vendas'!$I$4:$I$387, '03_Base_Vendas'!$A$4:$A$387, T$7, '03_Base_Vendas'!$B$4:$B$387, "ecommerce")/SUMIFS('03_Base_Vendas'!$I$4:$I$387, '03_Base_Vendas'!$A$4:$A$387, T$7),0))</f>
        <v>3996.6220701748566</v>
      </c>
      <c r="U18" s="42">
        <f>(SUMIFS('04_Base_Despesas'!$D$4:$D$219, '04_Base_Despesas'!$A$4:$A$219, U$7, '04_Base_Despesas'!$B$4:$B$219, "logistica"))*(IFERROR(SUMIFS('03_Base_Vendas'!$I$4:$I$387, '03_Base_Vendas'!$A$4:$A$387, U$7, '03_Base_Vendas'!$B$4:$B$387, "ecommerce")/SUMIFS('03_Base_Vendas'!$I$4:$I$387, '03_Base_Vendas'!$A$4:$A$387, U$7),0))</f>
        <v>3687.325486402267</v>
      </c>
      <c r="V18" s="42">
        <f>(SUMIFS('04_Base_Despesas'!$D$4:$D$219, '04_Base_Despesas'!$A$4:$A$219, V$7, '04_Base_Despesas'!$B$4:$B$219, "logistica"))*(IFERROR(SUMIFS('03_Base_Vendas'!$I$4:$I$387, '03_Base_Vendas'!$A$4:$A$387, V$7, '03_Base_Vendas'!$B$4:$B$387, "ecommerce")/SUMIFS('03_Base_Vendas'!$I$4:$I$387, '03_Base_Vendas'!$A$4:$A$387, V$7),0))</f>
        <v>4158.4866242725993</v>
      </c>
      <c r="W18" s="42">
        <f>(SUMIFS('04_Base_Despesas'!$D$4:$D$219, '04_Base_Despesas'!$A$4:$A$219, W$7, '04_Base_Despesas'!$B$4:$B$219, "logistica"))*(IFERROR(SUMIFS('03_Base_Vendas'!$I$4:$I$387, '03_Base_Vendas'!$A$4:$A$387, W$7, '03_Base_Vendas'!$B$4:$B$387, "ecommerce")/SUMIFS('03_Base_Vendas'!$I$4:$I$387, '03_Base_Vendas'!$A$4:$A$387, W$7),0))</f>
        <v>4074.2779717815365</v>
      </c>
      <c r="X18" s="42">
        <f>(SUMIFS('04_Base_Despesas'!$D$4:$D$219, '04_Base_Despesas'!$A$4:$A$219, X$7, '04_Base_Despesas'!$B$4:$B$219, "logistica"))*(IFERROR(SUMIFS('03_Base_Vendas'!$I$4:$I$387, '03_Base_Vendas'!$A$4:$A$387, X$7, '03_Base_Vendas'!$B$4:$B$387, "ecommerce")/SUMIFS('03_Base_Vendas'!$I$4:$I$387, '03_Base_Vendas'!$A$4:$A$387, X$7),0))</f>
        <v>4428.6098040187298</v>
      </c>
      <c r="Y18" s="42">
        <f>(SUMIFS('04_Base_Despesas'!$D$4:$D$219, '04_Base_Despesas'!$A$4:$A$219, Y$7, '04_Base_Despesas'!$B$4:$B$219, "logistica"))*(IFERROR(SUMIFS('03_Base_Vendas'!$I$4:$I$387, '03_Base_Vendas'!$A$4:$A$387, Y$7, '03_Base_Vendas'!$B$4:$B$387, "ecommerce")/SUMIFS('03_Base_Vendas'!$I$4:$I$387, '03_Base_Vendas'!$A$4:$A$387, Y$7),0))</f>
        <v>4738.0743342141122</v>
      </c>
      <c r="Z18" s="43">
        <f t="shared" si="4"/>
        <v>108665.0067358305</v>
      </c>
    </row>
    <row r="19" spans="1:26" x14ac:dyDescent="0.25">
      <c r="A19" s="41" t="s">
        <v>342</v>
      </c>
      <c r="B19" s="42">
        <f>(SUMIFS('04_Base_Despesas'!$D$4:$D$219, '04_Base_Despesas'!$A$4:$A$219, B$7, '04_Base_Despesas'!$B$4:$B$219, "tecnologia"))*(IFERROR(SUMIFS('03_Base_Vendas'!$I$4:$I$387, '03_Base_Vendas'!$A$4:$A$387, B$7, '03_Base_Vendas'!$B$4:$B$387, "ecommerce")/SUMIFS('03_Base_Vendas'!$I$4:$I$387, '03_Base_Vendas'!$A$4:$A$387, B$7),0))</f>
        <v>2859.6119840003626</v>
      </c>
      <c r="C19" s="42">
        <f>(SUMIFS('04_Base_Despesas'!$D$4:$D$219, '04_Base_Despesas'!$A$4:$A$219, C$7, '04_Base_Despesas'!$B$4:$B$219, "tecnologia"))*(IFERROR(SUMIFS('03_Base_Vendas'!$I$4:$I$387, '03_Base_Vendas'!$A$4:$A$387, C$7, '03_Base_Vendas'!$B$4:$B$387, "ecommerce")/SUMIFS('03_Base_Vendas'!$I$4:$I$387, '03_Base_Vendas'!$A$4:$A$387, C$7),0))</f>
        <v>3176.8431961655506</v>
      </c>
      <c r="D19" s="42">
        <f>(SUMIFS('04_Base_Despesas'!$D$4:$D$219, '04_Base_Despesas'!$A$4:$A$219, D$7, '04_Base_Despesas'!$B$4:$B$219, "tecnologia"))*(IFERROR(SUMIFS('03_Base_Vendas'!$I$4:$I$387, '03_Base_Vendas'!$A$4:$A$387, D$7, '03_Base_Vendas'!$B$4:$B$387, "ecommerce")/SUMIFS('03_Base_Vendas'!$I$4:$I$387, '03_Base_Vendas'!$A$4:$A$387, D$7),0))</f>
        <v>2859.8908682678307</v>
      </c>
      <c r="E19" s="42">
        <f>(SUMIFS('04_Base_Despesas'!$D$4:$D$219, '04_Base_Despesas'!$A$4:$A$219, E$7, '04_Base_Despesas'!$B$4:$B$219, "tecnologia"))*(IFERROR(SUMIFS('03_Base_Vendas'!$I$4:$I$387, '03_Base_Vendas'!$A$4:$A$387, E$7, '03_Base_Vendas'!$B$4:$B$387, "ecommerce")/SUMIFS('03_Base_Vendas'!$I$4:$I$387, '03_Base_Vendas'!$A$4:$A$387, E$7),0))</f>
        <v>2829.36291770565</v>
      </c>
      <c r="F19" s="42">
        <f>(SUMIFS('04_Base_Despesas'!$D$4:$D$219, '04_Base_Despesas'!$A$4:$A$219, F$7, '04_Base_Despesas'!$B$4:$B$219, "tecnologia"))*(IFERROR(SUMIFS('03_Base_Vendas'!$I$4:$I$387, '03_Base_Vendas'!$A$4:$A$387, F$7, '03_Base_Vendas'!$B$4:$B$387, "ecommerce")/SUMIFS('03_Base_Vendas'!$I$4:$I$387, '03_Base_Vendas'!$A$4:$A$387, F$7),0))</f>
        <v>3209.4647187816113</v>
      </c>
      <c r="G19" s="42">
        <f>(SUMIFS('04_Base_Despesas'!$D$4:$D$219, '04_Base_Despesas'!$A$4:$A$219, G$7, '04_Base_Despesas'!$B$4:$B$219, "tecnologia"))*(IFERROR(SUMIFS('03_Base_Vendas'!$I$4:$I$387, '03_Base_Vendas'!$A$4:$A$387, G$7, '03_Base_Vendas'!$B$4:$B$387, "ecommerce")/SUMIFS('03_Base_Vendas'!$I$4:$I$387, '03_Base_Vendas'!$A$4:$A$387, G$7),0))</f>
        <v>3199.740036119591</v>
      </c>
      <c r="H19" s="42">
        <f>(SUMIFS('04_Base_Despesas'!$D$4:$D$219, '04_Base_Despesas'!$A$4:$A$219, H$7, '04_Base_Despesas'!$B$4:$B$219, "tecnologia"))*(IFERROR(SUMIFS('03_Base_Vendas'!$I$4:$I$387, '03_Base_Vendas'!$A$4:$A$387, H$7, '03_Base_Vendas'!$B$4:$B$387, "ecommerce")/SUMIFS('03_Base_Vendas'!$I$4:$I$387, '03_Base_Vendas'!$A$4:$A$387, H$7),0))</f>
        <v>3240.9815027746195</v>
      </c>
      <c r="I19" s="42">
        <f>(SUMIFS('04_Base_Despesas'!$D$4:$D$219, '04_Base_Despesas'!$A$4:$A$219, I$7, '04_Base_Despesas'!$B$4:$B$219, "tecnologia"))*(IFERROR(SUMIFS('03_Base_Vendas'!$I$4:$I$387, '03_Base_Vendas'!$A$4:$A$387, I$7, '03_Base_Vendas'!$B$4:$B$387, "ecommerce")/SUMIFS('03_Base_Vendas'!$I$4:$I$387, '03_Base_Vendas'!$A$4:$A$387, I$7),0))</f>
        <v>3144.121195569016</v>
      </c>
      <c r="J19" s="42">
        <f>(SUMIFS('04_Base_Despesas'!$D$4:$D$219, '04_Base_Despesas'!$A$4:$A$219, J$7, '04_Base_Despesas'!$B$4:$B$219, "tecnologia"))*(IFERROR(SUMIFS('03_Base_Vendas'!$I$4:$I$387, '03_Base_Vendas'!$A$4:$A$387, J$7, '03_Base_Vendas'!$B$4:$B$387, "ecommerce")/SUMIFS('03_Base_Vendas'!$I$4:$I$387, '03_Base_Vendas'!$A$4:$A$387, J$7),0))</f>
        <v>3324.1951412331673</v>
      </c>
      <c r="K19" s="42">
        <f>(SUMIFS('04_Base_Despesas'!$D$4:$D$219, '04_Base_Despesas'!$A$4:$A$219, K$7, '04_Base_Despesas'!$B$4:$B$219, "tecnologia"))*(IFERROR(SUMIFS('03_Base_Vendas'!$I$4:$I$387, '03_Base_Vendas'!$A$4:$A$387, K$7, '03_Base_Vendas'!$B$4:$B$387, "ecommerce")/SUMIFS('03_Base_Vendas'!$I$4:$I$387, '03_Base_Vendas'!$A$4:$A$387, K$7),0))</f>
        <v>3185.5520817655029</v>
      </c>
      <c r="L19" s="42">
        <f>(SUMIFS('04_Base_Despesas'!$D$4:$D$219, '04_Base_Despesas'!$A$4:$A$219, L$7, '04_Base_Despesas'!$B$4:$B$219, "tecnologia"))*(IFERROR(SUMIFS('03_Base_Vendas'!$I$4:$I$387, '03_Base_Vendas'!$A$4:$A$387, L$7, '03_Base_Vendas'!$B$4:$B$387, "ecommerce")/SUMIFS('03_Base_Vendas'!$I$4:$I$387, '03_Base_Vendas'!$A$4:$A$387, L$7),0))</f>
        <v>3008.1377626772282</v>
      </c>
      <c r="M19" s="42">
        <f>(SUMIFS('04_Base_Despesas'!$D$4:$D$219, '04_Base_Despesas'!$A$4:$A$219, M$7, '04_Base_Despesas'!$B$4:$B$219, "tecnologia"))*(IFERROR(SUMIFS('03_Base_Vendas'!$I$4:$I$387, '03_Base_Vendas'!$A$4:$A$387, M$7, '03_Base_Vendas'!$B$4:$B$387, "ecommerce")/SUMIFS('03_Base_Vendas'!$I$4:$I$387, '03_Base_Vendas'!$A$4:$A$387, M$7),0))</f>
        <v>2974.9708855232302</v>
      </c>
      <c r="N19" s="42">
        <f>(SUMIFS('04_Base_Despesas'!$D$4:$D$219, '04_Base_Despesas'!$A$4:$A$219, N$7, '04_Base_Despesas'!$B$4:$B$219, "tecnologia"))*(IFERROR(SUMIFS('03_Base_Vendas'!$I$4:$I$387, '03_Base_Vendas'!$A$4:$A$387, N$7, '03_Base_Vendas'!$B$4:$B$387, "ecommerce")/SUMIFS('03_Base_Vendas'!$I$4:$I$387, '03_Base_Vendas'!$A$4:$A$387, N$7),0))</f>
        <v>2991.6085679671355</v>
      </c>
      <c r="O19" s="42">
        <f>(SUMIFS('04_Base_Despesas'!$D$4:$D$219, '04_Base_Despesas'!$A$4:$A$219, O$7, '04_Base_Despesas'!$B$4:$B$219, "tecnologia"))*(IFERROR(SUMIFS('03_Base_Vendas'!$I$4:$I$387, '03_Base_Vendas'!$A$4:$A$387, O$7, '03_Base_Vendas'!$B$4:$B$387, "ecommerce")/SUMIFS('03_Base_Vendas'!$I$4:$I$387, '03_Base_Vendas'!$A$4:$A$387, O$7),0))</f>
        <v>2983.2123265167984</v>
      </c>
      <c r="P19" s="42">
        <f>(SUMIFS('04_Base_Despesas'!$D$4:$D$219, '04_Base_Despesas'!$A$4:$A$219, P$7, '04_Base_Despesas'!$B$4:$B$219, "tecnologia"))*(IFERROR(SUMIFS('03_Base_Vendas'!$I$4:$I$387, '03_Base_Vendas'!$A$4:$A$387, P$7, '03_Base_Vendas'!$B$4:$B$387, "ecommerce")/SUMIFS('03_Base_Vendas'!$I$4:$I$387, '03_Base_Vendas'!$A$4:$A$387, P$7),0))</f>
        <v>2978.4260670224121</v>
      </c>
      <c r="Q19" s="42">
        <f>(SUMIFS('04_Base_Despesas'!$D$4:$D$219, '04_Base_Despesas'!$A$4:$A$219, Q$7, '04_Base_Despesas'!$B$4:$B$219, "tecnologia"))*(IFERROR(SUMIFS('03_Base_Vendas'!$I$4:$I$387, '03_Base_Vendas'!$A$4:$A$387, Q$7, '03_Base_Vendas'!$B$4:$B$387, "ecommerce")/SUMIFS('03_Base_Vendas'!$I$4:$I$387, '03_Base_Vendas'!$A$4:$A$387, Q$7),0))</f>
        <v>3320.5100756066772</v>
      </c>
      <c r="R19" s="42">
        <f>(SUMIFS('04_Base_Despesas'!$D$4:$D$219, '04_Base_Despesas'!$A$4:$A$219, R$7, '04_Base_Despesas'!$B$4:$B$219, "tecnologia"))*(IFERROR(SUMIFS('03_Base_Vendas'!$I$4:$I$387, '03_Base_Vendas'!$A$4:$A$387, R$7, '03_Base_Vendas'!$B$4:$B$387, "ecommerce")/SUMIFS('03_Base_Vendas'!$I$4:$I$387, '03_Base_Vendas'!$A$4:$A$387, R$7),0))</f>
        <v>2867.8209728290858</v>
      </c>
      <c r="S19" s="42">
        <f>(SUMIFS('04_Base_Despesas'!$D$4:$D$219, '04_Base_Despesas'!$A$4:$A$219, S$7, '04_Base_Despesas'!$B$4:$B$219, "tecnologia"))*(IFERROR(SUMIFS('03_Base_Vendas'!$I$4:$I$387, '03_Base_Vendas'!$A$4:$A$387, S$7, '03_Base_Vendas'!$B$4:$B$387, "ecommerce")/SUMIFS('03_Base_Vendas'!$I$4:$I$387, '03_Base_Vendas'!$A$4:$A$387, S$7),0))</f>
        <v>3074.0621766886229</v>
      </c>
      <c r="T19" s="42">
        <f>(SUMIFS('04_Base_Despesas'!$D$4:$D$219, '04_Base_Despesas'!$A$4:$A$219, T$7, '04_Base_Despesas'!$B$4:$B$219, "tecnologia"))*(IFERROR(SUMIFS('03_Base_Vendas'!$I$4:$I$387, '03_Base_Vendas'!$A$4:$A$387, T$7, '03_Base_Vendas'!$B$4:$B$387, "ecommerce")/SUMIFS('03_Base_Vendas'!$I$4:$I$387, '03_Base_Vendas'!$A$4:$A$387, T$7),0))</f>
        <v>2904.7747099359681</v>
      </c>
      <c r="U19" s="42">
        <f>(SUMIFS('04_Base_Despesas'!$D$4:$D$219, '04_Base_Despesas'!$A$4:$A$219, U$7, '04_Base_Despesas'!$B$4:$B$219, "tecnologia"))*(IFERROR(SUMIFS('03_Base_Vendas'!$I$4:$I$387, '03_Base_Vendas'!$A$4:$A$387, U$7, '03_Base_Vendas'!$B$4:$B$387, "ecommerce")/SUMIFS('03_Base_Vendas'!$I$4:$I$387, '03_Base_Vendas'!$A$4:$A$387, U$7),0))</f>
        <v>2575.9173474371855</v>
      </c>
      <c r="V19" s="42">
        <f>(SUMIFS('04_Base_Despesas'!$D$4:$D$219, '04_Base_Despesas'!$A$4:$A$219, V$7, '04_Base_Despesas'!$B$4:$B$219, "tecnologia"))*(IFERROR(SUMIFS('03_Base_Vendas'!$I$4:$I$387, '03_Base_Vendas'!$A$4:$A$387, V$7, '03_Base_Vendas'!$B$4:$B$387, "ecommerce")/SUMIFS('03_Base_Vendas'!$I$4:$I$387, '03_Base_Vendas'!$A$4:$A$387, V$7),0))</f>
        <v>3079.6957366142324</v>
      </c>
      <c r="W19" s="42">
        <f>(SUMIFS('04_Base_Despesas'!$D$4:$D$219, '04_Base_Despesas'!$A$4:$A$219, W$7, '04_Base_Despesas'!$B$4:$B$219, "tecnologia"))*(IFERROR(SUMIFS('03_Base_Vendas'!$I$4:$I$387, '03_Base_Vendas'!$A$4:$A$387, W$7, '03_Base_Vendas'!$B$4:$B$387, "ecommerce")/SUMIFS('03_Base_Vendas'!$I$4:$I$387, '03_Base_Vendas'!$A$4:$A$387, W$7),0))</f>
        <v>2838.6918700006077</v>
      </c>
      <c r="X19" s="42">
        <f>(SUMIFS('04_Base_Despesas'!$D$4:$D$219, '04_Base_Despesas'!$A$4:$A$219, X$7, '04_Base_Despesas'!$B$4:$B$219, "tecnologia"))*(IFERROR(SUMIFS('03_Base_Vendas'!$I$4:$I$387, '03_Base_Vendas'!$A$4:$A$387, X$7, '03_Base_Vendas'!$B$4:$B$387, "ecommerce")/SUMIFS('03_Base_Vendas'!$I$4:$I$387, '03_Base_Vendas'!$A$4:$A$387, X$7),0))</f>
        <v>2935.508362627023</v>
      </c>
      <c r="Y19" s="42">
        <f>(SUMIFS('04_Base_Despesas'!$D$4:$D$219, '04_Base_Despesas'!$A$4:$A$219, Y$7, '04_Base_Despesas'!$B$4:$B$219, "tecnologia"))*(IFERROR(SUMIFS('03_Base_Vendas'!$I$4:$I$387, '03_Base_Vendas'!$A$4:$A$387, Y$7, '03_Base_Vendas'!$B$4:$B$387, "ecommerce")/SUMIFS('03_Base_Vendas'!$I$4:$I$387, '03_Base_Vendas'!$A$4:$A$387, Y$7),0))</f>
        <v>0</v>
      </c>
      <c r="Z19" s="43">
        <f t="shared" si="4"/>
        <v>69563.100503829104</v>
      </c>
    </row>
    <row r="20" spans="1:26" x14ac:dyDescent="0.25">
      <c r="A20" s="41" t="s">
        <v>343</v>
      </c>
      <c r="B20" s="42">
        <f>(SUMIFS('04_Base_Despesas'!$D$4:$D$219, '04_Base_Despesas'!$A$4:$A$219, B$7, '04_Base_Despesas'!$B$4:$B$219, "administrativo"))*(IFERROR(SUMIFS('03_Base_Vendas'!$I$4:$I$387, '03_Base_Vendas'!$A$4:$A$387, B$7, '03_Base_Vendas'!$B$4:$B$387, "ecommerce")/SUMIFS('03_Base_Vendas'!$I$4:$I$387, '03_Base_Vendas'!$A$4:$A$387, B$7),0))</f>
        <v>1749.8608360825383</v>
      </c>
      <c r="C20" s="42">
        <f>(SUMIFS('04_Base_Despesas'!$D$4:$D$219, '04_Base_Despesas'!$A$4:$A$219, C$7, '04_Base_Despesas'!$B$4:$B$219, "administrativo"))*(IFERROR(SUMIFS('03_Base_Vendas'!$I$4:$I$387, '03_Base_Vendas'!$A$4:$A$387, C$7, '03_Base_Vendas'!$B$4:$B$387, "ecommerce")/SUMIFS('03_Base_Vendas'!$I$4:$I$387, '03_Base_Vendas'!$A$4:$A$387, C$7),0))</f>
        <v>1200.2345413213698</v>
      </c>
      <c r="D20" s="42">
        <f>(SUMIFS('04_Base_Despesas'!$D$4:$D$219, '04_Base_Despesas'!$A$4:$A$219, D$7, '04_Base_Despesas'!$B$4:$B$219, "administrativo"))*(IFERROR(SUMIFS('03_Base_Vendas'!$I$4:$I$387, '03_Base_Vendas'!$A$4:$A$387, D$7, '03_Base_Vendas'!$B$4:$B$387, "ecommerce")/SUMIFS('03_Base_Vendas'!$I$4:$I$387, '03_Base_Vendas'!$A$4:$A$387, D$7),0))</f>
        <v>1074.6508259599821</v>
      </c>
      <c r="E20" s="42">
        <f>(SUMIFS('04_Base_Despesas'!$D$4:$D$219, '04_Base_Despesas'!$A$4:$A$219, E$7, '04_Base_Despesas'!$B$4:$B$219, "administrativo"))*(IFERROR(SUMIFS('03_Base_Vendas'!$I$4:$I$387, '03_Base_Vendas'!$A$4:$A$387, E$7, '03_Base_Vendas'!$B$4:$B$387, "ecommerce")/SUMIFS('03_Base_Vendas'!$I$4:$I$387, '03_Base_Vendas'!$A$4:$A$387, E$7),0))</f>
        <v>1957.002320258259</v>
      </c>
      <c r="F20" s="42">
        <f>(SUMIFS('04_Base_Despesas'!$D$4:$D$219, '04_Base_Despesas'!$A$4:$A$219, F$7, '04_Base_Despesas'!$B$4:$B$219, "administrativo"))*(IFERROR(SUMIFS('03_Base_Vendas'!$I$4:$I$387, '03_Base_Vendas'!$A$4:$A$387, F$7, '03_Base_Vendas'!$B$4:$B$387, "ecommerce")/SUMIFS('03_Base_Vendas'!$I$4:$I$387, '03_Base_Vendas'!$A$4:$A$387, F$7),0))</f>
        <v>1217.4956825871398</v>
      </c>
      <c r="G20" s="42">
        <f>(SUMIFS('04_Base_Despesas'!$D$4:$D$219, '04_Base_Despesas'!$A$4:$A$219, G$7, '04_Base_Despesas'!$B$4:$B$219, "administrativo"))*(IFERROR(SUMIFS('03_Base_Vendas'!$I$4:$I$387, '03_Base_Vendas'!$A$4:$A$387, G$7, '03_Base_Vendas'!$B$4:$B$387, "ecommerce")/SUMIFS('03_Base_Vendas'!$I$4:$I$387, '03_Base_Vendas'!$A$4:$A$387, G$7),0))</f>
        <v>1193.8562286747233</v>
      </c>
      <c r="H20" s="42">
        <f>(SUMIFS('04_Base_Despesas'!$D$4:$D$219, '04_Base_Despesas'!$A$4:$A$219, H$7, '04_Base_Despesas'!$B$4:$B$219, "administrativo"))*(IFERROR(SUMIFS('03_Base_Vendas'!$I$4:$I$387, '03_Base_Vendas'!$A$4:$A$387, H$7, '03_Base_Vendas'!$B$4:$B$387, "ecommerce")/SUMIFS('03_Base_Vendas'!$I$4:$I$387, '03_Base_Vendas'!$A$4:$A$387, H$7),0))</f>
        <v>2080.6885093987071</v>
      </c>
      <c r="I20" s="42">
        <f>(SUMIFS('04_Base_Despesas'!$D$4:$D$219, '04_Base_Despesas'!$A$4:$A$219, I$7, '04_Base_Despesas'!$B$4:$B$219, "administrativo"))*(IFERROR(SUMIFS('03_Base_Vendas'!$I$4:$I$387, '03_Base_Vendas'!$A$4:$A$387, I$7, '03_Base_Vendas'!$B$4:$B$387, "ecommerce")/SUMIFS('03_Base_Vendas'!$I$4:$I$387, '03_Base_Vendas'!$A$4:$A$387, I$7),0))</f>
        <v>1156.8200432573001</v>
      </c>
      <c r="J20" s="42">
        <f>(SUMIFS('04_Base_Despesas'!$D$4:$D$219, '04_Base_Despesas'!$A$4:$A$219, J$7, '04_Base_Despesas'!$B$4:$B$219, "administrativo"))*(IFERROR(SUMIFS('03_Base_Vendas'!$I$4:$I$387, '03_Base_Vendas'!$A$4:$A$387, J$7, '03_Base_Vendas'!$B$4:$B$387, "ecommerce")/SUMIFS('03_Base_Vendas'!$I$4:$I$387, '03_Base_Vendas'!$A$4:$A$387, J$7),0))</f>
        <v>1225.3584620501006</v>
      </c>
      <c r="K20" s="42">
        <f>(SUMIFS('04_Base_Despesas'!$D$4:$D$219, '04_Base_Despesas'!$A$4:$A$219, K$7, '04_Base_Despesas'!$B$4:$B$219, "administrativo"))*(IFERROR(SUMIFS('03_Base_Vendas'!$I$4:$I$387, '03_Base_Vendas'!$A$4:$A$387, K$7, '03_Base_Vendas'!$B$4:$B$387, "ecommerce")/SUMIFS('03_Base_Vendas'!$I$4:$I$387, '03_Base_Vendas'!$A$4:$A$387, K$7),0))</f>
        <v>2137.1498094315707</v>
      </c>
      <c r="L20" s="42">
        <f>(SUMIFS('04_Base_Despesas'!$D$4:$D$219, '04_Base_Despesas'!$A$4:$A$219, L$7, '04_Base_Despesas'!$B$4:$B$219, "administrativo"))*(IFERROR(SUMIFS('03_Base_Vendas'!$I$4:$I$387, '03_Base_Vendas'!$A$4:$A$387, L$7, '03_Base_Vendas'!$B$4:$B$387, "ecommerce")/SUMIFS('03_Base_Vendas'!$I$4:$I$387, '03_Base_Vendas'!$A$4:$A$387, L$7),0))</f>
        <v>1154.3299830685155</v>
      </c>
      <c r="M20" s="42">
        <f>(SUMIFS('04_Base_Despesas'!$D$4:$D$219, '04_Base_Despesas'!$A$4:$A$219, M$7, '04_Base_Despesas'!$B$4:$B$219, "administrativo"))*(IFERROR(SUMIFS('03_Base_Vendas'!$I$4:$I$387, '03_Base_Vendas'!$A$4:$A$387, M$7, '03_Base_Vendas'!$B$4:$B$387, "ecommerce")/SUMIFS('03_Base_Vendas'!$I$4:$I$387, '03_Base_Vendas'!$A$4:$A$387, M$7),0))</f>
        <v>1138.0130234043679</v>
      </c>
      <c r="N20" s="42">
        <f>(SUMIFS('04_Base_Despesas'!$D$4:$D$219, '04_Base_Despesas'!$A$4:$A$219, N$7, '04_Base_Despesas'!$B$4:$B$219, "administrativo"))*(IFERROR(SUMIFS('03_Base_Vendas'!$I$4:$I$387, '03_Base_Vendas'!$A$4:$A$387, N$7, '03_Base_Vendas'!$B$4:$B$387, "ecommerce")/SUMIFS('03_Base_Vendas'!$I$4:$I$387, '03_Base_Vendas'!$A$4:$A$387, N$7),0))</f>
        <v>2088.6461854217396</v>
      </c>
      <c r="O20" s="42">
        <f>(SUMIFS('04_Base_Despesas'!$D$4:$D$219, '04_Base_Despesas'!$A$4:$A$219, O$7, '04_Base_Despesas'!$B$4:$B$219, "administrativo"))*(IFERROR(SUMIFS('03_Base_Vendas'!$I$4:$I$387, '03_Base_Vendas'!$A$4:$A$387, O$7, '03_Base_Vendas'!$B$4:$B$387, "ecommerce")/SUMIFS('03_Base_Vendas'!$I$4:$I$387, '03_Base_Vendas'!$A$4:$A$387, O$7),0))</f>
        <v>1115.3752141120415</v>
      </c>
      <c r="P20" s="42">
        <f>(SUMIFS('04_Base_Despesas'!$D$4:$D$219, '04_Base_Despesas'!$A$4:$A$219, P$7, '04_Base_Despesas'!$B$4:$B$219, "administrativo"))*(IFERROR(SUMIFS('03_Base_Vendas'!$I$4:$I$387, '03_Base_Vendas'!$A$4:$A$387, P$7, '03_Base_Vendas'!$B$4:$B$387, "ecommerce")/SUMIFS('03_Base_Vendas'!$I$4:$I$387, '03_Base_Vendas'!$A$4:$A$387, P$7),0))</f>
        <v>1108.2763027350982</v>
      </c>
      <c r="Q20" s="42">
        <f>(SUMIFS('04_Base_Despesas'!$D$4:$D$219, '04_Base_Despesas'!$A$4:$A$219, Q$7, '04_Base_Despesas'!$B$4:$B$219, "administrativo"))*(IFERROR(SUMIFS('03_Base_Vendas'!$I$4:$I$387, '03_Base_Vendas'!$A$4:$A$387, Q$7, '03_Base_Vendas'!$B$4:$B$387, "ecommerce")/SUMIFS('03_Base_Vendas'!$I$4:$I$387, '03_Base_Vendas'!$A$4:$A$387, Q$7),0))</f>
        <v>2215.7298005547414</v>
      </c>
      <c r="R20" s="42">
        <f>(SUMIFS('04_Base_Despesas'!$D$4:$D$219, '04_Base_Despesas'!$A$4:$A$219, R$7, '04_Base_Despesas'!$B$4:$B$219, "administrativo"))*(IFERROR(SUMIFS('03_Base_Vendas'!$I$4:$I$387, '03_Base_Vendas'!$A$4:$A$387, R$7, '03_Base_Vendas'!$B$4:$B$387, "ecommerce")/SUMIFS('03_Base_Vendas'!$I$4:$I$387, '03_Base_Vendas'!$A$4:$A$387, R$7),0))</f>
        <v>1086.4313970531032</v>
      </c>
      <c r="S20" s="42">
        <f>(SUMIFS('04_Base_Despesas'!$D$4:$D$219, '04_Base_Despesas'!$A$4:$A$219, S$7, '04_Base_Despesas'!$B$4:$B$219, "administrativo"))*(IFERROR(SUMIFS('03_Base_Vendas'!$I$4:$I$387, '03_Base_Vendas'!$A$4:$A$387, S$7, '03_Base_Vendas'!$B$4:$B$387, "ecommerce")/SUMIFS('03_Base_Vendas'!$I$4:$I$387, '03_Base_Vendas'!$A$4:$A$387, S$7),0))</f>
        <v>1145.2268139814933</v>
      </c>
      <c r="T20" s="42">
        <f>(SUMIFS('04_Base_Despesas'!$D$4:$D$219, '04_Base_Despesas'!$A$4:$A$219, T$7, '04_Base_Despesas'!$B$4:$B$219, "administrativo"))*(IFERROR(SUMIFS('03_Base_Vendas'!$I$4:$I$387, '03_Base_Vendas'!$A$4:$A$387, T$7, '03_Base_Vendas'!$B$4:$B$387, "ecommerce")/SUMIFS('03_Base_Vendas'!$I$4:$I$387, '03_Base_Vendas'!$A$4:$A$387, T$7),0))</f>
        <v>1771.3287895870033</v>
      </c>
      <c r="U20" s="42">
        <f>(SUMIFS('04_Base_Despesas'!$D$4:$D$219, '04_Base_Despesas'!$A$4:$A$219, U$7, '04_Base_Despesas'!$B$4:$B$219, "administrativo"))*(IFERROR(SUMIFS('03_Base_Vendas'!$I$4:$I$387, '03_Base_Vendas'!$A$4:$A$387, U$7, '03_Base_Vendas'!$B$4:$B$387, "ecommerce")/SUMIFS('03_Base_Vendas'!$I$4:$I$387, '03_Base_Vendas'!$A$4:$A$387, U$7),0))</f>
        <v>937.27389631627375</v>
      </c>
      <c r="V20" s="42">
        <f>(SUMIFS('04_Base_Despesas'!$D$4:$D$219, '04_Base_Despesas'!$A$4:$A$219, V$7, '04_Base_Despesas'!$B$4:$B$219, "administrativo"))*(IFERROR(SUMIFS('03_Base_Vendas'!$I$4:$I$387, '03_Base_Vendas'!$A$4:$A$387, V$7, '03_Base_Vendas'!$B$4:$B$387, "ecommerce")/SUMIFS('03_Base_Vendas'!$I$4:$I$387, '03_Base_Vendas'!$A$4:$A$387, V$7),0))</f>
        <v>1146.3717978874272</v>
      </c>
      <c r="W20" s="42">
        <f>(SUMIFS('04_Base_Despesas'!$D$4:$D$219, '04_Base_Despesas'!$A$4:$A$219, W$7, '04_Base_Despesas'!$B$4:$B$219, "administrativo"))*(IFERROR(SUMIFS('03_Base_Vendas'!$I$4:$I$387, '03_Base_Vendas'!$A$4:$A$387, W$7, '03_Base_Vendas'!$B$4:$B$387, "ecommerce")/SUMIFS('03_Base_Vendas'!$I$4:$I$387, '03_Base_Vendas'!$A$4:$A$387, W$7),0))</f>
        <v>1905.3441282078227</v>
      </c>
      <c r="X20" s="42">
        <f>(SUMIFS('04_Base_Despesas'!$D$4:$D$219, '04_Base_Despesas'!$A$4:$A$219, X$7, '04_Base_Despesas'!$B$4:$B$219, "administrativo"))*(IFERROR(SUMIFS('03_Base_Vendas'!$I$4:$I$387, '03_Base_Vendas'!$A$4:$A$387, X$7, '03_Base_Vendas'!$B$4:$B$387, "ecommerce")/SUMIFS('03_Base_Vendas'!$I$4:$I$387, '03_Base_Vendas'!$A$4:$A$387, X$7),0))</f>
        <v>1086.9322503513954</v>
      </c>
      <c r="Y20" s="42">
        <f>(SUMIFS('04_Base_Despesas'!$D$4:$D$219, '04_Base_Despesas'!$A$4:$A$219, Y$7, '04_Base_Despesas'!$B$4:$B$219, "administrativo"))*(IFERROR(SUMIFS('03_Base_Vendas'!$I$4:$I$387, '03_Base_Vendas'!$A$4:$A$387, Y$7, '03_Base_Vendas'!$B$4:$B$387, "ecommerce")/SUMIFS('03_Base_Vendas'!$I$4:$I$387, '03_Base_Vendas'!$A$4:$A$387, Y$7),0))</f>
        <v>1273.2418987866804</v>
      </c>
      <c r="Z20" s="43">
        <f t="shared" si="4"/>
        <v>34165.63874048939</v>
      </c>
    </row>
    <row r="21" spans="1:26" x14ac:dyDescent="0.25">
      <c r="A21" s="41" t="s">
        <v>344</v>
      </c>
      <c r="B21" s="42">
        <f>(SUMIFS('04_Base_Despesas'!$D$4:$D$219, '04_Base_Despesas'!$A$4:$A$219, B$7, '04_Base_Despesas'!$B$4:$B$219, "outros"))*(IFERROR(SUMIFS('03_Base_Vendas'!$I$4:$I$387, '03_Base_Vendas'!$A$4:$A$387, B$7, '03_Base_Vendas'!$B$4:$B$387, "ecommerce")/SUMIFS('03_Base_Vendas'!$I$4:$I$387, '03_Base_Vendas'!$A$4:$A$387, B$7),0))</f>
        <v>337.03140147838161</v>
      </c>
      <c r="C21" s="42">
        <f>(SUMIFS('04_Base_Despesas'!$D$4:$D$219, '04_Base_Despesas'!$A$4:$A$219, C$7, '04_Base_Despesas'!$B$4:$B$219, "outros"))*(IFERROR(SUMIFS('03_Base_Vendas'!$I$4:$I$387, '03_Base_Vendas'!$A$4:$A$387, C$7, '03_Base_Vendas'!$B$4:$B$387, "ecommerce")/SUMIFS('03_Base_Vendas'!$I$4:$I$387, '03_Base_Vendas'!$A$4:$A$387, C$7),0))</f>
        <v>421.84403376913917</v>
      </c>
      <c r="D21" s="42">
        <f>(SUMIFS('04_Base_Despesas'!$D$4:$D$219, '04_Base_Despesas'!$A$4:$A$219, D$7, '04_Base_Despesas'!$B$4:$B$219, "outros"))*(IFERROR(SUMIFS('03_Base_Vendas'!$I$4:$I$387, '03_Base_Vendas'!$A$4:$A$387, D$7, '03_Base_Vendas'!$B$4:$B$387, "ecommerce")/SUMIFS('03_Base_Vendas'!$I$4:$I$387, '03_Base_Vendas'!$A$4:$A$387, D$7),0))</f>
        <v>371.7475123193808</v>
      </c>
      <c r="E21" s="42">
        <f>(SUMIFS('04_Base_Despesas'!$D$4:$D$219, '04_Base_Despesas'!$A$4:$A$219, E$7, '04_Base_Despesas'!$B$4:$B$219, "outros"))*(IFERROR(SUMIFS('03_Base_Vendas'!$I$4:$I$387, '03_Base_Vendas'!$A$4:$A$387, E$7, '03_Base_Vendas'!$B$4:$B$387, "ecommerce")/SUMIFS('03_Base_Vendas'!$I$4:$I$387, '03_Base_Vendas'!$A$4:$A$387, E$7),0))</f>
        <v>295.67942887288564</v>
      </c>
      <c r="F21" s="42">
        <f>(SUMIFS('04_Base_Despesas'!$D$4:$D$219, '04_Base_Despesas'!$A$4:$A$219, F$7, '04_Base_Despesas'!$B$4:$B$219, "outros"))*(IFERROR(SUMIFS('03_Base_Vendas'!$I$4:$I$387, '03_Base_Vendas'!$A$4:$A$387, F$7, '03_Base_Vendas'!$B$4:$B$387, "ecommerce")/SUMIFS('03_Base_Vendas'!$I$4:$I$387, '03_Base_Vendas'!$A$4:$A$387, F$7),0))</f>
        <v>376.80030381252874</v>
      </c>
      <c r="G21" s="42">
        <f>(SUMIFS('04_Base_Despesas'!$D$4:$D$219, '04_Base_Despesas'!$A$4:$A$219, G$7, '04_Base_Despesas'!$B$4:$B$219, "outros"))*(IFERROR(SUMIFS('03_Base_Vendas'!$I$4:$I$387, '03_Base_Vendas'!$A$4:$A$387, G$7, '03_Base_Vendas'!$B$4:$B$387, "ecommerce")/SUMIFS('03_Base_Vendas'!$I$4:$I$387, '03_Base_Vendas'!$A$4:$A$387, G$7),0))</f>
        <v>368.09930327482016</v>
      </c>
      <c r="H21" s="42">
        <f>(SUMIFS('04_Base_Despesas'!$D$4:$D$219, '04_Base_Despesas'!$A$4:$A$219, H$7, '04_Base_Despesas'!$B$4:$B$219, "outros"))*(IFERROR(SUMIFS('03_Base_Vendas'!$I$4:$I$387, '03_Base_Vendas'!$A$4:$A$387, H$7, '03_Base_Vendas'!$B$4:$B$387, "ecommerce")/SUMIFS('03_Base_Vendas'!$I$4:$I$387, '03_Base_Vendas'!$A$4:$A$387, H$7),0))</f>
        <v>481.70305774230582</v>
      </c>
      <c r="I21" s="42">
        <f>(SUMIFS('04_Base_Despesas'!$D$4:$D$219, '04_Base_Despesas'!$A$4:$A$219, I$7, '04_Base_Despesas'!$B$4:$B$219, "outros"))*(IFERROR(SUMIFS('03_Base_Vendas'!$I$4:$I$387, '03_Base_Vendas'!$A$4:$A$387, I$7, '03_Base_Vendas'!$B$4:$B$387, "ecommerce")/SUMIFS('03_Base_Vendas'!$I$4:$I$387, '03_Base_Vendas'!$A$4:$A$387, I$7),0))</f>
        <v>404.33636879946454</v>
      </c>
      <c r="J21" s="42">
        <f>(SUMIFS('04_Base_Despesas'!$D$4:$D$219, '04_Base_Despesas'!$A$4:$A$219, J$7, '04_Base_Despesas'!$B$4:$B$219, "outros"))*(IFERROR(SUMIFS('03_Base_Vendas'!$I$4:$I$387, '03_Base_Vendas'!$A$4:$A$387, J$7, '03_Base_Vendas'!$B$4:$B$387, "ecommerce")/SUMIFS('03_Base_Vendas'!$I$4:$I$387, '03_Base_Vendas'!$A$4:$A$387, J$7),0))</f>
        <v>514.79965627511331</v>
      </c>
      <c r="K21" s="42">
        <f>(SUMIFS('04_Base_Despesas'!$D$4:$D$219, '04_Base_Despesas'!$A$4:$A$219, K$7, '04_Base_Despesas'!$B$4:$B$219, "outros"))*(IFERROR(SUMIFS('03_Base_Vendas'!$I$4:$I$387, '03_Base_Vendas'!$A$4:$A$387, K$7, '03_Base_Vendas'!$B$4:$B$387, "ecommerce")/SUMIFS('03_Base_Vendas'!$I$4:$I$387, '03_Base_Vendas'!$A$4:$A$387, K$7),0))</f>
        <v>533.18768358339753</v>
      </c>
      <c r="L21" s="42">
        <f>(SUMIFS('04_Base_Despesas'!$D$4:$D$219, '04_Base_Despesas'!$A$4:$A$219, L$7, '04_Base_Despesas'!$B$4:$B$219, "outros"))*(IFERROR(SUMIFS('03_Base_Vendas'!$I$4:$I$387, '03_Base_Vendas'!$A$4:$A$387, L$7, '03_Base_Vendas'!$B$4:$B$387, "ecommerce")/SUMIFS('03_Base_Vendas'!$I$4:$I$387, '03_Base_Vendas'!$A$4:$A$387, L$7),0))</f>
        <v>368.06965840122683</v>
      </c>
      <c r="M21" s="42">
        <f>(SUMIFS('04_Base_Despesas'!$D$4:$D$219, '04_Base_Despesas'!$A$4:$A$219, M$7, '04_Base_Despesas'!$B$4:$B$219, "outros"))*(IFERROR(SUMIFS('03_Base_Vendas'!$I$4:$I$387, '03_Base_Vendas'!$A$4:$A$387, M$7, '03_Base_Vendas'!$B$4:$B$387, "ecommerce")/SUMIFS('03_Base_Vendas'!$I$4:$I$387, '03_Base_Vendas'!$A$4:$A$387, M$7),0))</f>
        <v>349.20157225767707</v>
      </c>
      <c r="N21" s="42">
        <f>(SUMIFS('04_Base_Despesas'!$D$4:$D$219, '04_Base_Despesas'!$A$4:$A$219, N$7, '04_Base_Despesas'!$B$4:$B$219, "outros"))*(IFERROR(SUMIFS('03_Base_Vendas'!$I$4:$I$387, '03_Base_Vendas'!$A$4:$A$387, N$7, '03_Base_Vendas'!$B$4:$B$387, "ecommerce")/SUMIFS('03_Base_Vendas'!$I$4:$I$387, '03_Base_Vendas'!$A$4:$A$387, N$7),0))</f>
        <v>270.6597775344265</v>
      </c>
      <c r="O21" s="42">
        <f>(SUMIFS('04_Base_Despesas'!$D$4:$D$219, '04_Base_Despesas'!$A$4:$A$219, O$7, '04_Base_Despesas'!$B$4:$B$219, "outros"))*(IFERROR(SUMIFS('03_Base_Vendas'!$I$4:$I$387, '03_Base_Vendas'!$A$4:$A$387, O$7, '03_Base_Vendas'!$B$4:$B$387, "ecommerce")/SUMIFS('03_Base_Vendas'!$I$4:$I$387, '03_Base_Vendas'!$A$4:$A$387, O$7),0))</f>
        <v>282.35167260786909</v>
      </c>
      <c r="P21" s="42">
        <f>(SUMIFS('04_Base_Despesas'!$D$4:$D$219, '04_Base_Despesas'!$A$4:$A$219, P$7, '04_Base_Despesas'!$B$4:$B$219, "outros"))*(IFERROR(SUMIFS('03_Base_Vendas'!$I$4:$I$387, '03_Base_Vendas'!$A$4:$A$387, P$7, '03_Base_Vendas'!$B$4:$B$387, "ecommerce")/SUMIFS('03_Base_Vendas'!$I$4:$I$387, '03_Base_Vendas'!$A$4:$A$387, P$7),0))</f>
        <v>408.82539565813391</v>
      </c>
      <c r="Q21" s="42">
        <f>(SUMIFS('04_Base_Despesas'!$D$4:$D$219, '04_Base_Despesas'!$A$4:$A$219, Q$7, '04_Base_Despesas'!$B$4:$B$219, "outros"))*(IFERROR(SUMIFS('03_Base_Vendas'!$I$4:$I$387, '03_Base_Vendas'!$A$4:$A$387, Q$7, '03_Base_Vendas'!$B$4:$B$387, "ecommerce")/SUMIFS('03_Base_Vendas'!$I$4:$I$387, '03_Base_Vendas'!$A$4:$A$387, Q$7),0))</f>
        <v>436.06911800721048</v>
      </c>
      <c r="R21" s="42">
        <f>(SUMIFS('04_Base_Despesas'!$D$4:$D$219, '04_Base_Despesas'!$A$4:$A$219, R$7, '04_Base_Despesas'!$B$4:$B$219, "outros"))*(IFERROR(SUMIFS('03_Base_Vendas'!$I$4:$I$387, '03_Base_Vendas'!$A$4:$A$387, R$7, '03_Base_Vendas'!$B$4:$B$387, "ecommerce")/SUMIFS('03_Base_Vendas'!$I$4:$I$387, '03_Base_Vendas'!$A$4:$A$387, R$7),0))</f>
        <v>375.30705447741832</v>
      </c>
      <c r="S21" s="42">
        <f>(SUMIFS('04_Base_Despesas'!$D$4:$D$219, '04_Base_Despesas'!$A$4:$A$219, S$7, '04_Base_Despesas'!$B$4:$B$219, "outros"))*(IFERROR(SUMIFS('03_Base_Vendas'!$I$4:$I$387, '03_Base_Vendas'!$A$4:$A$387, S$7, '03_Base_Vendas'!$B$4:$B$387, "ecommerce")/SUMIFS('03_Base_Vendas'!$I$4:$I$387, '03_Base_Vendas'!$A$4:$A$387, S$7),0))</f>
        <v>458.07423426051071</v>
      </c>
      <c r="T21" s="42">
        <f>(SUMIFS('04_Base_Despesas'!$D$4:$D$219, '04_Base_Despesas'!$A$4:$A$219, T$7, '04_Base_Despesas'!$B$4:$B$219, "outros"))*(IFERROR(SUMIFS('03_Base_Vendas'!$I$4:$I$387, '03_Base_Vendas'!$A$4:$A$387, T$7, '03_Base_Vendas'!$B$4:$B$387, "ecommerce")/SUMIFS('03_Base_Vendas'!$I$4:$I$387, '03_Base_Vendas'!$A$4:$A$387, T$7),0))</f>
        <v>348.1476220419064</v>
      </c>
      <c r="U21" s="42">
        <f>(SUMIFS('04_Base_Despesas'!$D$4:$D$219, '04_Base_Despesas'!$A$4:$A$219, U$7, '04_Base_Despesas'!$B$4:$B$219, "outros"))*(IFERROR(SUMIFS('03_Base_Vendas'!$I$4:$I$387, '03_Base_Vendas'!$A$4:$A$387, U$7, '03_Base_Vendas'!$B$4:$B$387, "ecommerce")/SUMIFS('03_Base_Vendas'!$I$4:$I$387, '03_Base_Vendas'!$A$4:$A$387, U$7),0))</f>
        <v>396.73304392833762</v>
      </c>
      <c r="V21" s="42">
        <f>(SUMIFS('04_Base_Despesas'!$D$4:$D$219, '04_Base_Despesas'!$A$4:$A$219, V$7, '04_Base_Despesas'!$B$4:$B$219, "outros"))*(IFERROR(SUMIFS('03_Base_Vendas'!$I$4:$I$387, '03_Base_Vendas'!$A$4:$A$387, V$7, '03_Base_Vendas'!$B$4:$B$387, "ecommerce")/SUMIFS('03_Base_Vendas'!$I$4:$I$387, '03_Base_Vendas'!$A$4:$A$387, V$7),0))</f>
        <v>411.10726867119757</v>
      </c>
      <c r="W21" s="42">
        <f>(SUMIFS('04_Base_Despesas'!$D$4:$D$219, '04_Base_Despesas'!$A$4:$A$219, W$7, '04_Base_Despesas'!$B$4:$B$219, "outros"))*(IFERROR(SUMIFS('03_Base_Vendas'!$I$4:$I$387, '03_Base_Vendas'!$A$4:$A$387, W$7, '03_Base_Vendas'!$B$4:$B$387, "ecommerce")/SUMIFS('03_Base_Vendas'!$I$4:$I$387, '03_Base_Vendas'!$A$4:$A$387, W$7),0))</f>
        <v>362.82479253805104</v>
      </c>
      <c r="X21" s="42">
        <f>(SUMIFS('04_Base_Despesas'!$D$4:$D$219, '04_Base_Despesas'!$A$4:$A$219, X$7, '04_Base_Despesas'!$B$4:$B$219, "outros"))*(IFERROR(SUMIFS('03_Base_Vendas'!$I$4:$I$387, '03_Base_Vendas'!$A$4:$A$387, X$7, '03_Base_Vendas'!$B$4:$B$387, "ecommerce")/SUMIFS('03_Base_Vendas'!$I$4:$I$387, '03_Base_Vendas'!$A$4:$A$387, X$7),0))</f>
        <v>386.91744702208689</v>
      </c>
      <c r="Y21" s="42">
        <f>(SUMIFS('04_Base_Despesas'!$D$4:$D$219, '04_Base_Despesas'!$A$4:$A$219, Y$7, '04_Base_Despesas'!$B$4:$B$219, "outros"))*(IFERROR(SUMIFS('03_Base_Vendas'!$I$4:$I$387, '03_Base_Vendas'!$A$4:$A$387, Y$7, '03_Base_Vendas'!$B$4:$B$387, "ecommerce")/SUMIFS('03_Base_Vendas'!$I$4:$I$387, '03_Base_Vendas'!$A$4:$A$387, Y$7),0))</f>
        <v>330.26366964247944</v>
      </c>
      <c r="Z21" s="43">
        <f t="shared" si="4"/>
        <v>9289.7810769759471</v>
      </c>
    </row>
    <row r="22" spans="1:26" x14ac:dyDescent="0.25">
      <c r="A22" s="44" t="s">
        <v>345</v>
      </c>
      <c r="B22" s="45">
        <f t="shared" ref="B22:Y22" si="5">B15+B16+B17+B18+B19+B20+B21</f>
        <v>41992.431363737276</v>
      </c>
      <c r="C22" s="45">
        <f t="shared" si="5"/>
        <v>44614.508650850978</v>
      </c>
      <c r="D22" s="45">
        <f t="shared" si="5"/>
        <v>38858.419576779488</v>
      </c>
      <c r="E22" s="45">
        <f t="shared" si="5"/>
        <v>40381.346050344968</v>
      </c>
      <c r="F22" s="45">
        <f t="shared" si="5"/>
        <v>47880.87152761926</v>
      </c>
      <c r="G22" s="45">
        <f t="shared" si="5"/>
        <v>46420.864553156549</v>
      </c>
      <c r="H22" s="45">
        <f t="shared" si="5"/>
        <v>45957.199806700373</v>
      </c>
      <c r="I22" s="45">
        <f t="shared" si="5"/>
        <v>44042.364768568637</v>
      </c>
      <c r="J22" s="45">
        <f t="shared" si="5"/>
        <v>47535.496453126121</v>
      </c>
      <c r="K22" s="45">
        <f t="shared" si="5"/>
        <v>46668.040330256277</v>
      </c>
      <c r="L22" s="45">
        <f t="shared" si="5"/>
        <v>44458.359021133561</v>
      </c>
      <c r="M22" s="45">
        <f t="shared" si="5"/>
        <v>45209.511080982491</v>
      </c>
      <c r="N22" s="45">
        <f t="shared" si="5"/>
        <v>44642.025625221751</v>
      </c>
      <c r="O22" s="45">
        <f t="shared" si="5"/>
        <v>41724.488750528479</v>
      </c>
      <c r="P22" s="45">
        <f t="shared" si="5"/>
        <v>43844.540978029261</v>
      </c>
      <c r="Q22" s="45">
        <f t="shared" si="5"/>
        <v>46978.995425970294</v>
      </c>
      <c r="R22" s="45">
        <f t="shared" si="5"/>
        <v>44802.92388463729</v>
      </c>
      <c r="S22" s="45">
        <f t="shared" si="5"/>
        <v>43482.791512338474</v>
      </c>
      <c r="T22" s="45">
        <f t="shared" si="5"/>
        <v>40404.013646170839</v>
      </c>
      <c r="U22" s="45">
        <f t="shared" si="5"/>
        <v>35224.905004431508</v>
      </c>
      <c r="V22" s="45">
        <f t="shared" si="5"/>
        <v>42063.944188037538</v>
      </c>
      <c r="W22" s="45">
        <f t="shared" si="5"/>
        <v>41476.154775357252</v>
      </c>
      <c r="X22" s="45">
        <f t="shared" si="5"/>
        <v>42692.016245008948</v>
      </c>
      <c r="Y22" s="45">
        <f t="shared" si="5"/>
        <v>44406.57249779773</v>
      </c>
      <c r="Z22" s="43">
        <f t="shared" si="4"/>
        <v>1045762.7857167852</v>
      </c>
    </row>
    <row r="23" spans="1:26" x14ac:dyDescent="0.25">
      <c r="A23" s="44" t="s">
        <v>115</v>
      </c>
      <c r="B23" s="45">
        <f t="shared" ref="B23:Y23" si="6">B13-B22</f>
        <v>-10830.131363737277</v>
      </c>
      <c r="C23" s="45">
        <f t="shared" si="6"/>
        <v>-16350.758650850978</v>
      </c>
      <c r="D23" s="45">
        <f t="shared" si="6"/>
        <v>-7559.87957677948</v>
      </c>
      <c r="E23" s="45">
        <f t="shared" si="6"/>
        <v>-10961.376050344967</v>
      </c>
      <c r="F23" s="45">
        <f t="shared" si="6"/>
        <v>-1807.0515276192673</v>
      </c>
      <c r="G23" s="45">
        <f t="shared" si="6"/>
        <v>-8526.4045531565425</v>
      </c>
      <c r="H23" s="45">
        <f t="shared" si="6"/>
        <v>-14823.929806700377</v>
      </c>
      <c r="I23" s="45">
        <f t="shared" si="6"/>
        <v>-15114.034768568643</v>
      </c>
      <c r="J23" s="45">
        <f t="shared" si="6"/>
        <v>-16435.776453126105</v>
      </c>
      <c r="K23" s="45">
        <f t="shared" si="6"/>
        <v>-13162.080330256293</v>
      </c>
      <c r="L23" s="45">
        <f t="shared" si="6"/>
        <v>2488.5509788664422</v>
      </c>
      <c r="M23" s="45">
        <f t="shared" si="6"/>
        <v>-1433.4810809824994</v>
      </c>
      <c r="N23" s="45">
        <f t="shared" si="6"/>
        <v>-5522.4656252217464</v>
      </c>
      <c r="O23" s="45">
        <f t="shared" si="6"/>
        <v>-10140.248750528473</v>
      </c>
      <c r="P23" s="45">
        <f t="shared" si="6"/>
        <v>-7327.0509780292559</v>
      </c>
      <c r="Q23" s="45">
        <f t="shared" si="6"/>
        <v>-11358.735425970299</v>
      </c>
      <c r="R23" s="45">
        <f t="shared" si="6"/>
        <v>-633.83388463727897</v>
      </c>
      <c r="S23" s="45">
        <f t="shared" si="6"/>
        <v>-3534.9015123384597</v>
      </c>
      <c r="T23" s="45">
        <f t="shared" si="6"/>
        <v>-9648.0536461708471</v>
      </c>
      <c r="U23" s="45">
        <f t="shared" si="6"/>
        <v>-8316.8650044315073</v>
      </c>
      <c r="V23" s="45">
        <f t="shared" si="6"/>
        <v>-6808.5941880375394</v>
      </c>
      <c r="W23" s="45">
        <f t="shared" si="6"/>
        <v>-5880.164775357247</v>
      </c>
      <c r="X23" s="45">
        <f t="shared" si="6"/>
        <v>10520.893754991048</v>
      </c>
      <c r="Y23" s="45">
        <f t="shared" si="6"/>
        <v>4182.5575022022604</v>
      </c>
      <c r="Z23" s="43">
        <f t="shared" si="4"/>
        <v>-168983.81571678535</v>
      </c>
    </row>
    <row r="24" spans="1:26" x14ac:dyDescent="0.25">
      <c r="A24" s="41" t="s">
        <v>346</v>
      </c>
      <c r="B24" s="46">
        <f t="shared" ref="B24:Y24" si="7">IFERROR(B23/B11,0)</f>
        <v>-0.16951981962773519</v>
      </c>
      <c r="C24" s="46">
        <f t="shared" si="7"/>
        <v>-0.27308968268035322</v>
      </c>
      <c r="D24" s="46">
        <f t="shared" si="7"/>
        <v>-0.11562537541418907</v>
      </c>
      <c r="E24" s="46">
        <f t="shared" si="7"/>
        <v>-0.18256691587161705</v>
      </c>
      <c r="F24" s="46">
        <f t="shared" si="7"/>
        <v>-1.9029136574855905E-2</v>
      </c>
      <c r="G24" s="46">
        <f t="shared" si="7"/>
        <v>-0.1051998220985461</v>
      </c>
      <c r="H24" s="46">
        <f t="shared" si="7"/>
        <v>-0.23449537234384768</v>
      </c>
      <c r="I24" s="46">
        <f t="shared" si="7"/>
        <v>-0.2533092745702416</v>
      </c>
      <c r="J24" s="46">
        <f t="shared" si="7"/>
        <v>-0.248478831890598</v>
      </c>
      <c r="K24" s="46">
        <f t="shared" si="7"/>
        <v>-0.18842549329336025</v>
      </c>
      <c r="L24" s="46">
        <f t="shared" si="7"/>
        <v>2.6541967434269762E-2</v>
      </c>
      <c r="M24" s="46">
        <f t="shared" si="7"/>
        <v>-1.5995382657144289E-2</v>
      </c>
      <c r="N24" s="46">
        <f t="shared" si="7"/>
        <v>-6.8492877257293042E-2</v>
      </c>
      <c r="O24" s="46">
        <f t="shared" si="7"/>
        <v>-0.15660248208116925</v>
      </c>
      <c r="P24" s="46">
        <f t="shared" si="7"/>
        <v>-9.6737651717160658E-2</v>
      </c>
      <c r="Q24" s="46">
        <f t="shared" si="7"/>
        <v>-0.15856249643641787</v>
      </c>
      <c r="R24" s="46">
        <f t="shared" si="7"/>
        <v>-6.9781569890992098E-3</v>
      </c>
      <c r="S24" s="46">
        <f t="shared" si="7"/>
        <v>-4.1803164550336308E-2</v>
      </c>
      <c r="T24" s="46">
        <f t="shared" si="7"/>
        <v>-0.14756834245592931</v>
      </c>
      <c r="U24" s="46">
        <f t="shared" si="7"/>
        <v>-0.14678171851287794</v>
      </c>
      <c r="V24" s="46">
        <f t="shared" si="7"/>
        <v>-9.498419237192747E-2</v>
      </c>
      <c r="W24" s="46">
        <f t="shared" si="7"/>
        <v>-8.2073119731796568E-2</v>
      </c>
      <c r="X24" s="46">
        <f t="shared" si="7"/>
        <v>9.7447578952842881E-2</v>
      </c>
      <c r="Y24" s="46">
        <f t="shared" si="7"/>
        <v>4.2272078073885833E-2</v>
      </c>
      <c r="Z24" s="47">
        <f>IFERROR($Z$23/$Z$11,0)</f>
        <v>-9.3470731570115498E-2</v>
      </c>
    </row>
    <row r="25" spans="1:26" x14ac:dyDescent="0.25">
      <c r="A25" s="41" t="s">
        <v>347</v>
      </c>
      <c r="B25" s="42">
        <f>(SUMIFS('04_Base_Despesas'!$D$4:$D$219, '04_Base_Despesas'!$A$4:$A$219, B$7, '04_Base_Despesas'!$B$4:$B$219, "depreciacao"))*(IFERROR(SUMIFS('03_Base_Vendas'!$I$4:$I$387, '03_Base_Vendas'!$A$4:$A$387, B$7, '03_Base_Vendas'!$B$4:$B$387, "ecommerce")/SUMIFS('03_Base_Vendas'!$I$4:$I$387, '03_Base_Vendas'!$A$4:$A$387, B$7),0))</f>
        <v>936.86834330063903</v>
      </c>
      <c r="C25" s="42">
        <f>(SUMIFS('04_Base_Despesas'!$D$4:$D$219, '04_Base_Despesas'!$A$4:$A$219, C$7, '04_Base_Despesas'!$B$4:$B$219, "depreciacao"))*(IFERROR(SUMIFS('03_Base_Vendas'!$I$4:$I$387, '03_Base_Vendas'!$A$4:$A$387, C$7, '03_Base_Vendas'!$B$4:$B$387, "ecommerce")/SUMIFS('03_Base_Vendas'!$I$4:$I$387, '03_Base_Vendas'!$A$4:$A$387, C$7),0))</f>
        <v>1056.2063963628054</v>
      </c>
      <c r="D25" s="42">
        <f>(SUMIFS('04_Base_Despesas'!$D$4:$D$219, '04_Base_Despesas'!$A$4:$A$219, D$7, '04_Base_Despesas'!$B$4:$B$219, "depreciacao"))*(IFERROR(SUMIFS('03_Base_Vendas'!$I$4:$I$387, '03_Base_Vendas'!$A$4:$A$387, D$7, '03_Base_Vendas'!$B$4:$B$387, "ecommerce")/SUMIFS('03_Base_Vendas'!$I$4:$I$387, '03_Base_Vendas'!$A$4:$A$387, D$7),0))</f>
        <v>945.68842824148021</v>
      </c>
      <c r="E25" s="42">
        <f>(SUMIFS('04_Base_Despesas'!$D$4:$D$219, '04_Base_Despesas'!$A$4:$A$219, E$7, '04_Base_Despesas'!$B$4:$B$219, "depreciacao"))*(IFERROR(SUMIFS('03_Base_Vendas'!$I$4:$I$387, '03_Base_Vendas'!$A$4:$A$387, E$7, '03_Base_Vendas'!$B$4:$B$387, "ecommerce")/SUMIFS('03_Base_Vendas'!$I$4:$I$387, '03_Base_Vendas'!$A$4:$A$387, E$7),0))</f>
        <v>944.72701579559896</v>
      </c>
      <c r="F25" s="42">
        <f>(SUMIFS('04_Base_Despesas'!$D$4:$D$219, '04_Base_Despesas'!$A$4:$A$219, F$7, '04_Base_Despesas'!$B$4:$B$219, "depreciacao"))*(IFERROR(SUMIFS('03_Base_Vendas'!$I$4:$I$387, '03_Base_Vendas'!$A$4:$A$387, F$7, '03_Base_Vendas'!$B$4:$B$387, "ecommerce")/SUMIFS('03_Base_Vendas'!$I$4:$I$387, '03_Base_Vendas'!$A$4:$A$387, F$7),0))</f>
        <v>1071.3913306939526</v>
      </c>
      <c r="G25" s="42">
        <f>(SUMIFS('04_Base_Despesas'!$D$4:$D$219, '04_Base_Despesas'!$A$4:$A$219, G$7, '04_Base_Despesas'!$B$4:$B$219, "depreciacao"))*(IFERROR(SUMIFS('03_Base_Vendas'!$I$4:$I$387, '03_Base_Vendas'!$A$4:$A$387, G$7, '03_Base_Vendas'!$B$4:$B$387, "ecommerce")/SUMIFS('03_Base_Vendas'!$I$4:$I$387, '03_Base_Vendas'!$A$4:$A$387, G$7),0))</f>
        <v>1050.5887058088417</v>
      </c>
      <c r="H25" s="42">
        <f>(SUMIFS('04_Base_Despesas'!$D$4:$D$219, '04_Base_Despesas'!$A$4:$A$219, H$7, '04_Base_Despesas'!$B$4:$B$219, "depreciacao"))*(IFERROR(SUMIFS('03_Base_Vendas'!$I$4:$I$387, '03_Base_Vendas'!$A$4:$A$387, H$7, '03_Base_Vendas'!$B$4:$B$387, "ecommerce")/SUMIFS('03_Base_Vendas'!$I$4:$I$387, '03_Base_Vendas'!$A$4:$A$387, H$7),0))</f>
        <v>1076.3609226481833</v>
      </c>
      <c r="I25" s="42">
        <f>(SUMIFS('04_Base_Despesas'!$D$4:$D$219, '04_Base_Despesas'!$A$4:$A$219, I$7, '04_Base_Despesas'!$B$4:$B$219, "depreciacao"))*(IFERROR(SUMIFS('03_Base_Vendas'!$I$4:$I$387, '03_Base_Vendas'!$A$4:$A$387, I$7, '03_Base_Vendas'!$B$4:$B$387, "ecommerce")/SUMIFS('03_Base_Vendas'!$I$4:$I$387, '03_Base_Vendas'!$A$4:$A$387, I$7),0))</f>
        <v>1018.001638066424</v>
      </c>
      <c r="J25" s="42">
        <f>(SUMIFS('04_Base_Despesas'!$D$4:$D$219, '04_Base_Despesas'!$A$4:$A$219, J$7, '04_Base_Despesas'!$B$4:$B$219, "depreciacao"))*(IFERROR(SUMIFS('03_Base_Vendas'!$I$4:$I$387, '03_Base_Vendas'!$A$4:$A$387, J$7, '03_Base_Vendas'!$B$4:$B$387, "ecommerce")/SUMIFS('03_Base_Vendas'!$I$4:$I$387, '03_Base_Vendas'!$A$4:$A$387, J$7),0))</f>
        <v>1078.3148584296739</v>
      </c>
      <c r="K25" s="42">
        <f>(SUMIFS('04_Base_Despesas'!$D$4:$D$219, '04_Base_Despesas'!$A$4:$A$219, K$7, '04_Base_Despesas'!$B$4:$B$219, "depreciacao"))*(IFERROR(SUMIFS('03_Base_Vendas'!$I$4:$I$387, '03_Base_Vendas'!$A$4:$A$387, K$7, '03_Base_Vendas'!$B$4:$B$387, "ecommerce")/SUMIFS('03_Base_Vendas'!$I$4:$I$387, '03_Base_Vendas'!$A$4:$A$387, K$7),0))</f>
        <v>1036.1847125864358</v>
      </c>
      <c r="L25" s="42">
        <f>(SUMIFS('04_Base_Despesas'!$D$4:$D$219, '04_Base_Despesas'!$A$4:$A$219, L$7, '04_Base_Despesas'!$B$4:$B$219, "depreciacao"))*(IFERROR(SUMIFS('03_Base_Vendas'!$I$4:$I$387, '03_Base_Vendas'!$A$4:$A$387, L$7, '03_Base_Vendas'!$B$4:$B$387, "ecommerce")/SUMIFS('03_Base_Vendas'!$I$4:$I$387, '03_Base_Vendas'!$A$4:$A$387, L$7),0))</f>
        <v>1015.8103851002935</v>
      </c>
      <c r="M25" s="42">
        <f>(SUMIFS('04_Base_Despesas'!$D$4:$D$219, '04_Base_Despesas'!$A$4:$A$219, M$7, '04_Base_Despesas'!$B$4:$B$219, "depreciacao"))*(IFERROR(SUMIFS('03_Base_Vendas'!$I$4:$I$387, '03_Base_Vendas'!$A$4:$A$387, M$7, '03_Base_Vendas'!$B$4:$B$387, "ecommerce")/SUMIFS('03_Base_Vendas'!$I$4:$I$387, '03_Base_Vendas'!$A$4:$A$387, M$7),0))</f>
        <v>1001.4514605958437</v>
      </c>
      <c r="N25" s="42">
        <f>(SUMIFS('04_Base_Despesas'!$D$4:$D$219, '04_Base_Despesas'!$A$4:$A$219, N$7, '04_Base_Despesas'!$B$4:$B$219, "depreciacao"))*(IFERROR(SUMIFS('03_Base_Vendas'!$I$4:$I$387, '03_Base_Vendas'!$A$4:$A$387, N$7, '03_Base_Vendas'!$B$4:$B$387, "ecommerce")/SUMIFS('03_Base_Vendas'!$I$4:$I$387, '03_Base_Vendas'!$A$4:$A$387, N$7),0))</f>
        <v>1009.3424934327868</v>
      </c>
      <c r="O25" s="42">
        <f>(SUMIFS('04_Base_Despesas'!$D$4:$D$219, '04_Base_Despesas'!$A$4:$A$219, O$7, '04_Base_Despesas'!$B$4:$B$219, "depreciacao"))*(IFERROR(SUMIFS('03_Base_Vendas'!$I$4:$I$387, '03_Base_Vendas'!$A$4:$A$387, O$7, '03_Base_Vendas'!$B$4:$B$387, "ecommerce")/SUMIFS('03_Base_Vendas'!$I$4:$I$387, '03_Base_Vendas'!$A$4:$A$387, O$7),0))</f>
        <v>981.53411455505477</v>
      </c>
      <c r="P25" s="42">
        <f>(SUMIFS('04_Base_Despesas'!$D$4:$D$219, '04_Base_Despesas'!$A$4:$A$219, P$7, '04_Base_Despesas'!$B$4:$B$219, "depreciacao"))*(IFERROR(SUMIFS('03_Base_Vendas'!$I$4:$I$387, '03_Base_Vendas'!$A$4:$A$387, P$7, '03_Base_Vendas'!$B$4:$B$387, "ecommerce")/SUMIFS('03_Base_Vendas'!$I$4:$I$387, '03_Base_Vendas'!$A$4:$A$387, P$7),0))</f>
        <v>975.28314640688632</v>
      </c>
      <c r="Q25" s="42">
        <f>(SUMIFS('04_Base_Despesas'!$D$4:$D$219, '04_Base_Despesas'!$A$4:$A$219, Q$7, '04_Base_Despesas'!$B$4:$B$219, "depreciacao"))*(IFERROR(SUMIFS('03_Base_Vendas'!$I$4:$I$387, '03_Base_Vendas'!$A$4:$A$387, Q$7, '03_Base_Vendas'!$B$4:$B$387, "ecommerce")/SUMIFS('03_Base_Vendas'!$I$4:$I$387, '03_Base_Vendas'!$A$4:$A$387, Q$7),0))</f>
        <v>1087.5281243519885</v>
      </c>
      <c r="R25" s="42">
        <f>(SUMIFS('04_Base_Despesas'!$D$4:$D$219, '04_Base_Despesas'!$A$4:$A$219, R$7, '04_Base_Despesas'!$B$4:$B$219, "depreciacao"))*(IFERROR(SUMIFS('03_Base_Vendas'!$I$4:$I$387, '03_Base_Vendas'!$A$4:$A$387, R$7, '03_Base_Vendas'!$B$4:$B$387, "ecommerce")/SUMIFS('03_Base_Vendas'!$I$4:$I$387, '03_Base_Vendas'!$A$4:$A$387, R$7),0))</f>
        <v>956.05910791757424</v>
      </c>
      <c r="S25" s="42">
        <f>(SUMIFS('04_Base_Despesas'!$D$4:$D$219, '04_Base_Despesas'!$A$4:$A$219, S$7, '04_Base_Despesas'!$B$4:$B$219, "depreciacao"))*(IFERROR(SUMIFS('03_Base_Vendas'!$I$4:$I$387, '03_Base_Vendas'!$A$4:$A$387, S$7, '03_Base_Vendas'!$B$4:$B$387, "ecommerce")/SUMIFS('03_Base_Vendas'!$I$4:$I$387, '03_Base_Vendas'!$A$4:$A$387, S$7),0))</f>
        <v>1007.8036275182243</v>
      </c>
      <c r="T25" s="42">
        <f>(SUMIFS('04_Base_Despesas'!$D$4:$D$219, '04_Base_Despesas'!$A$4:$A$219, T$7, '04_Base_Despesas'!$B$4:$B$219, "depreciacao"))*(IFERROR(SUMIFS('03_Base_Vendas'!$I$4:$I$387, '03_Base_Vendas'!$A$4:$A$387, T$7, '03_Base_Vendas'!$B$4:$B$387, "ecommerce")/SUMIFS('03_Base_Vendas'!$I$4:$I$387, '03_Base_Vendas'!$A$4:$A$387, T$7),0))</f>
        <v>935.75493090150894</v>
      </c>
      <c r="U25" s="42">
        <f>(SUMIFS('04_Base_Despesas'!$D$4:$D$219, '04_Base_Despesas'!$A$4:$A$219, U$7, '04_Base_Despesas'!$B$4:$B$219, "depreciacao"))*(IFERROR(SUMIFS('03_Base_Vendas'!$I$4:$I$387, '03_Base_Vendas'!$A$4:$A$387, U$7, '03_Base_Vendas'!$B$4:$B$387, "ecommerce")/SUMIFS('03_Base_Vendas'!$I$4:$I$387, '03_Base_Vendas'!$A$4:$A$387, U$7),0))</f>
        <v>824.80102875832085</v>
      </c>
      <c r="V25" s="42">
        <f>(SUMIFS('04_Base_Despesas'!$D$4:$D$219, '04_Base_Despesas'!$A$4:$A$219, V$7, '04_Base_Despesas'!$B$4:$B$219, "depreciacao"))*(IFERROR(SUMIFS('03_Base_Vendas'!$I$4:$I$387, '03_Base_Vendas'!$A$4:$A$387, V$7, '03_Base_Vendas'!$B$4:$B$387, "ecommerce")/SUMIFS('03_Base_Vendas'!$I$4:$I$387, '03_Base_Vendas'!$A$4:$A$387, V$7),0))</f>
        <v>1008.8071821409359</v>
      </c>
      <c r="W25" s="42">
        <f>(SUMIFS('04_Base_Despesas'!$D$4:$D$219, '04_Base_Despesas'!$A$4:$A$219, W$7, '04_Base_Despesas'!$B$4:$B$219, "depreciacao"))*(IFERROR(SUMIFS('03_Base_Vendas'!$I$4:$I$387, '03_Base_Vendas'!$A$4:$A$387, W$7, '03_Base_Vendas'!$B$4:$B$387, "ecommerce")/SUMIFS('03_Base_Vendas'!$I$4:$I$387, '03_Base_Vendas'!$A$4:$A$387, W$7),0))</f>
        <v>936.41664848580717</v>
      </c>
      <c r="X25" s="42">
        <f>(SUMIFS('04_Base_Despesas'!$D$4:$D$219, '04_Base_Despesas'!$A$4:$A$219, X$7, '04_Base_Despesas'!$B$4:$B$219, "depreciacao"))*(IFERROR(SUMIFS('03_Base_Vendas'!$I$4:$I$387, '03_Base_Vendas'!$A$4:$A$387, X$7, '03_Base_Vendas'!$B$4:$B$387, "ecommerce")/SUMIFS('03_Base_Vendas'!$I$4:$I$387, '03_Base_Vendas'!$A$4:$A$387, X$7),0))</f>
        <v>956.50038030922792</v>
      </c>
      <c r="Y25" s="42">
        <f>(SUMIFS('04_Base_Despesas'!$D$4:$D$219, '04_Base_Despesas'!$A$4:$A$219, Y$7, '04_Base_Despesas'!$B$4:$B$219, "depreciacao"))*(IFERROR(SUMIFS('03_Base_Vendas'!$I$4:$I$387, '03_Base_Vendas'!$A$4:$A$387, Y$7, '03_Base_Vendas'!$B$4:$B$387, "ecommerce")/SUMIFS('03_Base_Vendas'!$I$4:$I$387, '03_Base_Vendas'!$A$4:$A$387, Y$7),0))</f>
        <v>1120.4528709322788</v>
      </c>
      <c r="Z25" s="43">
        <f>SUM(B25:Y25)</f>
        <v>24031.877853340768</v>
      </c>
    </row>
    <row r="26" spans="1:26" x14ac:dyDescent="0.25">
      <c r="A26" s="44" t="s">
        <v>117</v>
      </c>
      <c r="B26" s="45">
        <f t="shared" ref="B26:Y26" si="8">B23-B25</f>
        <v>-11766.999707037916</v>
      </c>
      <c r="C26" s="45">
        <f t="shared" si="8"/>
        <v>-17406.965047213784</v>
      </c>
      <c r="D26" s="45">
        <f t="shared" si="8"/>
        <v>-8505.5680050209594</v>
      </c>
      <c r="E26" s="45">
        <f t="shared" si="8"/>
        <v>-11906.103066140566</v>
      </c>
      <c r="F26" s="45">
        <f t="shared" si="8"/>
        <v>-2878.4428583132199</v>
      </c>
      <c r="G26" s="45">
        <f t="shared" si="8"/>
        <v>-9576.9932589653836</v>
      </c>
      <c r="H26" s="45">
        <f t="shared" si="8"/>
        <v>-15900.29072934856</v>
      </c>
      <c r="I26" s="45">
        <f t="shared" si="8"/>
        <v>-16132.036406635067</v>
      </c>
      <c r="J26" s="45">
        <f t="shared" si="8"/>
        <v>-17514.091311555778</v>
      </c>
      <c r="K26" s="45">
        <f t="shared" si="8"/>
        <v>-14198.265042842728</v>
      </c>
      <c r="L26" s="45">
        <f t="shared" si="8"/>
        <v>1472.7405937661488</v>
      </c>
      <c r="M26" s="45">
        <f t="shared" si="8"/>
        <v>-2434.9325415783433</v>
      </c>
      <c r="N26" s="45">
        <f t="shared" si="8"/>
        <v>-6531.8081186545332</v>
      </c>
      <c r="O26" s="45">
        <f t="shared" si="8"/>
        <v>-11121.782865083529</v>
      </c>
      <c r="P26" s="45">
        <f t="shared" si="8"/>
        <v>-8302.3341244361418</v>
      </c>
      <c r="Q26" s="45">
        <f t="shared" si="8"/>
        <v>-12446.263550322288</v>
      </c>
      <c r="R26" s="45">
        <f t="shared" si="8"/>
        <v>-1589.8929925548532</v>
      </c>
      <c r="S26" s="45">
        <f t="shared" si="8"/>
        <v>-4542.7051398566837</v>
      </c>
      <c r="T26" s="45">
        <f t="shared" si="8"/>
        <v>-10583.808577072356</v>
      </c>
      <c r="U26" s="45">
        <f t="shared" si="8"/>
        <v>-9141.6660331898274</v>
      </c>
      <c r="V26" s="45">
        <f t="shared" si="8"/>
        <v>-7817.4013701784752</v>
      </c>
      <c r="W26" s="45">
        <f t="shared" si="8"/>
        <v>-6816.5814238430539</v>
      </c>
      <c r="X26" s="45">
        <f t="shared" si="8"/>
        <v>9564.3933746818202</v>
      </c>
      <c r="Y26" s="45">
        <f t="shared" si="8"/>
        <v>3062.1046312699818</v>
      </c>
      <c r="Z26" s="43">
        <f>SUM(B26:Y26)</f>
        <v>-193015.69357012602</v>
      </c>
    </row>
    <row r="27" spans="1:26" x14ac:dyDescent="0.25">
      <c r="A27" s="41" t="s">
        <v>348</v>
      </c>
      <c r="B27" s="42">
        <f>(SUMIFS('04_Base_Despesas'!$D$4:$D$219, '04_Base_Despesas'!$A$4:$A$219, B$7, '04_Base_Despesas'!$B$4:$B$219, "financeiro"))*(IFERROR(SUMIFS('03_Base_Vendas'!$I$4:$I$387, '03_Base_Vendas'!$A$4:$A$387, B$7, '03_Base_Vendas'!$B$4:$B$387, "ecommerce")/SUMIFS('03_Base_Vendas'!$I$4:$I$387, '03_Base_Vendas'!$A$4:$A$387, B$7),0))</f>
        <v>581.4742388267332</v>
      </c>
      <c r="C27" s="42">
        <f>(SUMIFS('04_Base_Despesas'!$D$4:$D$219, '04_Base_Despesas'!$A$4:$A$219, C$7, '04_Base_Despesas'!$B$4:$B$219, "financeiro"))*(IFERROR(SUMIFS('03_Base_Vendas'!$I$4:$I$387, '03_Base_Vendas'!$A$4:$A$387, C$7, '03_Base_Vendas'!$B$4:$B$387, "ecommerce")/SUMIFS('03_Base_Vendas'!$I$4:$I$387, '03_Base_Vendas'!$A$4:$A$387, C$7),0))</f>
        <v>648.88039960548952</v>
      </c>
      <c r="D27" s="42">
        <f>(SUMIFS('04_Base_Despesas'!$D$4:$D$219, '04_Base_Despesas'!$A$4:$A$219, D$7, '04_Base_Despesas'!$B$4:$B$219, "financeiro"))*(IFERROR(SUMIFS('03_Base_Vendas'!$I$4:$I$387, '03_Base_Vendas'!$A$4:$A$387, D$7, '03_Base_Vendas'!$B$4:$B$387, "ecommerce")/SUMIFS('03_Base_Vendas'!$I$4:$I$387, '03_Base_Vendas'!$A$4:$A$387, D$7),0))</f>
        <v>578.51033123408126</v>
      </c>
      <c r="E27" s="42">
        <f>(SUMIFS('04_Base_Despesas'!$D$4:$D$219, '04_Base_Despesas'!$A$4:$A$219, E$7, '04_Base_Despesas'!$B$4:$B$219, "financeiro"))*(IFERROR(SUMIFS('03_Base_Vendas'!$I$4:$I$387, '03_Base_Vendas'!$A$4:$A$387, E$7, '03_Base_Vendas'!$B$4:$B$387, "ecommerce")/SUMIFS('03_Base_Vendas'!$I$4:$I$387, '03_Base_Vendas'!$A$4:$A$387, E$7),0))</f>
        <v>557.43441524928164</v>
      </c>
      <c r="F27" s="42">
        <f>(SUMIFS('04_Base_Despesas'!$D$4:$D$219, '04_Base_Despesas'!$A$4:$A$219, F$7, '04_Base_Despesas'!$B$4:$B$219, "financeiro"))*(IFERROR(SUMIFS('03_Base_Vendas'!$I$4:$I$387, '03_Base_Vendas'!$A$4:$A$387, F$7, '03_Base_Vendas'!$B$4:$B$387, "ecommerce")/SUMIFS('03_Base_Vendas'!$I$4:$I$387, '03_Base_Vendas'!$A$4:$A$387, F$7),0))</f>
        <v>658.92327336435108</v>
      </c>
      <c r="G27" s="42">
        <f>(SUMIFS('04_Base_Despesas'!$D$4:$D$219, '04_Base_Despesas'!$A$4:$A$219, G$7, '04_Base_Despesas'!$B$4:$B$219, "financeiro"))*(IFERROR(SUMIFS('03_Base_Vendas'!$I$4:$I$387, '03_Base_Vendas'!$A$4:$A$387, G$7, '03_Base_Vendas'!$B$4:$B$387, "ecommerce")/SUMIFS('03_Base_Vendas'!$I$4:$I$387, '03_Base_Vendas'!$A$4:$A$387, G$7),0))</f>
        <v>610.52374906950945</v>
      </c>
      <c r="H27" s="42">
        <f>(SUMIFS('04_Base_Despesas'!$D$4:$D$219, '04_Base_Despesas'!$A$4:$A$219, H$7, '04_Base_Despesas'!$B$4:$B$219, "financeiro"))*(IFERROR(SUMIFS('03_Base_Vendas'!$I$4:$I$387, '03_Base_Vendas'!$A$4:$A$387, H$7, '03_Base_Vendas'!$B$4:$B$387, "ecommerce")/SUMIFS('03_Base_Vendas'!$I$4:$I$387, '03_Base_Vendas'!$A$4:$A$387, H$7),0))</f>
        <v>2664.4897572865239</v>
      </c>
      <c r="I27" s="42">
        <f>(SUMIFS('04_Base_Despesas'!$D$4:$D$219, '04_Base_Despesas'!$A$4:$A$219, I$7, '04_Base_Despesas'!$B$4:$B$219, "financeiro"))*(IFERROR(SUMIFS('03_Base_Vendas'!$I$4:$I$387, '03_Base_Vendas'!$A$4:$A$387, I$7, '03_Base_Vendas'!$B$4:$B$387, "ecommerce")/SUMIFS('03_Base_Vendas'!$I$4:$I$387, '03_Base_Vendas'!$A$4:$A$387, I$7),0))</f>
        <v>607.87654177050001</v>
      </c>
      <c r="J27" s="42">
        <f>(SUMIFS('04_Base_Despesas'!$D$4:$D$219, '04_Base_Despesas'!$A$4:$A$219, J$7, '04_Base_Despesas'!$B$4:$B$219, "financeiro"))*(IFERROR(SUMIFS('03_Base_Vendas'!$I$4:$I$387, '03_Base_Vendas'!$A$4:$A$387, J$7, '03_Base_Vendas'!$B$4:$B$387, "ecommerce")/SUMIFS('03_Base_Vendas'!$I$4:$I$387, '03_Base_Vendas'!$A$4:$A$387, J$7),0))</f>
        <v>637.78692634323818</v>
      </c>
      <c r="K27" s="42">
        <f>(SUMIFS('04_Base_Despesas'!$D$4:$D$219, '04_Base_Despesas'!$A$4:$A$219, K$7, '04_Base_Despesas'!$B$4:$B$219, "financeiro"))*(IFERROR(SUMIFS('03_Base_Vendas'!$I$4:$I$387, '03_Base_Vendas'!$A$4:$A$387, K$7, '03_Base_Vendas'!$B$4:$B$387, "ecommerce")/SUMIFS('03_Base_Vendas'!$I$4:$I$387, '03_Base_Vendas'!$A$4:$A$387, K$7),0))</f>
        <v>555.21602858688277</v>
      </c>
      <c r="L27" s="42">
        <f>(SUMIFS('04_Base_Despesas'!$D$4:$D$219, '04_Base_Despesas'!$A$4:$A$219, L$7, '04_Base_Despesas'!$B$4:$B$219, "financeiro"))*(IFERROR(SUMIFS('03_Base_Vendas'!$I$4:$I$387, '03_Base_Vendas'!$A$4:$A$387, L$7, '03_Base_Vendas'!$B$4:$B$387, "ecommerce")/SUMIFS('03_Base_Vendas'!$I$4:$I$387, '03_Base_Vendas'!$A$4:$A$387, L$7),0))</f>
        <v>596.64084700858973</v>
      </c>
      <c r="M27" s="42">
        <f>(SUMIFS('04_Base_Despesas'!$D$4:$D$219, '04_Base_Despesas'!$A$4:$A$219, M$7, '04_Base_Despesas'!$B$4:$B$219, "financeiro"))*(IFERROR(SUMIFS('03_Base_Vendas'!$I$4:$I$387, '03_Base_Vendas'!$A$4:$A$387, M$7, '03_Base_Vendas'!$B$4:$B$387, "ecommerce")/SUMIFS('03_Base_Vendas'!$I$4:$I$387, '03_Base_Vendas'!$A$4:$A$387, M$7),0))</f>
        <v>590.65607145942863</v>
      </c>
      <c r="N27" s="42">
        <f>(SUMIFS('04_Base_Despesas'!$D$4:$D$219, '04_Base_Despesas'!$A$4:$A$219, N$7, '04_Base_Despesas'!$B$4:$B$219, "financeiro"))*(IFERROR(SUMIFS('03_Base_Vendas'!$I$4:$I$387, '03_Base_Vendas'!$A$4:$A$387, N$7, '03_Base_Vendas'!$B$4:$B$387, "ecommerce")/SUMIFS('03_Base_Vendas'!$I$4:$I$387, '03_Base_Vendas'!$A$4:$A$387, N$7),0))</f>
        <v>554.99155793444254</v>
      </c>
      <c r="O27" s="42">
        <f>(SUMIFS('04_Base_Despesas'!$D$4:$D$219, '04_Base_Despesas'!$A$4:$A$219, O$7, '04_Base_Despesas'!$B$4:$B$219, "financeiro"))*(IFERROR(SUMIFS('03_Base_Vendas'!$I$4:$I$387, '03_Base_Vendas'!$A$4:$A$387, O$7, '03_Base_Vendas'!$B$4:$B$387, "ecommerce")/SUMIFS('03_Base_Vendas'!$I$4:$I$387, '03_Base_Vendas'!$A$4:$A$387, O$7),0))</f>
        <v>567.29548758190401</v>
      </c>
      <c r="P27" s="42">
        <f>(SUMIFS('04_Base_Despesas'!$D$4:$D$219, '04_Base_Despesas'!$A$4:$A$219, P$7, '04_Base_Despesas'!$B$4:$B$219, "financeiro"))*(IFERROR(SUMIFS('03_Base_Vendas'!$I$4:$I$387, '03_Base_Vendas'!$A$4:$A$387, P$7, '03_Base_Vendas'!$B$4:$B$387, "ecommerce")/SUMIFS('03_Base_Vendas'!$I$4:$I$387, '03_Base_Vendas'!$A$4:$A$387, P$7),0))</f>
        <v>582.45682745503632</v>
      </c>
      <c r="Q27" s="42">
        <f>(SUMIFS('04_Base_Despesas'!$D$4:$D$219, '04_Base_Despesas'!$A$4:$A$219, Q$7, '04_Base_Despesas'!$B$4:$B$219, "financeiro"))*(IFERROR(SUMIFS('03_Base_Vendas'!$I$4:$I$387, '03_Base_Vendas'!$A$4:$A$387, Q$7, '03_Base_Vendas'!$B$4:$B$387, "ecommerce")/SUMIFS('03_Base_Vendas'!$I$4:$I$387, '03_Base_Vendas'!$A$4:$A$387, Q$7),0))</f>
        <v>689.50766076812909</v>
      </c>
      <c r="R27" s="42">
        <f>(SUMIFS('04_Base_Despesas'!$D$4:$D$219, '04_Base_Despesas'!$A$4:$A$219, R$7, '04_Base_Despesas'!$B$4:$B$219, "financeiro"))*(IFERROR(SUMIFS('03_Base_Vendas'!$I$4:$I$387, '03_Base_Vendas'!$A$4:$A$387, R$7, '03_Base_Vendas'!$B$4:$B$387, "ecommerce")/SUMIFS('03_Base_Vendas'!$I$4:$I$387, '03_Base_Vendas'!$A$4:$A$387, R$7),0))</f>
        <v>584.34598287732547</v>
      </c>
      <c r="S27" s="42">
        <f>(SUMIFS('04_Base_Despesas'!$D$4:$D$219, '04_Base_Despesas'!$A$4:$A$219, S$7, '04_Base_Despesas'!$B$4:$B$219, "financeiro"))*(IFERROR(SUMIFS('03_Base_Vendas'!$I$4:$I$387, '03_Base_Vendas'!$A$4:$A$387, S$7, '03_Base_Vendas'!$B$4:$B$387, "ecommerce")/SUMIFS('03_Base_Vendas'!$I$4:$I$387, '03_Base_Vendas'!$A$4:$A$387, S$7),0))</f>
        <v>622.1446648204776</v>
      </c>
      <c r="T27" s="42">
        <f>(SUMIFS('04_Base_Despesas'!$D$4:$D$219, '04_Base_Despesas'!$A$4:$A$219, T$7, '04_Base_Despesas'!$B$4:$B$219, "financeiro"))*(IFERROR(SUMIFS('03_Base_Vendas'!$I$4:$I$387, '03_Base_Vendas'!$A$4:$A$387, T$7, '03_Base_Vendas'!$B$4:$B$387, "ecommerce")/SUMIFS('03_Base_Vendas'!$I$4:$I$387, '03_Base_Vendas'!$A$4:$A$387, T$7),0))</f>
        <v>557.90985009799192</v>
      </c>
      <c r="U27" s="42">
        <f>(SUMIFS('04_Base_Despesas'!$D$4:$D$219, '04_Base_Despesas'!$A$4:$A$219, U$7, '04_Base_Despesas'!$B$4:$B$219, "financeiro"))*(IFERROR(SUMIFS('03_Base_Vendas'!$I$4:$I$387, '03_Base_Vendas'!$A$4:$A$387, U$7, '03_Base_Vendas'!$B$4:$B$387, "ecommerce")/SUMIFS('03_Base_Vendas'!$I$4:$I$387, '03_Base_Vendas'!$A$4:$A$387, U$7),0))</f>
        <v>511.57159080059273</v>
      </c>
      <c r="V27" s="42">
        <f>(SUMIFS('04_Base_Despesas'!$D$4:$D$219, '04_Base_Despesas'!$A$4:$A$219, V$7, '04_Base_Despesas'!$B$4:$B$219, "financeiro"))*(IFERROR(SUMIFS('03_Base_Vendas'!$I$4:$I$387, '03_Base_Vendas'!$A$4:$A$387, V$7, '03_Base_Vendas'!$B$4:$B$387, "ecommerce")/SUMIFS('03_Base_Vendas'!$I$4:$I$387, '03_Base_Vendas'!$A$4:$A$387, V$7),0))</f>
        <v>554.69721458738513</v>
      </c>
      <c r="W27" s="42">
        <f>(SUMIFS('04_Base_Despesas'!$D$4:$D$219, '04_Base_Despesas'!$A$4:$A$219, W$7, '04_Base_Despesas'!$B$4:$B$219, "financeiro"))*(IFERROR(SUMIFS('03_Base_Vendas'!$I$4:$I$387, '03_Base_Vendas'!$A$4:$A$387, W$7, '03_Base_Vendas'!$B$4:$B$387, "ecommerce")/SUMIFS('03_Base_Vendas'!$I$4:$I$387, '03_Base_Vendas'!$A$4:$A$387, W$7),0))</f>
        <v>568.50964430910312</v>
      </c>
      <c r="X27" s="42">
        <f>(SUMIFS('04_Base_Despesas'!$D$4:$D$219, '04_Base_Despesas'!$A$4:$A$219, X$7, '04_Base_Despesas'!$B$4:$B$219, "financeiro"))*(IFERROR(SUMIFS('03_Base_Vendas'!$I$4:$I$387, '03_Base_Vendas'!$A$4:$A$387, X$7, '03_Base_Vendas'!$B$4:$B$387, "ecommerce")/SUMIFS('03_Base_Vendas'!$I$4:$I$387, '03_Base_Vendas'!$A$4:$A$387, X$7),0))</f>
        <v>568.96120803994006</v>
      </c>
      <c r="Y27" s="42">
        <f>(SUMIFS('04_Base_Despesas'!$D$4:$D$219, '04_Base_Despesas'!$A$4:$A$219, Y$7, '04_Base_Despesas'!$B$4:$B$219, "financeiro"))*(IFERROR(SUMIFS('03_Base_Vendas'!$I$4:$I$387, '03_Base_Vendas'!$A$4:$A$387, Y$7, '03_Base_Vendas'!$B$4:$B$387, "ecommerce")/SUMIFS('03_Base_Vendas'!$I$4:$I$387, '03_Base_Vendas'!$A$4:$A$387, Y$7),0))</f>
        <v>704.79541362197415</v>
      </c>
      <c r="Z27" s="43">
        <f>SUM(B27:Y27)</f>
        <v>16355.599682698912</v>
      </c>
    </row>
    <row r="28" spans="1:26" x14ac:dyDescent="0.25">
      <c r="A28" s="44" t="s">
        <v>119</v>
      </c>
      <c r="B28" s="45">
        <f t="shared" ref="B28:Y28" si="9">B26-B27</f>
        <v>-12348.473945864649</v>
      </c>
      <c r="C28" s="45">
        <f t="shared" si="9"/>
        <v>-18055.845446819272</v>
      </c>
      <c r="D28" s="45">
        <f t="shared" si="9"/>
        <v>-9084.078336255041</v>
      </c>
      <c r="E28" s="45">
        <f t="shared" si="9"/>
        <v>-12463.537481389847</v>
      </c>
      <c r="F28" s="45">
        <f t="shared" si="9"/>
        <v>-3537.366131677571</v>
      </c>
      <c r="G28" s="45">
        <f t="shared" si="9"/>
        <v>-10187.517008034893</v>
      </c>
      <c r="H28" s="45">
        <f t="shared" si="9"/>
        <v>-18564.780486635085</v>
      </c>
      <c r="I28" s="45">
        <f t="shared" si="9"/>
        <v>-16739.912948405567</v>
      </c>
      <c r="J28" s="45">
        <f t="shared" si="9"/>
        <v>-18151.878237899014</v>
      </c>
      <c r="K28" s="45">
        <f t="shared" si="9"/>
        <v>-14753.481071429611</v>
      </c>
      <c r="L28" s="45">
        <f t="shared" si="9"/>
        <v>876.09974675755905</v>
      </c>
      <c r="M28" s="45">
        <f t="shared" si="9"/>
        <v>-3025.5886130377721</v>
      </c>
      <c r="N28" s="45">
        <f t="shared" si="9"/>
        <v>-7086.7996765889757</v>
      </c>
      <c r="O28" s="45">
        <f t="shared" si="9"/>
        <v>-11689.078352665432</v>
      </c>
      <c r="P28" s="45">
        <f t="shared" si="9"/>
        <v>-8884.7909518911783</v>
      </c>
      <c r="Q28" s="45">
        <f t="shared" si="9"/>
        <v>-13135.771211090418</v>
      </c>
      <c r="R28" s="45">
        <f t="shared" si="9"/>
        <v>-2174.2389754321784</v>
      </c>
      <c r="S28" s="45">
        <f t="shared" si="9"/>
        <v>-5164.849804677161</v>
      </c>
      <c r="T28" s="45">
        <f t="shared" si="9"/>
        <v>-11141.718427170348</v>
      </c>
      <c r="U28" s="45">
        <f t="shared" si="9"/>
        <v>-9653.2376239904206</v>
      </c>
      <c r="V28" s="45">
        <f t="shared" si="9"/>
        <v>-8372.0985847658594</v>
      </c>
      <c r="W28" s="45">
        <f t="shared" si="9"/>
        <v>-7385.0910681521573</v>
      </c>
      <c r="X28" s="45">
        <f t="shared" si="9"/>
        <v>8995.43216664188</v>
      </c>
      <c r="Y28" s="45">
        <f t="shared" si="9"/>
        <v>2357.3092176480077</v>
      </c>
      <c r="Z28" s="43">
        <f>SUM(B28:Y28)</f>
        <v>-209371.29325282507</v>
      </c>
    </row>
    <row r="29" spans="1:26" x14ac:dyDescent="0.25">
      <c r="A29" s="41" t="s">
        <v>349</v>
      </c>
      <c r="B29" s="46">
        <f t="shared" ref="B29:Y29" si="10">IFERROR(B28/B11,0)</f>
        <v>-0.19328584351154168</v>
      </c>
      <c r="C29" s="46">
        <f t="shared" si="10"/>
        <v>-0.30156797056879975</v>
      </c>
      <c r="D29" s="46">
        <f t="shared" si="10"/>
        <v>-0.13893739407537517</v>
      </c>
      <c r="E29" s="46">
        <f t="shared" si="10"/>
        <v>-0.20758612681261271</v>
      </c>
      <c r="F29" s="46">
        <f t="shared" si="10"/>
        <v>-3.7250195805785889E-2</v>
      </c>
      <c r="G29" s="46">
        <f t="shared" si="10"/>
        <v>-0.12569483070967144</v>
      </c>
      <c r="H29" s="46">
        <f t="shared" si="10"/>
        <v>-0.29367078564602939</v>
      </c>
      <c r="I29" s="46">
        <f t="shared" si="10"/>
        <v>-0.28055878329378675</v>
      </c>
      <c r="J29" s="46">
        <f t="shared" si="10"/>
        <v>-0.27442314721405436</v>
      </c>
      <c r="K29" s="46">
        <f t="shared" si="10"/>
        <v>-0.21120764187162855</v>
      </c>
      <c r="L29" s="46">
        <f t="shared" si="10"/>
        <v>9.3441569592451184E-3</v>
      </c>
      <c r="M29" s="46">
        <f t="shared" si="10"/>
        <v>-3.3760785733891706E-2</v>
      </c>
      <c r="N29" s="46">
        <f t="shared" si="10"/>
        <v>-8.7894671209681349E-2</v>
      </c>
      <c r="O29" s="46">
        <f t="shared" si="10"/>
        <v>-0.18052206886672978</v>
      </c>
      <c r="P29" s="46">
        <f t="shared" si="10"/>
        <v>-0.11730419445164085</v>
      </c>
      <c r="Q29" s="46">
        <f t="shared" si="10"/>
        <v>-0.18336906334537692</v>
      </c>
      <c r="R29" s="46">
        <f t="shared" si="10"/>
        <v>-2.3937156517068302E-2</v>
      </c>
      <c r="S29" s="46">
        <f t="shared" si="10"/>
        <v>-6.1078665277964621E-2</v>
      </c>
      <c r="T29" s="46">
        <f t="shared" si="10"/>
        <v>-0.17041415612990024</v>
      </c>
      <c r="U29" s="46">
        <f t="shared" si="10"/>
        <v>-0.17036693596775976</v>
      </c>
      <c r="V29" s="46">
        <f t="shared" si="10"/>
        <v>-0.11679606693688846</v>
      </c>
      <c r="W29" s="46">
        <f t="shared" si="10"/>
        <v>-0.10307831270423012</v>
      </c>
      <c r="X29" s="46">
        <f t="shared" si="10"/>
        <v>8.3318309897192092E-2</v>
      </c>
      <c r="Y29" s="46">
        <f t="shared" si="10"/>
        <v>2.3824743411235597E-2</v>
      </c>
      <c r="Z29" s="47">
        <f>IFERROR($Z$28/$Z$11,0)</f>
        <v>-0.11581042756734737</v>
      </c>
    </row>
    <row r="32" spans="1:26" ht="21.75" customHeight="1" x14ac:dyDescent="0.25">
      <c r="A32" s="4" t="s">
        <v>354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38" t="s">
        <v>329</v>
      </c>
      <c r="B33" s="39" t="s">
        <v>135</v>
      </c>
      <c r="C33" s="39" t="s">
        <v>144</v>
      </c>
      <c r="D33" s="39" t="s">
        <v>145</v>
      </c>
      <c r="E33" s="39" t="s">
        <v>146</v>
      </c>
      <c r="F33" s="39" t="s">
        <v>147</v>
      </c>
      <c r="G33" s="39" t="s">
        <v>148</v>
      </c>
      <c r="H33" s="39" t="s">
        <v>149</v>
      </c>
      <c r="I33" s="39" t="s">
        <v>150</v>
      </c>
      <c r="J33" s="39" t="s">
        <v>151</v>
      </c>
      <c r="K33" s="39" t="s">
        <v>152</v>
      </c>
      <c r="L33" s="39" t="s">
        <v>153</v>
      </c>
      <c r="M33" s="39" t="s">
        <v>154</v>
      </c>
      <c r="N33" s="39" t="s">
        <v>155</v>
      </c>
      <c r="O33" s="39" t="s">
        <v>156</v>
      </c>
      <c r="P33" s="39" t="s">
        <v>157</v>
      </c>
      <c r="Q33" s="39" t="s">
        <v>158</v>
      </c>
      <c r="R33" s="39" t="s">
        <v>159</v>
      </c>
      <c r="S33" s="39" t="s">
        <v>160</v>
      </c>
      <c r="T33" s="39" t="s">
        <v>161</v>
      </c>
      <c r="U33" s="39" t="s">
        <v>162</v>
      </c>
      <c r="V33" s="39" t="s">
        <v>163</v>
      </c>
      <c r="W33" s="39" t="s">
        <v>164</v>
      </c>
      <c r="X33" s="39" t="s">
        <v>165</v>
      </c>
      <c r="Y33" s="39" t="s">
        <v>166</v>
      </c>
      <c r="Z33" s="40" t="s">
        <v>330</v>
      </c>
    </row>
    <row r="34" spans="1:26" x14ac:dyDescent="0.25">
      <c r="A34" s="41" t="s">
        <v>331</v>
      </c>
      <c r="B34" s="42">
        <f>SUMIFS('03_Base_Vendas'!$F$4:$F$387, '03_Base_Vendas'!$A$4:$A$387, B$33, '03_Base_Vendas'!$B$4:$B$387, "marketplace")</f>
        <v>48043.79</v>
      </c>
      <c r="C34" s="42">
        <f>SUMIFS('03_Base_Vendas'!$F$4:$F$387, '03_Base_Vendas'!$A$4:$A$387, C$33, '03_Base_Vendas'!$B$4:$B$387, "marketplace")</f>
        <v>38952.350000000006</v>
      </c>
      <c r="D34" s="42">
        <f>SUMIFS('03_Base_Vendas'!$F$4:$F$387, '03_Base_Vendas'!$A$4:$A$387, D$33, '03_Base_Vendas'!$B$4:$B$387, "marketplace")</f>
        <v>52271.09</v>
      </c>
      <c r="E34" s="42">
        <f>SUMIFS('03_Base_Vendas'!$F$4:$F$387, '03_Base_Vendas'!$A$4:$A$387, E$33, '03_Base_Vendas'!$B$4:$B$387, "marketplace")</f>
        <v>44313.22</v>
      </c>
      <c r="F34" s="42">
        <f>SUMIFS('03_Base_Vendas'!$F$4:$F$387, '03_Base_Vendas'!$A$4:$A$387, F$33, '03_Base_Vendas'!$B$4:$B$387, "marketplace")</f>
        <v>57481.919999999998</v>
      </c>
      <c r="G34" s="42">
        <f>SUMIFS('03_Base_Vendas'!$F$4:$F$387, '03_Base_Vendas'!$A$4:$A$387, G$33, '03_Base_Vendas'!$B$4:$B$387, "marketplace")</f>
        <v>46196.45</v>
      </c>
      <c r="H34" s="42">
        <f>SUMIFS('03_Base_Vendas'!$F$4:$F$387, '03_Base_Vendas'!$A$4:$A$387, H$33, '03_Base_Vendas'!$B$4:$B$387, "marketplace")</f>
        <v>36921.660000000003</v>
      </c>
      <c r="I34" s="42">
        <f>SUMIFS('03_Base_Vendas'!$F$4:$F$387, '03_Base_Vendas'!$A$4:$A$387, I$33, '03_Base_Vendas'!$B$4:$B$387, "marketplace")</f>
        <v>35553.54</v>
      </c>
      <c r="J34" s="42">
        <f>SUMIFS('03_Base_Vendas'!$F$4:$F$387, '03_Base_Vendas'!$A$4:$A$387, J$33, '03_Base_Vendas'!$B$4:$B$387, "marketplace")</f>
        <v>40401.72</v>
      </c>
      <c r="K34" s="42">
        <f>SUMIFS('03_Base_Vendas'!$F$4:$F$387, '03_Base_Vendas'!$A$4:$A$387, K$33, '03_Base_Vendas'!$B$4:$B$387, "marketplace")</f>
        <v>45357.21</v>
      </c>
      <c r="L34" s="42">
        <f>SUMIFS('03_Base_Vendas'!$F$4:$F$387, '03_Base_Vendas'!$A$4:$A$387, L$33, '03_Base_Vendas'!$B$4:$B$387, "marketplace")</f>
        <v>71348.23000000001</v>
      </c>
      <c r="M34" s="42">
        <f>SUMIFS('03_Base_Vendas'!$F$4:$F$387, '03_Base_Vendas'!$A$4:$A$387, M$33, '03_Base_Vendas'!$B$4:$B$387, "marketplace")</f>
        <v>64656.15</v>
      </c>
      <c r="N34" s="42">
        <f>SUMIFS('03_Base_Vendas'!$F$4:$F$387, '03_Base_Vendas'!$A$4:$A$387, N$33, '03_Base_Vendas'!$B$4:$B$387, "marketplace")</f>
        <v>61368.7</v>
      </c>
      <c r="O34" s="42">
        <f>SUMIFS('03_Base_Vendas'!$F$4:$F$387, '03_Base_Vendas'!$A$4:$A$387, O$33, '03_Base_Vendas'!$B$4:$B$387, "marketplace")</f>
        <v>50860.35</v>
      </c>
      <c r="P34" s="42">
        <f>SUMIFS('03_Base_Vendas'!$F$4:$F$387, '03_Base_Vendas'!$A$4:$A$387, P$33, '03_Base_Vendas'!$B$4:$B$387, "marketplace")</f>
        <v>54720.66</v>
      </c>
      <c r="Q34" s="42">
        <f>SUMIFS('03_Base_Vendas'!$F$4:$F$387, '03_Base_Vendas'!$A$4:$A$387, Q$33, '03_Base_Vendas'!$B$4:$B$387, "marketplace")</f>
        <v>43499.08</v>
      </c>
      <c r="R34" s="42">
        <f>SUMIFS('03_Base_Vendas'!$F$4:$F$387, '03_Base_Vendas'!$A$4:$A$387, R$33, '03_Base_Vendas'!$B$4:$B$387, "marketplace")</f>
        <v>78366.670000000013</v>
      </c>
      <c r="S34" s="42">
        <f>SUMIFS('03_Base_Vendas'!$F$4:$F$387, '03_Base_Vendas'!$A$4:$A$387, S$33, '03_Base_Vendas'!$B$4:$B$387, "marketplace")</f>
        <v>56530.829999999994</v>
      </c>
      <c r="T34" s="42">
        <f>SUMIFS('03_Base_Vendas'!$F$4:$F$387, '03_Base_Vendas'!$A$4:$A$387, T$33, '03_Base_Vendas'!$B$4:$B$387, "marketplace")</f>
        <v>58989.27</v>
      </c>
      <c r="U34" s="42">
        <f>SUMIFS('03_Base_Vendas'!$F$4:$F$387, '03_Base_Vendas'!$A$4:$A$387, U$33, '03_Base_Vendas'!$B$4:$B$387, "marketplace")</f>
        <v>45699.17</v>
      </c>
      <c r="V34" s="42">
        <f>SUMIFS('03_Base_Vendas'!$F$4:$F$387, '03_Base_Vendas'!$A$4:$A$387, V$33, '03_Base_Vendas'!$B$4:$B$387, "marketplace")</f>
        <v>53551.759999999995</v>
      </c>
      <c r="W34" s="42">
        <f>SUMIFS('03_Base_Vendas'!$F$4:$F$387, '03_Base_Vendas'!$A$4:$A$387, W$33, '03_Base_Vendas'!$B$4:$B$387, "marketplace")</f>
        <v>57119.729999999996</v>
      </c>
      <c r="X34" s="42">
        <f>SUMIFS('03_Base_Vendas'!$F$4:$F$387, '03_Base_Vendas'!$A$4:$A$387, X$33, '03_Base_Vendas'!$B$4:$B$387, "marketplace")</f>
        <v>81421</v>
      </c>
      <c r="Y34" s="42">
        <f>SUMIFS('03_Base_Vendas'!$F$4:$F$387, '03_Base_Vendas'!$A$4:$A$387, Y$33, '03_Base_Vendas'!$B$4:$B$387, "marketplace")</f>
        <v>40845.699999999997</v>
      </c>
      <c r="Z34" s="43">
        <f t="shared" ref="Z34:Z39" si="11">SUM(B34:Y34)</f>
        <v>1264470.25</v>
      </c>
    </row>
    <row r="35" spans="1:26" x14ac:dyDescent="0.25">
      <c r="A35" s="41" t="s">
        <v>332</v>
      </c>
      <c r="B35" s="42">
        <f>SUMIFS('03_Base_Vendas'!$G$4:$G$387, '03_Base_Vendas'!$A$4:$A$387, B$33, '03_Base_Vendas'!$B$4:$B$387, "marketplace")</f>
        <v>1244.6899999999998</v>
      </c>
      <c r="C35" s="42">
        <f>SUMIFS('03_Base_Vendas'!$G$4:$G$387, '03_Base_Vendas'!$A$4:$A$387, C$33, '03_Base_Vendas'!$B$4:$B$387, "marketplace")</f>
        <v>1951.0300000000002</v>
      </c>
      <c r="D35" s="42">
        <f>SUMIFS('03_Base_Vendas'!$G$4:$G$387, '03_Base_Vendas'!$A$4:$A$387, D$33, '03_Base_Vendas'!$B$4:$B$387, "marketplace")</f>
        <v>1417.52</v>
      </c>
      <c r="E35" s="42">
        <f>SUMIFS('03_Base_Vendas'!$G$4:$G$387, '03_Base_Vendas'!$A$4:$A$387, E$33, '03_Base_Vendas'!$B$4:$B$387, "marketplace")</f>
        <v>2329.4300000000003</v>
      </c>
      <c r="F35" s="42">
        <f>SUMIFS('03_Base_Vendas'!$G$4:$G$387, '03_Base_Vendas'!$A$4:$A$387, F$33, '03_Base_Vendas'!$B$4:$B$387, "marketplace")</f>
        <v>3542.91</v>
      </c>
      <c r="G35" s="42">
        <f>SUMIFS('03_Base_Vendas'!$G$4:$G$387, '03_Base_Vendas'!$A$4:$A$387, G$33, '03_Base_Vendas'!$B$4:$B$387, "marketplace")</f>
        <v>2804.29</v>
      </c>
      <c r="H35" s="42">
        <f>SUMIFS('03_Base_Vendas'!$G$4:$G$387, '03_Base_Vendas'!$A$4:$A$387, H$33, '03_Base_Vendas'!$B$4:$B$387, "marketplace")</f>
        <v>3064.76</v>
      </c>
      <c r="I35" s="42">
        <f>SUMIFS('03_Base_Vendas'!$G$4:$G$387, '03_Base_Vendas'!$A$4:$A$387, I$33, '03_Base_Vendas'!$B$4:$B$387, "marketplace")</f>
        <v>3716.01</v>
      </c>
      <c r="J35" s="42">
        <f>SUMIFS('03_Base_Vendas'!$G$4:$G$387, '03_Base_Vendas'!$A$4:$A$387, J$33, '03_Base_Vendas'!$B$4:$B$387, "marketplace")</f>
        <v>2422.6099999999997</v>
      </c>
      <c r="K35" s="42">
        <f>SUMIFS('03_Base_Vendas'!$G$4:$G$387, '03_Base_Vendas'!$A$4:$A$387, K$33, '03_Base_Vendas'!$B$4:$B$387, "marketplace")</f>
        <v>2757.44</v>
      </c>
      <c r="L35" s="42">
        <f>SUMIFS('03_Base_Vendas'!$G$4:$G$387, '03_Base_Vendas'!$A$4:$A$387, L$33, '03_Base_Vendas'!$B$4:$B$387, "marketplace")</f>
        <v>6203.3099999999995</v>
      </c>
      <c r="M35" s="42">
        <f>SUMIFS('03_Base_Vendas'!$G$4:$G$387, '03_Base_Vendas'!$A$4:$A$387, M$33, '03_Base_Vendas'!$B$4:$B$387, "marketplace")</f>
        <v>3111.7400000000002</v>
      </c>
      <c r="N35" s="42">
        <f>SUMIFS('03_Base_Vendas'!$G$4:$G$387, '03_Base_Vendas'!$A$4:$A$387, N$33, '03_Base_Vendas'!$B$4:$B$387, "marketplace")</f>
        <v>3012.8500000000004</v>
      </c>
      <c r="O35" s="42">
        <f>SUMIFS('03_Base_Vendas'!$G$4:$G$387, '03_Base_Vendas'!$A$4:$A$387, O$33, '03_Base_Vendas'!$B$4:$B$387, "marketplace")</f>
        <v>3384.6099999999997</v>
      </c>
      <c r="P35" s="42">
        <f>SUMIFS('03_Base_Vendas'!$G$4:$G$387, '03_Base_Vendas'!$A$4:$A$387, P$33, '03_Base_Vendas'!$B$4:$B$387, "marketplace")</f>
        <v>1938.38</v>
      </c>
      <c r="Q35" s="42">
        <f>SUMIFS('03_Base_Vendas'!$G$4:$G$387, '03_Base_Vendas'!$A$4:$A$387, Q$33, '03_Base_Vendas'!$B$4:$B$387, "marketplace")</f>
        <v>3072.8500000000004</v>
      </c>
      <c r="R35" s="42">
        <f>SUMIFS('03_Base_Vendas'!$G$4:$G$387, '03_Base_Vendas'!$A$4:$A$387, R$33, '03_Base_Vendas'!$B$4:$B$387, "marketplace")</f>
        <v>4656.38</v>
      </c>
      <c r="S35" s="42">
        <f>SUMIFS('03_Base_Vendas'!$G$4:$G$387, '03_Base_Vendas'!$A$4:$A$387, S$33, '03_Base_Vendas'!$B$4:$B$387, "marketplace")</f>
        <v>3393.6</v>
      </c>
      <c r="T35" s="42">
        <f>SUMIFS('03_Base_Vendas'!$G$4:$G$387, '03_Base_Vendas'!$A$4:$A$387, T$33, '03_Base_Vendas'!$B$4:$B$387, "marketplace")</f>
        <v>5662.8899999999994</v>
      </c>
      <c r="U35" s="42">
        <f>SUMIFS('03_Base_Vendas'!$G$4:$G$387, '03_Base_Vendas'!$A$4:$A$387, U$33, '03_Base_Vendas'!$B$4:$B$387, "marketplace")</f>
        <v>1975.9</v>
      </c>
      <c r="V35" s="42">
        <f>SUMIFS('03_Base_Vendas'!$G$4:$G$387, '03_Base_Vendas'!$A$4:$A$387, V$33, '03_Base_Vendas'!$B$4:$B$387, "marketplace")</f>
        <v>3578.38</v>
      </c>
      <c r="W35" s="42">
        <f>SUMIFS('03_Base_Vendas'!$G$4:$G$387, '03_Base_Vendas'!$A$4:$A$387, W$33, '03_Base_Vendas'!$B$4:$B$387, "marketplace")</f>
        <v>2471.5500000000002</v>
      </c>
      <c r="X35" s="42">
        <f>SUMIFS('03_Base_Vendas'!$G$4:$G$387, '03_Base_Vendas'!$A$4:$A$387, X$33, '03_Base_Vendas'!$B$4:$B$387, "marketplace")</f>
        <v>2804.4900000000002</v>
      </c>
      <c r="Y35" s="42">
        <f>SUMIFS('03_Base_Vendas'!$G$4:$G$387, '03_Base_Vendas'!$A$4:$A$387, Y$33, '03_Base_Vendas'!$B$4:$B$387, "marketplace")</f>
        <v>1637.15</v>
      </c>
      <c r="Z35" s="43">
        <f t="shared" si="11"/>
        <v>72154.76999999999</v>
      </c>
    </row>
    <row r="36" spans="1:26" x14ac:dyDescent="0.25">
      <c r="A36" s="41" t="s">
        <v>333</v>
      </c>
      <c r="B36" s="42">
        <f>SUMIFS('03_Base_Vendas'!$H$4:$H$387, '03_Base_Vendas'!$A$4:$A$387, B$33, '03_Base_Vendas'!$B$4:$B$387, "marketplace")</f>
        <v>8192.5299999999988</v>
      </c>
      <c r="C36" s="42">
        <f>SUMIFS('03_Base_Vendas'!$H$4:$H$387, '03_Base_Vendas'!$A$4:$A$387, C$33, '03_Base_Vendas'!$B$4:$B$387, "marketplace")</f>
        <v>6562.65</v>
      </c>
      <c r="D36" s="42">
        <f>SUMIFS('03_Base_Vendas'!$H$4:$H$387, '03_Base_Vendas'!$A$4:$A$387, D$33, '03_Base_Vendas'!$B$4:$B$387, "marketplace")</f>
        <v>8928.57</v>
      </c>
      <c r="E36" s="42">
        <f>SUMIFS('03_Base_Vendas'!$H$4:$H$387, '03_Base_Vendas'!$A$4:$A$387, E$33, '03_Base_Vendas'!$B$4:$B$387, "marketplace")</f>
        <v>7512.3899999999994</v>
      </c>
      <c r="F36" s="42">
        <f>SUMIFS('03_Base_Vendas'!$H$4:$H$387, '03_Base_Vendas'!$A$4:$A$387, F$33, '03_Base_Vendas'!$B$4:$B$387, "marketplace")</f>
        <v>9811.66</v>
      </c>
      <c r="G36" s="42">
        <f>SUMIFS('03_Base_Vendas'!$H$4:$H$387, '03_Base_Vendas'!$A$4:$A$387, G$33, '03_Base_Vendas'!$B$4:$B$387, "marketplace")</f>
        <v>7809.6</v>
      </c>
      <c r="H36" s="42">
        <f>SUMIFS('03_Base_Vendas'!$H$4:$H$387, '03_Base_Vendas'!$A$4:$A$387, H$33, '03_Base_Vendas'!$B$4:$B$387, "marketplace")</f>
        <v>6254.67</v>
      </c>
      <c r="I36" s="42">
        <f>SUMIFS('03_Base_Vendas'!$H$4:$H$387, '03_Base_Vendas'!$A$4:$A$387, I$33, '03_Base_Vendas'!$B$4:$B$387, "marketplace")</f>
        <v>6032.54</v>
      </c>
      <c r="J36" s="42">
        <f>SUMIFS('03_Base_Vendas'!$H$4:$H$387, '03_Base_Vendas'!$A$4:$A$387, J$33, '03_Base_Vendas'!$B$4:$B$387, "marketplace")</f>
        <v>6862.66</v>
      </c>
      <c r="K36" s="42">
        <f>SUMIFS('03_Base_Vendas'!$H$4:$H$387, '03_Base_Vendas'!$A$4:$A$387, K$33, '03_Base_Vendas'!$B$4:$B$387, "marketplace")</f>
        <v>7725.78</v>
      </c>
      <c r="L36" s="42">
        <f>SUMIFS('03_Base_Vendas'!$H$4:$H$387, '03_Base_Vendas'!$A$4:$A$387, L$33, '03_Base_Vendas'!$B$4:$B$387, "marketplace")</f>
        <v>12143.86</v>
      </c>
      <c r="M36" s="42">
        <f>SUMIFS('03_Base_Vendas'!$H$4:$H$387, '03_Base_Vendas'!$A$4:$A$387, M$33, '03_Base_Vendas'!$B$4:$B$387, "marketplace")</f>
        <v>10964.61</v>
      </c>
      <c r="N36" s="42">
        <f>SUMIFS('03_Base_Vendas'!$H$4:$H$387, '03_Base_Vendas'!$A$4:$A$387, N$33, '03_Base_Vendas'!$B$4:$B$387, "marketplace")</f>
        <v>10467.780000000001</v>
      </c>
      <c r="O36" s="42">
        <f>SUMIFS('03_Base_Vendas'!$H$4:$H$387, '03_Base_Vendas'!$A$4:$A$387, O$33, '03_Base_Vendas'!$B$4:$B$387, "marketplace")</f>
        <v>8641.2199999999993</v>
      </c>
      <c r="P36" s="42">
        <f>SUMIFS('03_Base_Vendas'!$H$4:$H$387, '03_Base_Vendas'!$A$4:$A$387, P$33, '03_Base_Vendas'!$B$4:$B$387, "marketplace")</f>
        <v>9259.4</v>
      </c>
      <c r="Q36" s="42">
        <f>SUMIFS('03_Base_Vendas'!$H$4:$H$387, '03_Base_Vendas'!$A$4:$A$387, Q$33, '03_Base_Vendas'!$B$4:$B$387, "marketplace")</f>
        <v>7440.5</v>
      </c>
      <c r="R36" s="42">
        <f>SUMIFS('03_Base_Vendas'!$H$4:$H$387, '03_Base_Vendas'!$A$4:$A$387, R$33, '03_Base_Vendas'!$B$4:$B$387, "marketplace")</f>
        <v>13377.68</v>
      </c>
      <c r="S36" s="42">
        <f>SUMIFS('03_Base_Vendas'!$H$4:$H$387, '03_Base_Vendas'!$A$4:$A$387, S$33, '03_Base_Vendas'!$B$4:$B$387, "marketplace")</f>
        <v>9613.6999999999989</v>
      </c>
      <c r="T36" s="42">
        <f>SUMIFS('03_Base_Vendas'!$H$4:$H$387, '03_Base_Vendas'!$A$4:$A$387, T$33, '03_Base_Vendas'!$B$4:$B$387, "marketplace")</f>
        <v>10018.450000000001</v>
      </c>
      <c r="U36" s="42">
        <f>SUMIFS('03_Base_Vendas'!$H$4:$H$387, '03_Base_Vendas'!$A$4:$A$387, U$33, '03_Base_Vendas'!$B$4:$B$387, "marketplace")</f>
        <v>7760.7899999999991</v>
      </c>
      <c r="V36" s="42">
        <f>SUMIFS('03_Base_Vendas'!$H$4:$H$387, '03_Base_Vendas'!$A$4:$A$387, V$33, '03_Base_Vendas'!$B$4:$B$387, "marketplace")</f>
        <v>9081.59</v>
      </c>
      <c r="W36" s="42">
        <f>SUMIFS('03_Base_Vendas'!$H$4:$H$387, '03_Base_Vendas'!$A$4:$A$387, W$33, '03_Base_Vendas'!$B$4:$B$387, "marketplace")</f>
        <v>9781.07</v>
      </c>
      <c r="X36" s="42">
        <f>SUMIFS('03_Base_Vendas'!$H$4:$H$387, '03_Base_Vendas'!$A$4:$A$387, X$33, '03_Base_Vendas'!$B$4:$B$387, "marketplace")</f>
        <v>13780.970000000001</v>
      </c>
      <c r="Y36" s="42">
        <f>SUMIFS('03_Base_Vendas'!$H$4:$H$387, '03_Base_Vendas'!$A$4:$A$387, Y$33, '03_Base_Vendas'!$B$4:$B$387, "marketplace")</f>
        <v>6910.14</v>
      </c>
      <c r="Z36" s="43">
        <f t="shared" si="11"/>
        <v>214934.81000000003</v>
      </c>
    </row>
    <row r="37" spans="1:26" x14ac:dyDescent="0.25">
      <c r="A37" s="44" t="s">
        <v>334</v>
      </c>
      <c r="B37" s="45">
        <f t="shared" ref="B37:Y37" si="12">B34-B35-B36</f>
        <v>38606.57</v>
      </c>
      <c r="C37" s="45">
        <f t="shared" si="12"/>
        <v>30438.670000000006</v>
      </c>
      <c r="D37" s="45">
        <f t="shared" si="12"/>
        <v>41925</v>
      </c>
      <c r="E37" s="45">
        <f t="shared" si="12"/>
        <v>34471.4</v>
      </c>
      <c r="F37" s="45">
        <f t="shared" si="12"/>
        <v>44127.349999999991</v>
      </c>
      <c r="G37" s="45">
        <f t="shared" si="12"/>
        <v>35582.559999999998</v>
      </c>
      <c r="H37" s="45">
        <f t="shared" si="12"/>
        <v>27602.230000000003</v>
      </c>
      <c r="I37" s="45">
        <f t="shared" si="12"/>
        <v>25804.989999999998</v>
      </c>
      <c r="J37" s="45">
        <f t="shared" si="12"/>
        <v>31116.45</v>
      </c>
      <c r="K37" s="45">
        <f t="shared" si="12"/>
        <v>34873.99</v>
      </c>
      <c r="L37" s="45">
        <f t="shared" si="12"/>
        <v>53001.060000000012</v>
      </c>
      <c r="M37" s="45">
        <f t="shared" si="12"/>
        <v>50579.8</v>
      </c>
      <c r="N37" s="45">
        <f t="shared" si="12"/>
        <v>47888.07</v>
      </c>
      <c r="O37" s="45">
        <f t="shared" si="12"/>
        <v>38834.519999999997</v>
      </c>
      <c r="P37" s="45">
        <f t="shared" si="12"/>
        <v>43522.880000000005</v>
      </c>
      <c r="Q37" s="45">
        <f t="shared" si="12"/>
        <v>32985.730000000003</v>
      </c>
      <c r="R37" s="45">
        <f t="shared" si="12"/>
        <v>60332.610000000008</v>
      </c>
      <c r="S37" s="45">
        <f t="shared" si="12"/>
        <v>43523.53</v>
      </c>
      <c r="T37" s="45">
        <f t="shared" si="12"/>
        <v>43307.929999999993</v>
      </c>
      <c r="U37" s="45">
        <f t="shared" si="12"/>
        <v>35962.479999999996</v>
      </c>
      <c r="V37" s="45">
        <f t="shared" si="12"/>
        <v>40891.789999999994</v>
      </c>
      <c r="W37" s="45">
        <f t="shared" si="12"/>
        <v>44867.109999999993</v>
      </c>
      <c r="X37" s="45">
        <f t="shared" si="12"/>
        <v>64835.539999999994</v>
      </c>
      <c r="Y37" s="45">
        <f t="shared" si="12"/>
        <v>32298.409999999996</v>
      </c>
      <c r="Z37" s="43">
        <f t="shared" si="11"/>
        <v>977380.67000000016</v>
      </c>
    </row>
    <row r="38" spans="1:26" x14ac:dyDescent="0.25">
      <c r="A38" s="41" t="s">
        <v>335</v>
      </c>
      <c r="B38" s="42">
        <f>SUMIFS('03_Base_Vendas'!$J$4:$J$387, '03_Base_Vendas'!$A$4:$A$387, B$33, '03_Base_Vendas'!$B$4:$B$387, "marketplace")</f>
        <v>22515.81</v>
      </c>
      <c r="C38" s="42">
        <f>SUMIFS('03_Base_Vendas'!$J$4:$J$387, '03_Base_Vendas'!$A$4:$A$387, C$33, '03_Base_Vendas'!$B$4:$B$387, "marketplace")</f>
        <v>18509.5</v>
      </c>
      <c r="D38" s="42">
        <f>SUMIFS('03_Base_Vendas'!$J$4:$J$387, '03_Base_Vendas'!$A$4:$A$387, D$33, '03_Base_Vendas'!$B$4:$B$387, "marketplace")</f>
        <v>25121.66</v>
      </c>
      <c r="E38" s="42">
        <f>SUMIFS('03_Base_Vendas'!$J$4:$J$387, '03_Base_Vendas'!$A$4:$A$387, E$33, '03_Base_Vendas'!$B$4:$B$387, "marketplace")</f>
        <v>21232.47</v>
      </c>
      <c r="F38" s="42">
        <f>SUMIFS('03_Base_Vendas'!$J$4:$J$387, '03_Base_Vendas'!$A$4:$A$387, F$33, '03_Base_Vendas'!$B$4:$B$387, "marketplace")</f>
        <v>26589.989999999998</v>
      </c>
      <c r="G38" s="42">
        <f>SUMIFS('03_Base_Vendas'!$J$4:$J$387, '03_Base_Vendas'!$A$4:$A$387, G$33, '03_Base_Vendas'!$B$4:$B$387, "marketplace")</f>
        <v>22543.46</v>
      </c>
      <c r="H38" s="42">
        <f>SUMIFS('03_Base_Vendas'!$J$4:$J$387, '03_Base_Vendas'!$A$4:$A$387, H$33, '03_Base_Vendas'!$B$4:$B$387, "marketplace")</f>
        <v>17743.91</v>
      </c>
      <c r="I38" s="42">
        <f>SUMIFS('03_Base_Vendas'!$J$4:$J$387, '03_Base_Vendas'!$A$4:$A$387, I$33, '03_Base_Vendas'!$B$4:$B$387, "marketplace")</f>
        <v>16488.71</v>
      </c>
      <c r="J38" s="42">
        <f>SUMIFS('03_Base_Vendas'!$J$4:$J$387, '03_Base_Vendas'!$A$4:$A$387, J$33, '03_Base_Vendas'!$B$4:$B$387, "marketplace")</f>
        <v>18779.829999999998</v>
      </c>
      <c r="K38" s="42">
        <f>SUMIFS('03_Base_Vendas'!$J$4:$J$387, '03_Base_Vendas'!$A$4:$A$387, K$33, '03_Base_Vendas'!$B$4:$B$387, "marketplace")</f>
        <v>22036.44</v>
      </c>
      <c r="L38" s="42">
        <f>SUMIFS('03_Base_Vendas'!$J$4:$J$387, '03_Base_Vendas'!$A$4:$A$387, L$33, '03_Base_Vendas'!$B$4:$B$387, "marketplace")</f>
        <v>34101.5</v>
      </c>
      <c r="M38" s="42">
        <f>SUMIFS('03_Base_Vendas'!$J$4:$J$387, '03_Base_Vendas'!$A$4:$A$387, M$33, '03_Base_Vendas'!$B$4:$B$387, "marketplace")</f>
        <v>31053.600000000002</v>
      </c>
      <c r="N38" s="42">
        <f>SUMIFS('03_Base_Vendas'!$J$4:$J$387, '03_Base_Vendas'!$A$4:$A$387, N$33, '03_Base_Vendas'!$B$4:$B$387, "marketplace")</f>
        <v>29963.409999999996</v>
      </c>
      <c r="O38" s="42">
        <f>SUMIFS('03_Base_Vendas'!$J$4:$J$387, '03_Base_Vendas'!$A$4:$A$387, O$33, '03_Base_Vendas'!$B$4:$B$387, "marketplace")</f>
        <v>24791.910000000003</v>
      </c>
      <c r="P38" s="42">
        <f>SUMIFS('03_Base_Vendas'!$J$4:$J$387, '03_Base_Vendas'!$A$4:$A$387, P$33, '03_Base_Vendas'!$B$4:$B$387, "marketplace")</f>
        <v>26219.920000000002</v>
      </c>
      <c r="Q38" s="42">
        <f>SUMIFS('03_Base_Vendas'!$J$4:$J$387, '03_Base_Vendas'!$A$4:$A$387, Q$33, '03_Base_Vendas'!$B$4:$B$387, "marketplace")</f>
        <v>20243.830000000002</v>
      </c>
      <c r="R38" s="42">
        <f>SUMIFS('03_Base_Vendas'!$J$4:$J$387, '03_Base_Vendas'!$A$4:$A$387, R$33, '03_Base_Vendas'!$B$4:$B$387, "marketplace")</f>
        <v>37726.519999999997</v>
      </c>
      <c r="S38" s="42">
        <f>SUMIFS('03_Base_Vendas'!$J$4:$J$387, '03_Base_Vendas'!$A$4:$A$387, S$33, '03_Base_Vendas'!$B$4:$B$387, "marketplace")</f>
        <v>27574.959999999999</v>
      </c>
      <c r="T38" s="42">
        <f>SUMIFS('03_Base_Vendas'!$J$4:$J$387, '03_Base_Vendas'!$A$4:$A$387, T$33, '03_Base_Vendas'!$B$4:$B$387, "marketplace")</f>
        <v>28501.199999999997</v>
      </c>
      <c r="U38" s="42">
        <f>SUMIFS('03_Base_Vendas'!$J$4:$J$387, '03_Base_Vendas'!$A$4:$A$387, U$33, '03_Base_Vendas'!$B$4:$B$387, "marketplace")</f>
        <v>21416.09</v>
      </c>
      <c r="V38" s="42">
        <f>SUMIFS('03_Base_Vendas'!$J$4:$J$387, '03_Base_Vendas'!$A$4:$A$387, V$33, '03_Base_Vendas'!$B$4:$B$387, "marketplace")</f>
        <v>25942.460000000003</v>
      </c>
      <c r="W38" s="42">
        <f>SUMIFS('03_Base_Vendas'!$J$4:$J$387, '03_Base_Vendas'!$A$4:$A$387, W$33, '03_Base_Vendas'!$B$4:$B$387, "marketplace")</f>
        <v>27696.81</v>
      </c>
      <c r="X38" s="42">
        <f>SUMIFS('03_Base_Vendas'!$J$4:$J$387, '03_Base_Vendas'!$A$4:$A$387, X$33, '03_Base_Vendas'!$B$4:$B$387, "marketplace")</f>
        <v>38637.689999999995</v>
      </c>
      <c r="Y38" s="42">
        <f>SUMIFS('03_Base_Vendas'!$J$4:$J$387, '03_Base_Vendas'!$A$4:$A$387, Y$33, '03_Base_Vendas'!$B$4:$B$387, "marketplace")</f>
        <v>21473.53</v>
      </c>
      <c r="Z38" s="43">
        <f t="shared" si="11"/>
        <v>606905.21000000008</v>
      </c>
    </row>
    <row r="39" spans="1:26" x14ac:dyDescent="0.25">
      <c r="A39" s="44" t="s">
        <v>336</v>
      </c>
      <c r="B39" s="45">
        <f t="shared" ref="B39:Y39" si="13">B37-B38</f>
        <v>16090.759999999998</v>
      </c>
      <c r="C39" s="45">
        <f t="shared" si="13"/>
        <v>11929.170000000006</v>
      </c>
      <c r="D39" s="45">
        <f t="shared" si="13"/>
        <v>16803.34</v>
      </c>
      <c r="E39" s="45">
        <f t="shared" si="13"/>
        <v>13238.93</v>
      </c>
      <c r="F39" s="45">
        <f t="shared" si="13"/>
        <v>17537.359999999993</v>
      </c>
      <c r="G39" s="45">
        <f t="shared" si="13"/>
        <v>13039.099999999999</v>
      </c>
      <c r="H39" s="45">
        <f t="shared" si="13"/>
        <v>9858.3200000000033</v>
      </c>
      <c r="I39" s="45">
        <f t="shared" si="13"/>
        <v>9316.2799999999988</v>
      </c>
      <c r="J39" s="45">
        <f t="shared" si="13"/>
        <v>12336.620000000003</v>
      </c>
      <c r="K39" s="45">
        <f t="shared" si="13"/>
        <v>12837.55</v>
      </c>
      <c r="L39" s="45">
        <f t="shared" si="13"/>
        <v>18899.560000000012</v>
      </c>
      <c r="M39" s="45">
        <f t="shared" si="13"/>
        <v>19526.2</v>
      </c>
      <c r="N39" s="45">
        <f t="shared" si="13"/>
        <v>17924.660000000003</v>
      </c>
      <c r="O39" s="45">
        <f t="shared" si="13"/>
        <v>14042.609999999993</v>
      </c>
      <c r="P39" s="45">
        <f t="shared" si="13"/>
        <v>17302.960000000003</v>
      </c>
      <c r="Q39" s="45">
        <f t="shared" si="13"/>
        <v>12741.900000000001</v>
      </c>
      <c r="R39" s="45">
        <f t="shared" si="13"/>
        <v>22606.090000000011</v>
      </c>
      <c r="S39" s="45">
        <f t="shared" si="13"/>
        <v>15948.57</v>
      </c>
      <c r="T39" s="45">
        <f t="shared" si="13"/>
        <v>14806.729999999996</v>
      </c>
      <c r="U39" s="45">
        <f t="shared" si="13"/>
        <v>14546.389999999996</v>
      </c>
      <c r="V39" s="45">
        <f t="shared" si="13"/>
        <v>14949.329999999991</v>
      </c>
      <c r="W39" s="45">
        <f t="shared" si="13"/>
        <v>17170.299999999992</v>
      </c>
      <c r="X39" s="45">
        <f t="shared" si="13"/>
        <v>26197.85</v>
      </c>
      <c r="Y39" s="45">
        <f t="shared" si="13"/>
        <v>10824.879999999997</v>
      </c>
      <c r="Z39" s="43">
        <f t="shared" si="11"/>
        <v>370475.45999999996</v>
      </c>
    </row>
    <row r="40" spans="1:26" x14ac:dyDescent="0.25">
      <c r="A40" s="41" t="s">
        <v>337</v>
      </c>
      <c r="B40" s="46">
        <f t="shared" ref="B40:Y40" si="14">IFERROR(B39/B37,0)</f>
        <v>0.41678812699496481</v>
      </c>
      <c r="C40" s="46">
        <f t="shared" si="14"/>
        <v>0.39190838495900127</v>
      </c>
      <c r="D40" s="46">
        <f t="shared" si="14"/>
        <v>0.40079522957662495</v>
      </c>
      <c r="E40" s="46">
        <f t="shared" si="14"/>
        <v>0.3840554778744118</v>
      </c>
      <c r="F40" s="46">
        <f t="shared" si="14"/>
        <v>0.397426086089466</v>
      </c>
      <c r="G40" s="46">
        <f t="shared" si="14"/>
        <v>0.36644637148086029</v>
      </c>
      <c r="H40" s="46">
        <f t="shared" si="14"/>
        <v>0.35715665002429159</v>
      </c>
      <c r="I40" s="46">
        <f t="shared" si="14"/>
        <v>0.36102629762693184</v>
      </c>
      <c r="J40" s="46">
        <f t="shared" si="14"/>
        <v>0.39646617785769273</v>
      </c>
      <c r="K40" s="46">
        <f t="shared" si="14"/>
        <v>0.36811245286243416</v>
      </c>
      <c r="L40" s="46">
        <f t="shared" si="14"/>
        <v>0.35658833993131472</v>
      </c>
      <c r="M40" s="46">
        <f t="shared" si="14"/>
        <v>0.38604739441437097</v>
      </c>
      <c r="N40" s="46">
        <f t="shared" si="14"/>
        <v>0.37430324504620888</v>
      </c>
      <c r="O40" s="46">
        <f t="shared" si="14"/>
        <v>0.36160122488960839</v>
      </c>
      <c r="P40" s="46">
        <f t="shared" si="14"/>
        <v>0.39756008793535724</v>
      </c>
      <c r="Q40" s="46">
        <f t="shared" si="14"/>
        <v>0.38628522091219447</v>
      </c>
      <c r="R40" s="46">
        <f t="shared" si="14"/>
        <v>0.37469106673820357</v>
      </c>
      <c r="S40" s="46">
        <f t="shared" si="14"/>
        <v>0.36643558093748368</v>
      </c>
      <c r="T40" s="46">
        <f t="shared" si="14"/>
        <v>0.3418941981295342</v>
      </c>
      <c r="U40" s="46">
        <f t="shared" si="14"/>
        <v>0.40448795522444497</v>
      </c>
      <c r="V40" s="46">
        <f t="shared" si="14"/>
        <v>0.36558267564222535</v>
      </c>
      <c r="W40" s="46">
        <f t="shared" si="14"/>
        <v>0.38269235526870338</v>
      </c>
      <c r="X40" s="46">
        <f t="shared" si="14"/>
        <v>0.40406619579323316</v>
      </c>
      <c r="Y40" s="46">
        <f t="shared" si="14"/>
        <v>0.33515210191461431</v>
      </c>
      <c r="Z40" s="47">
        <f>IFERROR($Z$39/$Z$37,0)</f>
        <v>0.37904930123080899</v>
      </c>
    </row>
    <row r="41" spans="1:26" x14ac:dyDescent="0.25">
      <c r="A41" s="41" t="s">
        <v>338</v>
      </c>
      <c r="B41" s="42">
        <f>(SUMIFS('04_Base_Despesas'!$D$4:$D$219, '04_Base_Despesas'!$A$4:$A$219, B$33, '04_Base_Despesas'!$B$4:$B$219, "pessoal"))*(IFERROR(SUMIFS('03_Base_Vendas'!$I$4:$I$387, '03_Base_Vendas'!$A$4:$A$387, B$33, '03_Base_Vendas'!$B$4:$B$387, "marketplace")/SUMIFS('03_Base_Vendas'!$I$4:$I$387, '03_Base_Vendas'!$A$4:$A$387, B$33),0))</f>
        <v>13034.821535864534</v>
      </c>
      <c r="C41" s="42">
        <f>(SUMIFS('04_Base_Despesas'!$D$4:$D$219, '04_Base_Despesas'!$A$4:$A$219, C$33, '04_Base_Despesas'!$B$4:$B$219, "pessoal"))*(IFERROR(SUMIFS('03_Base_Vendas'!$I$4:$I$387, '03_Base_Vendas'!$A$4:$A$387, C$33, '03_Base_Vendas'!$B$4:$B$387, "marketplace")/SUMIFS('03_Base_Vendas'!$I$4:$I$387, '03_Base_Vendas'!$A$4:$A$387, C$33),0))</f>
        <v>12722.073647742191</v>
      </c>
      <c r="D41" s="42">
        <f>(SUMIFS('04_Base_Despesas'!$D$4:$D$219, '04_Base_Despesas'!$A$4:$A$219, D$33, '04_Base_Despesas'!$B$4:$B$219, "pessoal"))*(IFERROR(SUMIFS('03_Base_Vendas'!$I$4:$I$387, '03_Base_Vendas'!$A$4:$A$387, D$33, '03_Base_Vendas'!$B$4:$B$387, "marketplace")/SUMIFS('03_Base_Vendas'!$I$4:$I$387, '03_Base_Vendas'!$A$4:$A$387, D$33),0))</f>
        <v>13816.273993798888</v>
      </c>
      <c r="E41" s="42">
        <f>(SUMIFS('04_Base_Despesas'!$D$4:$D$219, '04_Base_Despesas'!$A$4:$A$219, E$33, '04_Base_Despesas'!$B$4:$B$219, "pessoal"))*(IFERROR(SUMIFS('03_Base_Vendas'!$I$4:$I$387, '03_Base_Vendas'!$A$4:$A$387, E$33, '03_Base_Vendas'!$B$4:$B$387, "marketplace")/SUMIFS('03_Base_Vendas'!$I$4:$I$387, '03_Base_Vendas'!$A$4:$A$387, E$33),0))</f>
        <v>12197.429196038567</v>
      </c>
      <c r="F41" s="42">
        <f>(SUMIFS('04_Base_Despesas'!$D$4:$D$219, '04_Base_Despesas'!$A$4:$A$219, F$33, '04_Base_Despesas'!$B$4:$B$219, "pessoal"))*(IFERROR(SUMIFS('03_Base_Vendas'!$I$4:$I$387, '03_Base_Vendas'!$A$4:$A$387, F$33, '03_Base_Vendas'!$B$4:$B$387, "marketplace")/SUMIFS('03_Base_Vendas'!$I$4:$I$387, '03_Base_Vendas'!$A$4:$A$387, F$33),0))</f>
        <v>11764.158329333659</v>
      </c>
      <c r="G41" s="42">
        <f>(SUMIFS('04_Base_Despesas'!$D$4:$D$219, '04_Base_Despesas'!$A$4:$A$219, G$33, '04_Base_Despesas'!$B$4:$B$219, "pessoal"))*(IFERROR(SUMIFS('03_Base_Vendas'!$I$4:$I$387, '03_Base_Vendas'!$A$4:$A$387, G$33, '03_Base_Vendas'!$B$4:$B$387, "marketplace")/SUMIFS('03_Base_Vendas'!$I$4:$I$387, '03_Base_Vendas'!$A$4:$A$387, G$33),0))</f>
        <v>10604.777893629769</v>
      </c>
      <c r="H41" s="42">
        <f>(SUMIFS('04_Base_Despesas'!$D$4:$D$219, '04_Base_Despesas'!$A$4:$A$219, H$33, '04_Base_Despesas'!$B$4:$B$219, "pessoal"))*(IFERROR(SUMIFS('03_Base_Vendas'!$I$4:$I$387, '03_Base_Vendas'!$A$4:$A$387, H$33, '03_Base_Vendas'!$B$4:$B$387, "marketplace")/SUMIFS('03_Base_Vendas'!$I$4:$I$387, '03_Base_Vendas'!$A$4:$A$387, H$33),0))</f>
        <v>11083.509783492958</v>
      </c>
      <c r="I41" s="42">
        <f>(SUMIFS('04_Base_Despesas'!$D$4:$D$219, '04_Base_Despesas'!$A$4:$A$219, I$33, '04_Base_Despesas'!$B$4:$B$219, "pessoal"))*(IFERROR(SUMIFS('03_Base_Vendas'!$I$4:$I$387, '03_Base_Vendas'!$A$4:$A$387, I$33, '03_Base_Vendas'!$B$4:$B$387, "marketplace")/SUMIFS('03_Base_Vendas'!$I$4:$I$387, '03_Base_Vendas'!$A$4:$A$387, I$33),0))</f>
        <v>10387.359849465713</v>
      </c>
      <c r="J41" s="42">
        <f>(SUMIFS('04_Base_Despesas'!$D$4:$D$219, '04_Base_Despesas'!$A$4:$A$219, J$33, '04_Base_Despesas'!$B$4:$B$219, "pessoal"))*(IFERROR(SUMIFS('03_Base_Vendas'!$I$4:$I$387, '03_Base_Vendas'!$A$4:$A$387, J$33, '03_Base_Vendas'!$B$4:$B$387, "marketplace")/SUMIFS('03_Base_Vendas'!$I$4:$I$387, '03_Base_Vendas'!$A$4:$A$387, J$33),0))</f>
        <v>12010.593068103633</v>
      </c>
      <c r="K41" s="42">
        <f>(SUMIFS('04_Base_Despesas'!$D$4:$D$219, '04_Base_Despesas'!$A$4:$A$219, K$33, '04_Base_Despesas'!$B$4:$B$219, "pessoal"))*(IFERROR(SUMIFS('03_Base_Vendas'!$I$4:$I$387, '03_Base_Vendas'!$A$4:$A$387, K$33, '03_Base_Vendas'!$B$4:$B$387, "marketplace")/SUMIFS('03_Base_Vendas'!$I$4:$I$387, '03_Base_Vendas'!$A$4:$A$387, K$33),0))</f>
        <v>12335.369997008294</v>
      </c>
      <c r="L41" s="42">
        <f>(SUMIFS('04_Base_Despesas'!$D$4:$D$219, '04_Base_Despesas'!$A$4:$A$219, L$33, '04_Base_Despesas'!$B$4:$B$219, "pessoal"))*(IFERROR(SUMIFS('03_Base_Vendas'!$I$4:$I$387, '03_Base_Vendas'!$A$4:$A$387, L$33, '03_Base_Vendas'!$B$4:$B$387, "marketplace")/SUMIFS('03_Base_Vendas'!$I$4:$I$387, '03_Base_Vendas'!$A$4:$A$387, L$33),0))</f>
        <v>13215.403535079879</v>
      </c>
      <c r="M41" s="42">
        <f>(SUMIFS('04_Base_Despesas'!$D$4:$D$219, '04_Base_Despesas'!$A$4:$A$219, M$33, '04_Base_Despesas'!$B$4:$B$219, "pessoal"))*(IFERROR(SUMIFS('03_Base_Vendas'!$I$4:$I$387, '03_Base_Vendas'!$A$4:$A$387, M$33, '03_Base_Vendas'!$B$4:$B$387, "marketplace")/SUMIFS('03_Base_Vendas'!$I$4:$I$387, '03_Base_Vendas'!$A$4:$A$387, M$33),0))</f>
        <v>13337.396871432851</v>
      </c>
      <c r="N41" s="42">
        <f>(SUMIFS('04_Base_Despesas'!$D$4:$D$219, '04_Base_Despesas'!$A$4:$A$219, N$33, '04_Base_Despesas'!$B$4:$B$219, "pessoal"))*(IFERROR(SUMIFS('03_Base_Vendas'!$I$4:$I$387, '03_Base_Vendas'!$A$4:$A$387, N$33, '03_Base_Vendas'!$B$4:$B$387, "marketplace")/SUMIFS('03_Base_Vendas'!$I$4:$I$387, '03_Base_Vendas'!$A$4:$A$387, N$33),0))</f>
        <v>14069.222251126019</v>
      </c>
      <c r="O41" s="42">
        <f>(SUMIFS('04_Base_Despesas'!$D$4:$D$219, '04_Base_Despesas'!$A$4:$A$219, O$33, '04_Base_Despesas'!$B$4:$B$219, "pessoal"))*(IFERROR(SUMIFS('03_Base_Vendas'!$I$4:$I$387, '03_Base_Vendas'!$A$4:$A$387, O$33, '03_Base_Vendas'!$B$4:$B$387, "marketplace")/SUMIFS('03_Base_Vendas'!$I$4:$I$387, '03_Base_Vendas'!$A$4:$A$387, O$33),0))</f>
        <v>13832.836535746161</v>
      </c>
      <c r="P41" s="42">
        <f>(SUMIFS('04_Base_Despesas'!$D$4:$D$219, '04_Base_Despesas'!$A$4:$A$219, P$33, '04_Base_Despesas'!$B$4:$B$219, "pessoal"))*(IFERROR(SUMIFS('03_Base_Vendas'!$I$4:$I$387, '03_Base_Vendas'!$A$4:$A$387, P$33, '03_Base_Vendas'!$B$4:$B$387, "marketplace")/SUMIFS('03_Base_Vendas'!$I$4:$I$387, '03_Base_Vendas'!$A$4:$A$387, P$33),0))</f>
        <v>13289.238382702817</v>
      </c>
      <c r="Q41" s="42">
        <f>(SUMIFS('04_Base_Despesas'!$D$4:$D$219, '04_Base_Despesas'!$A$4:$A$219, Q$33, '04_Base_Despesas'!$B$4:$B$219, "pessoal"))*(IFERROR(SUMIFS('03_Base_Vendas'!$I$4:$I$387, '03_Base_Vendas'!$A$4:$A$387, Q$33, '03_Base_Vendas'!$B$4:$B$387, "marketplace")/SUMIFS('03_Base_Vendas'!$I$4:$I$387, '03_Base_Vendas'!$A$4:$A$387, Q$33),0))</f>
        <v>11819.541071969012</v>
      </c>
      <c r="R41" s="42">
        <f>(SUMIFS('04_Base_Despesas'!$D$4:$D$219, '04_Base_Despesas'!$A$4:$A$219, R$33, '04_Base_Despesas'!$B$4:$B$219, "pessoal"))*(IFERROR(SUMIFS('03_Base_Vendas'!$I$4:$I$387, '03_Base_Vendas'!$A$4:$A$387, R$33, '03_Base_Vendas'!$B$4:$B$387, "marketplace")/SUMIFS('03_Base_Vendas'!$I$4:$I$387, '03_Base_Vendas'!$A$4:$A$387, R$33),0))</f>
        <v>15081.580765027362</v>
      </c>
      <c r="S41" s="42">
        <f>(SUMIFS('04_Base_Despesas'!$D$4:$D$219, '04_Base_Despesas'!$A$4:$A$219, S$33, '04_Base_Despesas'!$B$4:$B$219, "pessoal"))*(IFERROR(SUMIFS('03_Base_Vendas'!$I$4:$I$387, '03_Base_Vendas'!$A$4:$A$387, S$33, '03_Base_Vendas'!$B$4:$B$387, "marketplace")/SUMIFS('03_Base_Vendas'!$I$4:$I$387, '03_Base_Vendas'!$A$4:$A$387, S$33),0))</f>
        <v>11888.52237843856</v>
      </c>
      <c r="T41" s="42">
        <f>(SUMIFS('04_Base_Despesas'!$D$4:$D$219, '04_Base_Despesas'!$A$4:$A$219, T$33, '04_Base_Despesas'!$B$4:$B$219, "pessoal"))*(IFERROR(SUMIFS('03_Base_Vendas'!$I$4:$I$387, '03_Base_Vendas'!$A$4:$A$387, T$33, '03_Base_Vendas'!$B$4:$B$387, "marketplace")/SUMIFS('03_Base_Vendas'!$I$4:$I$387, '03_Base_Vendas'!$A$4:$A$387, T$33),0))</f>
        <v>14211.880191521468</v>
      </c>
      <c r="U41" s="42">
        <f>(SUMIFS('04_Base_Despesas'!$D$4:$D$219, '04_Base_Despesas'!$A$4:$A$219, U$33, '04_Base_Despesas'!$B$4:$B$219, "pessoal"))*(IFERROR(SUMIFS('03_Base_Vendas'!$I$4:$I$387, '03_Base_Vendas'!$A$4:$A$387, U$33, '03_Base_Vendas'!$B$4:$B$387, "marketplace")/SUMIFS('03_Base_Vendas'!$I$4:$I$387, '03_Base_Vendas'!$A$4:$A$387, U$33),0))</f>
        <v>12183.181481222746</v>
      </c>
      <c r="V41" s="42">
        <f>(SUMIFS('04_Base_Despesas'!$D$4:$D$219, '04_Base_Despesas'!$A$4:$A$219, V$33, '04_Base_Despesas'!$B$4:$B$219, "pessoal"))*(IFERROR(SUMIFS('03_Base_Vendas'!$I$4:$I$387, '03_Base_Vendas'!$A$4:$A$387, V$33, '03_Base_Vendas'!$B$4:$B$387, "marketplace")/SUMIFS('03_Base_Vendas'!$I$4:$I$387, '03_Base_Vendas'!$A$4:$A$387, V$33),0))</f>
        <v>13402.852398103558</v>
      </c>
      <c r="W41" s="42">
        <f>(SUMIFS('04_Base_Despesas'!$D$4:$D$219, '04_Base_Despesas'!$A$4:$A$219, W$33, '04_Base_Despesas'!$B$4:$B$219, "pessoal"))*(IFERROR(SUMIFS('03_Base_Vendas'!$I$4:$I$387, '03_Base_Vendas'!$A$4:$A$387, W$33, '03_Base_Vendas'!$B$4:$B$387, "marketplace")/SUMIFS('03_Base_Vendas'!$I$4:$I$387, '03_Base_Vendas'!$A$4:$A$387, W$33),0))</f>
        <v>13656.023978874144</v>
      </c>
      <c r="X41" s="42">
        <f>(SUMIFS('04_Base_Despesas'!$D$4:$D$219, '04_Base_Despesas'!$A$4:$A$219, X$33, '04_Base_Despesas'!$B$4:$B$219, "pessoal"))*(IFERROR(SUMIFS('03_Base_Vendas'!$I$4:$I$387, '03_Base_Vendas'!$A$4:$A$387, X$33, '03_Base_Vendas'!$B$4:$B$387, "marketplace")/SUMIFS('03_Base_Vendas'!$I$4:$I$387, '03_Base_Vendas'!$A$4:$A$387, X$33),0))</f>
        <v>13377.044276516059</v>
      </c>
      <c r="Y41" s="42">
        <f>(SUMIFS('04_Base_Despesas'!$D$4:$D$219, '04_Base_Despesas'!$A$4:$A$219, Y$33, '04_Base_Despesas'!$B$4:$B$219, "pessoal"))*(IFERROR(SUMIFS('03_Base_Vendas'!$I$4:$I$387, '03_Base_Vendas'!$A$4:$A$387, Y$33, '03_Base_Vendas'!$B$4:$B$387, "marketplace")/SUMIFS('03_Base_Vendas'!$I$4:$I$387, '03_Base_Vendas'!$A$4:$A$387, Y$33),0))</f>
        <v>8496.9651414174186</v>
      </c>
      <c r="Z41" s="43">
        <f t="shared" ref="Z41:Z49" si="15">SUM(B41:Y41)</f>
        <v>301818.05655365624</v>
      </c>
    </row>
    <row r="42" spans="1:26" x14ac:dyDescent="0.25">
      <c r="A42" s="41" t="s">
        <v>339</v>
      </c>
      <c r="B42" s="42">
        <f>(SUMIFS('04_Base_Despesas'!$D$4:$D$219, '04_Base_Despesas'!$A$4:$A$219, B$33, '04_Base_Despesas'!$B$4:$B$219, "aluguel"))*(IFERROR(SUMIFS('03_Base_Vendas'!$I$4:$I$387, '03_Base_Vendas'!$A$4:$A$387, B$33, '03_Base_Vendas'!$B$4:$B$387, "marketplace")/SUMIFS('03_Base_Vendas'!$I$4:$I$387, '03_Base_Vendas'!$A$4:$A$387, B$33),0))</f>
        <v>2444.724336144362</v>
      </c>
      <c r="C42" s="42">
        <f>(SUMIFS('04_Base_Despesas'!$D$4:$D$219, '04_Base_Despesas'!$A$4:$A$219, C$33, '04_Base_Despesas'!$B$4:$B$219, "aluguel"))*(IFERROR(SUMIFS('03_Base_Vendas'!$I$4:$I$387, '03_Base_Vendas'!$A$4:$A$387, C$33, '03_Base_Vendas'!$B$4:$B$387, "marketplace")/SUMIFS('03_Base_Vendas'!$I$4:$I$387, '03_Base_Vendas'!$A$4:$A$387, C$33),0))</f>
        <v>2318.6904575760859</v>
      </c>
      <c r="D42" s="42">
        <f>(SUMIFS('04_Base_Despesas'!$D$4:$D$219, '04_Base_Despesas'!$A$4:$A$219, D$33, '04_Base_Despesas'!$B$4:$B$219, "aluguel"))*(IFERROR(SUMIFS('03_Base_Vendas'!$I$4:$I$387, '03_Base_Vendas'!$A$4:$A$387, D$33, '03_Base_Vendas'!$B$4:$B$387, "marketplace")/SUMIFS('03_Base_Vendas'!$I$4:$I$387, '03_Base_Vendas'!$A$4:$A$387, D$33),0))</f>
        <v>2618.5587547287405</v>
      </c>
      <c r="E42" s="42">
        <f>(SUMIFS('04_Base_Despesas'!$D$4:$D$219, '04_Base_Despesas'!$A$4:$A$219, E$33, '04_Base_Despesas'!$B$4:$B$219, "aluguel"))*(IFERROR(SUMIFS('03_Base_Vendas'!$I$4:$I$387, '03_Base_Vendas'!$A$4:$A$387, E$33, '03_Base_Vendas'!$B$4:$B$387, "marketplace")/SUMIFS('03_Base_Vendas'!$I$4:$I$387, '03_Base_Vendas'!$A$4:$A$387, E$33),0))</f>
        <v>2342.2063658449779</v>
      </c>
      <c r="F42" s="42">
        <f>(SUMIFS('04_Base_Despesas'!$D$4:$D$219, '04_Base_Despesas'!$A$4:$A$219, F$33, '04_Base_Despesas'!$B$4:$B$219, "aluguel"))*(IFERROR(SUMIFS('03_Base_Vendas'!$I$4:$I$387, '03_Base_Vendas'!$A$4:$A$387, F$33, '03_Base_Vendas'!$B$4:$B$387, "marketplace")/SUMIFS('03_Base_Vendas'!$I$4:$I$387, '03_Base_Vendas'!$A$4:$A$387, F$33),0))</f>
        <v>2149.8463424109045</v>
      </c>
      <c r="G42" s="42">
        <f>(SUMIFS('04_Base_Despesas'!$D$4:$D$219, '04_Base_Despesas'!$A$4:$A$219, G$33, '04_Base_Despesas'!$B$4:$B$219, "aluguel"))*(IFERROR(SUMIFS('03_Base_Vendas'!$I$4:$I$387, '03_Base_Vendas'!$A$4:$A$387, G$33, '03_Base_Vendas'!$B$4:$B$387, "marketplace")/SUMIFS('03_Base_Vendas'!$I$4:$I$387, '03_Base_Vendas'!$A$4:$A$387, G$33),0))</f>
        <v>1991.6906617456868</v>
      </c>
      <c r="H42" s="42">
        <f>(SUMIFS('04_Base_Despesas'!$D$4:$D$219, '04_Base_Despesas'!$A$4:$A$219, H$33, '04_Base_Despesas'!$B$4:$B$219, "aluguel"))*(IFERROR(SUMIFS('03_Base_Vendas'!$I$4:$I$387, '03_Base_Vendas'!$A$4:$A$387, H$33, '03_Base_Vendas'!$B$4:$B$387, "marketplace")/SUMIFS('03_Base_Vendas'!$I$4:$I$387, '03_Base_Vendas'!$A$4:$A$387, H$33),0))</f>
        <v>2029.4386068185952</v>
      </c>
      <c r="I42" s="42">
        <f>(SUMIFS('04_Base_Despesas'!$D$4:$D$219, '04_Base_Despesas'!$A$4:$A$219, I$33, '04_Base_Despesas'!$B$4:$B$219, "aluguel"))*(IFERROR(SUMIFS('03_Base_Vendas'!$I$4:$I$387, '03_Base_Vendas'!$A$4:$A$387, I$33, '03_Base_Vendas'!$B$4:$B$387, "marketplace")/SUMIFS('03_Base_Vendas'!$I$4:$I$387, '03_Base_Vendas'!$A$4:$A$387, I$33),0))</f>
        <v>1901.182336212164</v>
      </c>
      <c r="J42" s="42">
        <f>(SUMIFS('04_Base_Despesas'!$D$4:$D$219, '04_Base_Despesas'!$A$4:$A$219, J$33, '04_Base_Despesas'!$B$4:$B$219, "aluguel"))*(IFERROR(SUMIFS('03_Base_Vendas'!$I$4:$I$387, '03_Base_Vendas'!$A$4:$A$387, J$33, '03_Base_Vendas'!$B$4:$B$387, "marketplace")/SUMIFS('03_Base_Vendas'!$I$4:$I$387, '03_Base_Vendas'!$A$4:$A$387, J$33),0))</f>
        <v>2190.4719825981219</v>
      </c>
      <c r="K42" s="42">
        <f>(SUMIFS('04_Base_Despesas'!$D$4:$D$219, '04_Base_Despesas'!$A$4:$A$219, K$33, '04_Base_Despesas'!$B$4:$B$219, "aluguel"))*(IFERROR(SUMIFS('03_Base_Vendas'!$I$4:$I$387, '03_Base_Vendas'!$A$4:$A$387, K$33, '03_Base_Vendas'!$B$4:$B$387, "marketplace")/SUMIFS('03_Base_Vendas'!$I$4:$I$387, '03_Base_Vendas'!$A$4:$A$387, K$33),0))</f>
        <v>2233.8544243617321</v>
      </c>
      <c r="L42" s="42">
        <f>(SUMIFS('04_Base_Despesas'!$D$4:$D$219, '04_Base_Despesas'!$A$4:$A$219, L$33, '04_Base_Despesas'!$B$4:$B$219, "aluguel"))*(IFERROR(SUMIFS('03_Base_Vendas'!$I$4:$I$387, '03_Base_Vendas'!$A$4:$A$387, L$33, '03_Base_Vendas'!$B$4:$B$387, "marketplace")/SUMIFS('03_Base_Vendas'!$I$4:$I$387, '03_Base_Vendas'!$A$4:$A$387, L$33),0))</f>
        <v>2479.6175329239591</v>
      </c>
      <c r="M42" s="42">
        <f>(SUMIFS('04_Base_Despesas'!$D$4:$D$219, '04_Base_Despesas'!$A$4:$A$219, M$33, '04_Base_Despesas'!$B$4:$B$219, "aluguel"))*(IFERROR(SUMIFS('03_Base_Vendas'!$I$4:$I$387, '03_Base_Vendas'!$A$4:$A$387, M$33, '03_Base_Vendas'!$B$4:$B$387, "marketplace")/SUMIFS('03_Base_Vendas'!$I$4:$I$387, '03_Base_Vendas'!$A$4:$A$387, M$33),0))</f>
        <v>2440.6786668826412</v>
      </c>
      <c r="N42" s="42">
        <f>(SUMIFS('04_Base_Despesas'!$D$4:$D$219, '04_Base_Despesas'!$A$4:$A$219, N$33, '04_Base_Despesas'!$B$4:$B$219, "aluguel"))*(IFERROR(SUMIFS('03_Base_Vendas'!$I$4:$I$387, '03_Base_Vendas'!$A$4:$A$387, N$33, '03_Base_Vendas'!$B$4:$B$387, "marketplace")/SUMIFS('03_Base_Vendas'!$I$4:$I$387, '03_Base_Vendas'!$A$4:$A$387, N$33),0))</f>
        <v>2588.6877146422462</v>
      </c>
      <c r="O42" s="42">
        <f>(SUMIFS('04_Base_Despesas'!$D$4:$D$219, '04_Base_Despesas'!$A$4:$A$219, O$33, '04_Base_Despesas'!$B$4:$B$219, "aluguel"))*(IFERROR(SUMIFS('03_Base_Vendas'!$I$4:$I$387, '03_Base_Vendas'!$A$4:$A$387, O$33, '03_Base_Vendas'!$B$4:$B$387, "marketplace")/SUMIFS('03_Base_Vendas'!$I$4:$I$387, '03_Base_Vendas'!$A$4:$A$387, O$33),0))</f>
        <v>2541.9926886554549</v>
      </c>
      <c r="P42" s="42">
        <f>(SUMIFS('04_Base_Despesas'!$D$4:$D$219, '04_Base_Despesas'!$A$4:$A$219, P$33, '04_Base_Despesas'!$B$4:$B$219, "aluguel"))*(IFERROR(SUMIFS('03_Base_Vendas'!$I$4:$I$387, '03_Base_Vendas'!$A$4:$A$387, P$33, '03_Base_Vendas'!$B$4:$B$387, "marketplace")/SUMIFS('03_Base_Vendas'!$I$4:$I$387, '03_Base_Vendas'!$A$4:$A$387, P$33),0))</f>
        <v>2420.0012888182605</v>
      </c>
      <c r="Q42" s="42">
        <f>(SUMIFS('04_Base_Despesas'!$D$4:$D$219, '04_Base_Despesas'!$A$4:$A$219, Q$33, '04_Base_Despesas'!$B$4:$B$219, "aluguel"))*(IFERROR(SUMIFS('03_Base_Vendas'!$I$4:$I$387, '03_Base_Vendas'!$A$4:$A$387, Q$33, '03_Base_Vendas'!$B$4:$B$387, "marketplace")/SUMIFS('03_Base_Vendas'!$I$4:$I$387, '03_Base_Vendas'!$A$4:$A$387, Q$33),0))</f>
        <v>2162.4098562979739</v>
      </c>
      <c r="R42" s="42">
        <f>(SUMIFS('04_Base_Despesas'!$D$4:$D$219, '04_Base_Despesas'!$A$4:$A$219, R$33, '04_Base_Despesas'!$B$4:$B$219, "aluguel"))*(IFERROR(SUMIFS('03_Base_Vendas'!$I$4:$I$387, '03_Base_Vendas'!$A$4:$A$387, R$33, '03_Base_Vendas'!$B$4:$B$387, "marketplace")/SUMIFS('03_Base_Vendas'!$I$4:$I$387, '03_Base_Vendas'!$A$4:$A$387, R$33),0))</f>
        <v>2742.2402125646149</v>
      </c>
      <c r="S42" s="42">
        <f>(SUMIFS('04_Base_Despesas'!$D$4:$D$219, '04_Base_Despesas'!$A$4:$A$219, S$33, '04_Base_Despesas'!$B$4:$B$219, "aluguel"))*(IFERROR(SUMIFS('03_Base_Vendas'!$I$4:$I$387, '03_Base_Vendas'!$A$4:$A$387, S$33, '03_Base_Vendas'!$B$4:$B$387, "marketplace")/SUMIFS('03_Base_Vendas'!$I$4:$I$387, '03_Base_Vendas'!$A$4:$A$387, S$33),0))</f>
        <v>2239.9238401531975</v>
      </c>
      <c r="T42" s="42">
        <f>(SUMIFS('04_Base_Despesas'!$D$4:$D$219, '04_Base_Despesas'!$A$4:$A$219, T$33, '04_Base_Despesas'!$B$4:$B$219, "aluguel"))*(IFERROR(SUMIFS('03_Base_Vendas'!$I$4:$I$387, '03_Base_Vendas'!$A$4:$A$387, T$33, '03_Base_Vendas'!$B$4:$B$387, "marketplace")/SUMIFS('03_Base_Vendas'!$I$4:$I$387, '03_Base_Vendas'!$A$4:$A$387, T$33),0))</f>
        <v>2676.6058422944243</v>
      </c>
      <c r="U42" s="42">
        <f>(SUMIFS('04_Base_Despesas'!$D$4:$D$219, '04_Base_Despesas'!$A$4:$A$219, U$33, '04_Base_Despesas'!$B$4:$B$219, "aluguel"))*(IFERROR(SUMIFS('03_Base_Vendas'!$I$4:$I$387, '03_Base_Vendas'!$A$4:$A$387, U$33, '03_Base_Vendas'!$B$4:$B$387, "marketplace")/SUMIFS('03_Base_Vendas'!$I$4:$I$387, '03_Base_Vendas'!$A$4:$A$387, U$33),0))</f>
        <v>2260.5393305858756</v>
      </c>
      <c r="V42" s="42">
        <f>(SUMIFS('04_Base_Despesas'!$D$4:$D$219, '04_Base_Despesas'!$A$4:$A$219, V$33, '04_Base_Despesas'!$B$4:$B$219, "aluguel"))*(IFERROR(SUMIFS('03_Base_Vendas'!$I$4:$I$387, '03_Base_Vendas'!$A$4:$A$387, V$33, '03_Base_Vendas'!$B$4:$B$387, "marketplace")/SUMIFS('03_Base_Vendas'!$I$4:$I$387, '03_Base_Vendas'!$A$4:$A$387, V$33),0))</f>
        <v>2485.0726886566777</v>
      </c>
      <c r="W42" s="42">
        <f>(SUMIFS('04_Base_Despesas'!$D$4:$D$219, '04_Base_Despesas'!$A$4:$A$219, W$33, '04_Base_Despesas'!$B$4:$B$219, "aluguel"))*(IFERROR(SUMIFS('03_Base_Vendas'!$I$4:$I$387, '03_Base_Vendas'!$A$4:$A$387, W$33, '03_Base_Vendas'!$B$4:$B$387, "marketplace")/SUMIFS('03_Base_Vendas'!$I$4:$I$387, '03_Base_Vendas'!$A$4:$A$387, W$33),0))</f>
        <v>2532.2790803396661</v>
      </c>
      <c r="X42" s="42">
        <f>(SUMIFS('04_Base_Despesas'!$D$4:$D$219, '04_Base_Despesas'!$A$4:$A$219, X$33, '04_Base_Despesas'!$B$4:$B$219, "aluguel"))*(IFERROR(SUMIFS('03_Base_Vendas'!$I$4:$I$387, '03_Base_Vendas'!$A$4:$A$387, X$33, '03_Base_Vendas'!$B$4:$B$387, "marketplace")/SUMIFS('03_Base_Vendas'!$I$4:$I$387, '03_Base_Vendas'!$A$4:$A$387, X$33),0))</f>
        <v>2480.3765834539554</v>
      </c>
      <c r="Y42" s="42">
        <f>(SUMIFS('04_Base_Despesas'!$D$4:$D$219, '04_Base_Despesas'!$A$4:$A$219, Y$33, '04_Base_Despesas'!$B$4:$B$219, "aluguel"))*(IFERROR(SUMIFS('03_Base_Vendas'!$I$4:$I$387, '03_Base_Vendas'!$A$4:$A$387, Y$33, '03_Base_Vendas'!$B$4:$B$387, "marketplace")/SUMIFS('03_Base_Vendas'!$I$4:$I$387, '03_Base_Vendas'!$A$4:$A$387, Y$33),0))</f>
        <v>1579.384226069079</v>
      </c>
      <c r="Z42" s="43">
        <f t="shared" si="15"/>
        <v>55850.473820779407</v>
      </c>
    </row>
    <row r="43" spans="1:26" x14ac:dyDescent="0.25">
      <c r="A43" s="41" t="s">
        <v>340</v>
      </c>
      <c r="B43" s="42">
        <f>(SUMIFS('04_Base_Despesas'!$D$4:$D$219, '04_Base_Despesas'!$A$4:$A$219, B$33, '04_Base_Despesas'!$B$4:$B$219, "marketing"))*(IFERROR(SUMIFS('03_Base_Vendas'!$I$4:$I$387, '03_Base_Vendas'!$A$4:$A$387, B$33, '03_Base_Vendas'!$B$4:$B$387, "marketplace")/SUMIFS('03_Base_Vendas'!$I$4:$I$387, '03_Base_Vendas'!$A$4:$A$387, B$33),0))</f>
        <v>4592.5745283766419</v>
      </c>
      <c r="C43" s="42">
        <f>(SUMIFS('04_Base_Despesas'!$D$4:$D$219, '04_Base_Despesas'!$A$4:$A$219, C$33, '04_Base_Despesas'!$B$4:$B$219, "marketing"))*(IFERROR(SUMIFS('03_Base_Vendas'!$I$4:$I$387, '03_Base_Vendas'!$A$4:$A$387, C$33, '03_Base_Vendas'!$B$4:$B$387, "marketplace")/SUMIFS('03_Base_Vendas'!$I$4:$I$387, '03_Base_Vendas'!$A$4:$A$387, C$33),0))</f>
        <v>2965.0510502567927</v>
      </c>
      <c r="D43" s="42">
        <f>(SUMIFS('04_Base_Despesas'!$D$4:$D$219, '04_Base_Despesas'!$A$4:$A$219, D$33, '04_Base_Despesas'!$B$4:$B$219, "marketing"))*(IFERROR(SUMIFS('03_Base_Vendas'!$I$4:$I$387, '03_Base_Vendas'!$A$4:$A$387, D$33, '03_Base_Vendas'!$B$4:$B$387, "marketplace")/SUMIFS('03_Base_Vendas'!$I$4:$I$387, '03_Base_Vendas'!$A$4:$A$387, D$33),0))</f>
        <v>3029.5567113604175</v>
      </c>
      <c r="E43" s="42">
        <f>(SUMIFS('04_Base_Despesas'!$D$4:$D$219, '04_Base_Despesas'!$A$4:$A$219, E$33, '04_Base_Despesas'!$B$4:$B$219, "marketing"))*(IFERROR(SUMIFS('03_Base_Vendas'!$I$4:$I$387, '03_Base_Vendas'!$A$4:$A$387, E$33, '03_Base_Vendas'!$B$4:$B$387, "marketplace")/SUMIFS('03_Base_Vendas'!$I$4:$I$387, '03_Base_Vendas'!$A$4:$A$387, E$33),0))</f>
        <v>3049.9693545152431</v>
      </c>
      <c r="F43" s="42">
        <f>(SUMIFS('04_Base_Despesas'!$D$4:$D$219, '04_Base_Despesas'!$A$4:$A$219, F$33, '04_Base_Despesas'!$B$4:$B$219, "marketing"))*(IFERROR(SUMIFS('03_Base_Vendas'!$I$4:$I$387, '03_Base_Vendas'!$A$4:$A$387, F$33, '03_Base_Vendas'!$B$4:$B$387, "marketplace")/SUMIFS('03_Base_Vendas'!$I$4:$I$387, '03_Base_Vendas'!$A$4:$A$387, F$33),0))</f>
        <v>3870.2982173617042</v>
      </c>
      <c r="G43" s="42">
        <f>(SUMIFS('04_Base_Despesas'!$D$4:$D$219, '04_Base_Despesas'!$A$4:$A$219, G$33, '04_Base_Despesas'!$B$4:$B$219, "marketing"))*(IFERROR(SUMIFS('03_Base_Vendas'!$I$4:$I$387, '03_Base_Vendas'!$A$4:$A$387, G$33, '03_Base_Vendas'!$B$4:$B$387, "marketplace")/SUMIFS('03_Base_Vendas'!$I$4:$I$387, '03_Base_Vendas'!$A$4:$A$387, G$33),0))</f>
        <v>3716.6603996198496</v>
      </c>
      <c r="H43" s="42">
        <f>(SUMIFS('04_Base_Despesas'!$D$4:$D$219, '04_Base_Despesas'!$A$4:$A$219, H$33, '04_Base_Despesas'!$B$4:$B$219, "marketing"))*(IFERROR(SUMIFS('03_Base_Vendas'!$I$4:$I$387, '03_Base_Vendas'!$A$4:$A$387, H$33, '03_Base_Vendas'!$B$4:$B$387, "marketplace")/SUMIFS('03_Base_Vendas'!$I$4:$I$387, '03_Base_Vendas'!$A$4:$A$387, H$33),0))</f>
        <v>2125.2473353209184</v>
      </c>
      <c r="I43" s="42">
        <f>(SUMIFS('04_Base_Despesas'!$D$4:$D$219, '04_Base_Despesas'!$A$4:$A$219, I$33, '04_Base_Despesas'!$B$4:$B$219, "marketing"))*(IFERROR(SUMIFS('03_Base_Vendas'!$I$4:$I$387, '03_Base_Vendas'!$A$4:$A$387, I$33, '03_Base_Vendas'!$B$4:$B$387, "marketplace")/SUMIFS('03_Base_Vendas'!$I$4:$I$387, '03_Base_Vendas'!$A$4:$A$387, I$33),0))</f>
        <v>2571.4911980910265</v>
      </c>
      <c r="J43" s="42">
        <f>(SUMIFS('04_Base_Despesas'!$D$4:$D$219, '04_Base_Despesas'!$A$4:$A$219, J$33, '04_Base_Despesas'!$B$4:$B$219, "marketing"))*(IFERROR(SUMIFS('03_Base_Vendas'!$I$4:$I$387, '03_Base_Vendas'!$A$4:$A$387, J$33, '03_Base_Vendas'!$B$4:$B$387, "marketplace")/SUMIFS('03_Base_Vendas'!$I$4:$I$387, '03_Base_Vendas'!$A$4:$A$387, J$33),0))</f>
        <v>3289.3072652285891</v>
      </c>
      <c r="K43" s="42">
        <f>(SUMIFS('04_Base_Despesas'!$D$4:$D$219, '04_Base_Despesas'!$A$4:$A$219, K$33, '04_Base_Despesas'!$B$4:$B$219, "marketing"))*(IFERROR(SUMIFS('03_Base_Vendas'!$I$4:$I$387, '03_Base_Vendas'!$A$4:$A$387, K$33, '03_Base_Vendas'!$B$4:$B$387, "marketplace")/SUMIFS('03_Base_Vendas'!$I$4:$I$387, '03_Base_Vendas'!$A$4:$A$387, K$33),0))</f>
        <v>3413.2872347619495</v>
      </c>
      <c r="L43" s="42">
        <f>(SUMIFS('04_Base_Despesas'!$D$4:$D$219, '04_Base_Despesas'!$A$4:$A$219, L$33, '04_Base_Despesas'!$B$4:$B$219, "marketing"))*(IFERROR(SUMIFS('03_Base_Vendas'!$I$4:$I$387, '03_Base_Vendas'!$A$4:$A$387, L$33, '03_Base_Vendas'!$B$4:$B$387, "marketplace")/SUMIFS('03_Base_Vendas'!$I$4:$I$387, '03_Base_Vendas'!$A$4:$A$387, L$33),0))</f>
        <v>4199.5089651209246</v>
      </c>
      <c r="M43" s="42">
        <f>(SUMIFS('04_Base_Despesas'!$D$4:$D$219, '04_Base_Despesas'!$A$4:$A$219, M$33, '04_Base_Despesas'!$B$4:$B$219, "marketing"))*(IFERROR(SUMIFS('03_Base_Vendas'!$I$4:$I$387, '03_Base_Vendas'!$A$4:$A$387, M$33, '03_Base_Vendas'!$B$4:$B$387, "marketplace")/SUMIFS('03_Base_Vendas'!$I$4:$I$387, '03_Base_Vendas'!$A$4:$A$387, M$33),0))</f>
        <v>4671.2277462238808</v>
      </c>
      <c r="N43" s="42">
        <f>(SUMIFS('04_Base_Despesas'!$D$4:$D$219, '04_Base_Despesas'!$A$4:$A$219, N$33, '04_Base_Despesas'!$B$4:$B$219, "marketing"))*(IFERROR(SUMIFS('03_Base_Vendas'!$I$4:$I$387, '03_Base_Vendas'!$A$4:$A$387, N$33, '03_Base_Vendas'!$B$4:$B$387, "marketplace")/SUMIFS('03_Base_Vendas'!$I$4:$I$387, '03_Base_Vendas'!$A$4:$A$387, N$33),0))</f>
        <v>4099.5260225844413</v>
      </c>
      <c r="O43" s="42">
        <f>(SUMIFS('04_Base_Despesas'!$D$4:$D$219, '04_Base_Despesas'!$A$4:$A$219, O$33, '04_Base_Despesas'!$B$4:$B$219, "marketing"))*(IFERROR(SUMIFS('03_Base_Vendas'!$I$4:$I$387, '03_Base_Vendas'!$A$4:$A$387, O$33, '03_Base_Vendas'!$B$4:$B$387, "marketplace")/SUMIFS('03_Base_Vendas'!$I$4:$I$387, '03_Base_Vendas'!$A$4:$A$387, O$33),0))</f>
        <v>3242.1136665284957</v>
      </c>
      <c r="P43" s="42">
        <f>(SUMIFS('04_Base_Despesas'!$D$4:$D$219, '04_Base_Despesas'!$A$4:$A$219, P$33, '04_Base_Despesas'!$B$4:$B$219, "marketing"))*(IFERROR(SUMIFS('03_Base_Vendas'!$I$4:$I$387, '03_Base_Vendas'!$A$4:$A$387, P$33, '03_Base_Vendas'!$B$4:$B$387, "marketplace")/SUMIFS('03_Base_Vendas'!$I$4:$I$387, '03_Base_Vendas'!$A$4:$A$387, P$33),0))</f>
        <v>4059.3203513428612</v>
      </c>
      <c r="Q43" s="42">
        <f>(SUMIFS('04_Base_Despesas'!$D$4:$D$219, '04_Base_Despesas'!$A$4:$A$219, Q$33, '04_Base_Despesas'!$B$4:$B$219, "marketing"))*(IFERROR(SUMIFS('03_Base_Vendas'!$I$4:$I$387, '03_Base_Vendas'!$A$4:$A$387, Q$33, '03_Base_Vendas'!$B$4:$B$387, "marketplace")/SUMIFS('03_Base_Vendas'!$I$4:$I$387, '03_Base_Vendas'!$A$4:$A$387, Q$33),0))</f>
        <v>2750.5648512229109</v>
      </c>
      <c r="R43" s="42">
        <f>(SUMIFS('04_Base_Despesas'!$D$4:$D$219, '04_Base_Despesas'!$A$4:$A$219, R$33, '04_Base_Despesas'!$B$4:$B$219, "marketing"))*(IFERROR(SUMIFS('03_Base_Vendas'!$I$4:$I$387, '03_Base_Vendas'!$A$4:$A$387, R$33, '03_Base_Vendas'!$B$4:$B$387, "marketplace")/SUMIFS('03_Base_Vendas'!$I$4:$I$387, '03_Base_Vendas'!$A$4:$A$387, R$33),0))</f>
        <v>6029.0598924165697</v>
      </c>
      <c r="S43" s="42">
        <f>(SUMIFS('04_Base_Despesas'!$D$4:$D$219, '04_Base_Despesas'!$A$4:$A$219, S$33, '04_Base_Despesas'!$B$4:$B$219, "marketing"))*(IFERROR(SUMIFS('03_Base_Vendas'!$I$4:$I$387, '03_Base_Vendas'!$A$4:$A$387, S$33, '03_Base_Vendas'!$B$4:$B$387, "marketplace")/SUMIFS('03_Base_Vendas'!$I$4:$I$387, '03_Base_Vendas'!$A$4:$A$387, S$33),0))</f>
        <v>3545.4066675516774</v>
      </c>
      <c r="T43" s="42">
        <f>(SUMIFS('04_Base_Despesas'!$D$4:$D$219, '04_Base_Despesas'!$A$4:$A$219, T$33, '04_Base_Despesas'!$B$4:$B$219, "marketing"))*(IFERROR(SUMIFS('03_Base_Vendas'!$I$4:$I$387, '03_Base_Vendas'!$A$4:$A$387, T$33, '03_Base_Vendas'!$B$4:$B$387, "marketplace")/SUMIFS('03_Base_Vendas'!$I$4:$I$387, '03_Base_Vendas'!$A$4:$A$387, T$33),0))</f>
        <v>3899.7345352837369</v>
      </c>
      <c r="U43" s="42">
        <f>(SUMIFS('04_Base_Despesas'!$D$4:$D$219, '04_Base_Despesas'!$A$4:$A$219, U$33, '04_Base_Despesas'!$B$4:$B$219, "marketing"))*(IFERROR(SUMIFS('03_Base_Vendas'!$I$4:$I$387, '03_Base_Vendas'!$A$4:$A$387, U$33, '03_Base_Vendas'!$B$4:$B$387, "marketplace")/SUMIFS('03_Base_Vendas'!$I$4:$I$387, '03_Base_Vendas'!$A$4:$A$387, U$33),0))</f>
        <v>3091.287534576185</v>
      </c>
      <c r="V43" s="42">
        <f>(SUMIFS('04_Base_Despesas'!$D$4:$D$219, '04_Base_Despesas'!$A$4:$A$219, V$33, '04_Base_Despesas'!$B$4:$B$219, "marketing"))*(IFERROR(SUMIFS('03_Base_Vendas'!$I$4:$I$387, '03_Base_Vendas'!$A$4:$A$387, V$33, '03_Base_Vendas'!$B$4:$B$387, "marketplace")/SUMIFS('03_Base_Vendas'!$I$4:$I$387, '03_Base_Vendas'!$A$4:$A$387, V$33),0))</f>
        <v>3090.5096398611099</v>
      </c>
      <c r="W43" s="42">
        <f>(SUMIFS('04_Base_Despesas'!$D$4:$D$219, '04_Base_Despesas'!$A$4:$A$219, W$33, '04_Base_Despesas'!$B$4:$B$219, "marketing"))*(IFERROR(SUMIFS('03_Base_Vendas'!$I$4:$I$387, '03_Base_Vendas'!$A$4:$A$387, W$33, '03_Base_Vendas'!$B$4:$B$387, "marketplace")/SUMIFS('03_Base_Vendas'!$I$4:$I$387, '03_Base_Vendas'!$A$4:$A$387, W$33),0))</f>
        <v>4036.0690138639866</v>
      </c>
      <c r="X43" s="42">
        <f>(SUMIFS('04_Base_Despesas'!$D$4:$D$219, '04_Base_Despesas'!$A$4:$A$219, X$33, '04_Base_Despesas'!$B$4:$B$219, "marketing"))*(IFERROR(SUMIFS('03_Base_Vendas'!$I$4:$I$387, '03_Base_Vendas'!$A$4:$A$387, X$33, '03_Base_Vendas'!$B$4:$B$387, "marketplace")/SUMIFS('03_Base_Vendas'!$I$4:$I$387, '03_Base_Vendas'!$A$4:$A$387, X$33),0))</f>
        <v>4472.8030417199707</v>
      </c>
      <c r="Y43" s="42">
        <f>(SUMIFS('04_Base_Despesas'!$D$4:$D$219, '04_Base_Despesas'!$A$4:$A$219, Y$33, '04_Base_Despesas'!$B$4:$B$219, "marketing"))*(IFERROR(SUMIFS('03_Base_Vendas'!$I$4:$I$387, '03_Base_Vendas'!$A$4:$A$387, Y$33, '03_Base_Vendas'!$B$4:$B$387, "marketplace")/SUMIFS('03_Base_Vendas'!$I$4:$I$387, '03_Base_Vendas'!$A$4:$A$387, Y$33),0))</f>
        <v>2349.2850130742358</v>
      </c>
      <c r="Z43" s="43">
        <f t="shared" si="15"/>
        <v>86159.86023626411</v>
      </c>
    </row>
    <row r="44" spans="1:26" x14ac:dyDescent="0.25">
      <c r="A44" s="41" t="s">
        <v>341</v>
      </c>
      <c r="B44" s="42">
        <f>(SUMIFS('04_Base_Despesas'!$D$4:$D$219, '04_Base_Despesas'!$A$4:$A$219, B$33, '04_Base_Despesas'!$B$4:$B$219, "logistica"))*(IFERROR(SUMIFS('03_Base_Vendas'!$I$4:$I$387, '03_Base_Vendas'!$A$4:$A$387, B$33, '03_Base_Vendas'!$B$4:$B$387, "marketplace")/SUMIFS('03_Base_Vendas'!$I$4:$I$387, '03_Base_Vendas'!$A$4:$A$387, B$33),0))</f>
        <v>2314.4952945381729</v>
      </c>
      <c r="C44" s="42">
        <f>(SUMIFS('04_Base_Despesas'!$D$4:$D$219, '04_Base_Despesas'!$A$4:$A$219, C$33, '04_Base_Despesas'!$B$4:$B$219, "logistica"))*(IFERROR(SUMIFS('03_Base_Vendas'!$I$4:$I$387, '03_Base_Vendas'!$A$4:$A$387, C$33, '03_Base_Vendas'!$B$4:$B$387, "marketplace")/SUMIFS('03_Base_Vendas'!$I$4:$I$387, '03_Base_Vendas'!$A$4:$A$387, C$33),0))</f>
        <v>2235.8473086170884</v>
      </c>
      <c r="D44" s="42">
        <f>(SUMIFS('04_Base_Despesas'!$D$4:$D$219, '04_Base_Despesas'!$A$4:$A$219, D$33, '04_Base_Despesas'!$B$4:$B$219, "logistica"))*(IFERROR(SUMIFS('03_Base_Vendas'!$I$4:$I$387, '03_Base_Vendas'!$A$4:$A$387, D$33, '03_Base_Vendas'!$B$4:$B$387, "marketplace")/SUMIFS('03_Base_Vendas'!$I$4:$I$387, '03_Base_Vendas'!$A$4:$A$387, D$33),0))</f>
        <v>2691.3464189772899</v>
      </c>
      <c r="E44" s="42">
        <f>(SUMIFS('04_Base_Despesas'!$D$4:$D$219, '04_Base_Despesas'!$A$4:$A$219, E$33, '04_Base_Despesas'!$B$4:$B$219, "logistica"))*(IFERROR(SUMIFS('03_Base_Vendas'!$I$4:$I$387, '03_Base_Vendas'!$A$4:$A$387, E$33, '03_Base_Vendas'!$B$4:$B$387, "marketplace")/SUMIFS('03_Base_Vendas'!$I$4:$I$387, '03_Base_Vendas'!$A$4:$A$387, E$33),0))</f>
        <v>2677.0481879061758</v>
      </c>
      <c r="F44" s="42">
        <f>(SUMIFS('04_Base_Despesas'!$D$4:$D$219, '04_Base_Despesas'!$A$4:$A$219, F$33, '04_Base_Despesas'!$B$4:$B$219, "logistica"))*(IFERROR(SUMIFS('03_Base_Vendas'!$I$4:$I$387, '03_Base_Vendas'!$A$4:$A$387, F$33, '03_Base_Vendas'!$B$4:$B$387, "marketplace")/SUMIFS('03_Base_Vendas'!$I$4:$I$387, '03_Base_Vendas'!$A$4:$A$387, F$33),0))</f>
        <v>2232.8801971432631</v>
      </c>
      <c r="G44" s="42">
        <f>(SUMIFS('04_Base_Despesas'!$D$4:$D$219, '04_Base_Despesas'!$A$4:$A$219, G$33, '04_Base_Despesas'!$B$4:$B$219, "logistica"))*(IFERROR(SUMIFS('03_Base_Vendas'!$I$4:$I$387, '03_Base_Vendas'!$A$4:$A$387, G$33, '03_Base_Vendas'!$B$4:$B$387, "marketplace")/SUMIFS('03_Base_Vendas'!$I$4:$I$387, '03_Base_Vendas'!$A$4:$A$387, G$33),0))</f>
        <v>1976.1617641335288</v>
      </c>
      <c r="H44" s="42">
        <f>(SUMIFS('04_Base_Despesas'!$D$4:$D$219, '04_Base_Despesas'!$A$4:$A$219, H$33, '04_Base_Despesas'!$B$4:$B$219, "logistica"))*(IFERROR(SUMIFS('03_Base_Vendas'!$I$4:$I$387, '03_Base_Vendas'!$A$4:$A$387, H$33, '03_Base_Vendas'!$B$4:$B$387, "marketplace")/SUMIFS('03_Base_Vendas'!$I$4:$I$387, '03_Base_Vendas'!$A$4:$A$387, H$33),0))</f>
        <v>2294.2312112316254</v>
      </c>
      <c r="I44" s="42">
        <f>(SUMIFS('04_Base_Despesas'!$D$4:$D$219, '04_Base_Despesas'!$A$4:$A$219, I$33, '04_Base_Despesas'!$B$4:$B$219, "logistica"))*(IFERROR(SUMIFS('03_Base_Vendas'!$I$4:$I$387, '03_Base_Vendas'!$A$4:$A$387, I$33, '03_Base_Vendas'!$B$4:$B$387, "marketplace")/SUMIFS('03_Base_Vendas'!$I$4:$I$387, '03_Base_Vendas'!$A$4:$A$387, I$33),0))</f>
        <v>2152.7968140538687</v>
      </c>
      <c r="J44" s="42">
        <f>(SUMIFS('04_Base_Despesas'!$D$4:$D$219, '04_Base_Despesas'!$A$4:$A$219, J$33, '04_Base_Despesas'!$B$4:$B$219, "logistica"))*(IFERROR(SUMIFS('03_Base_Vendas'!$I$4:$I$387, '03_Base_Vendas'!$A$4:$A$387, J$33, '03_Base_Vendas'!$B$4:$B$387, "marketplace")/SUMIFS('03_Base_Vendas'!$I$4:$I$387, '03_Base_Vendas'!$A$4:$A$387, J$33),0))</f>
        <v>2489.0609829460259</v>
      </c>
      <c r="K44" s="42">
        <f>(SUMIFS('04_Base_Despesas'!$D$4:$D$219, '04_Base_Despesas'!$A$4:$A$219, K$33, '04_Base_Despesas'!$B$4:$B$219, "logistica"))*(IFERROR(SUMIFS('03_Base_Vendas'!$I$4:$I$387, '03_Base_Vendas'!$A$4:$A$387, K$33, '03_Base_Vendas'!$B$4:$B$387, "marketplace")/SUMIFS('03_Base_Vendas'!$I$4:$I$387, '03_Base_Vendas'!$A$4:$A$387, K$33),0))</f>
        <v>2392.8931022477382</v>
      </c>
      <c r="L44" s="42">
        <f>(SUMIFS('04_Base_Despesas'!$D$4:$D$219, '04_Base_Despesas'!$A$4:$A$219, L$33, '04_Base_Despesas'!$B$4:$B$219, "logistica"))*(IFERROR(SUMIFS('03_Base_Vendas'!$I$4:$I$387, '03_Base_Vendas'!$A$4:$A$387, L$33, '03_Base_Vendas'!$B$4:$B$387, "marketplace")/SUMIFS('03_Base_Vendas'!$I$4:$I$387, '03_Base_Vendas'!$A$4:$A$387, L$33),0))</f>
        <v>2676.2590336559856</v>
      </c>
      <c r="M44" s="42">
        <f>(SUMIFS('04_Base_Despesas'!$D$4:$D$219, '04_Base_Despesas'!$A$4:$A$219, M$33, '04_Base_Despesas'!$B$4:$B$219, "logistica"))*(IFERROR(SUMIFS('03_Base_Vendas'!$I$4:$I$387, '03_Base_Vendas'!$A$4:$A$387, M$33, '03_Base_Vendas'!$B$4:$B$387, "marketplace")/SUMIFS('03_Base_Vendas'!$I$4:$I$387, '03_Base_Vendas'!$A$4:$A$387, M$33),0))</f>
        <v>2548.1044961216207</v>
      </c>
      <c r="N44" s="42">
        <f>(SUMIFS('04_Base_Despesas'!$D$4:$D$219, '04_Base_Despesas'!$A$4:$A$219, N$33, '04_Base_Despesas'!$B$4:$B$219, "logistica"))*(IFERROR(SUMIFS('03_Base_Vendas'!$I$4:$I$387, '03_Base_Vendas'!$A$4:$A$387, N$33, '03_Base_Vendas'!$B$4:$B$387, "marketplace")/SUMIFS('03_Base_Vendas'!$I$4:$I$387, '03_Base_Vendas'!$A$4:$A$387, N$33),0))</f>
        <v>2578.9733336019108</v>
      </c>
      <c r="O44" s="42">
        <f>(SUMIFS('04_Base_Despesas'!$D$4:$D$219, '04_Base_Despesas'!$A$4:$A$219, O$33, '04_Base_Despesas'!$B$4:$B$219, "logistica"))*(IFERROR(SUMIFS('03_Base_Vendas'!$I$4:$I$387, '03_Base_Vendas'!$A$4:$A$387, O$33, '03_Base_Vendas'!$B$4:$B$387, "marketplace")/SUMIFS('03_Base_Vendas'!$I$4:$I$387, '03_Base_Vendas'!$A$4:$A$387, O$33),0))</f>
        <v>2779.7332238074009</v>
      </c>
      <c r="P44" s="42">
        <f>(SUMIFS('04_Base_Despesas'!$D$4:$D$219, '04_Base_Despesas'!$A$4:$A$219, P$33, '04_Base_Despesas'!$B$4:$B$219, "logistica"))*(IFERROR(SUMIFS('03_Base_Vendas'!$I$4:$I$387, '03_Base_Vendas'!$A$4:$A$387, P$33, '03_Base_Vendas'!$B$4:$B$387, "marketplace")/SUMIFS('03_Base_Vendas'!$I$4:$I$387, '03_Base_Vendas'!$A$4:$A$387, P$33),0))</f>
        <v>2842.3373663730458</v>
      </c>
      <c r="Q44" s="42">
        <f>(SUMIFS('04_Base_Despesas'!$D$4:$D$219, '04_Base_Despesas'!$A$4:$A$219, Q$33, '04_Base_Despesas'!$B$4:$B$219, "logistica"))*(IFERROR(SUMIFS('03_Base_Vendas'!$I$4:$I$387, '03_Base_Vendas'!$A$4:$A$387, Q$33, '03_Base_Vendas'!$B$4:$B$387, "marketplace")/SUMIFS('03_Base_Vendas'!$I$4:$I$387, '03_Base_Vendas'!$A$4:$A$387, Q$33),0))</f>
        <v>2149.6265997159012</v>
      </c>
      <c r="R44" s="42">
        <f>(SUMIFS('04_Base_Despesas'!$D$4:$D$219, '04_Base_Despesas'!$A$4:$A$219, R$33, '04_Base_Despesas'!$B$4:$B$219, "logistica"))*(IFERROR(SUMIFS('03_Base_Vendas'!$I$4:$I$387, '03_Base_Vendas'!$A$4:$A$387, R$33, '03_Base_Vendas'!$B$4:$B$387, "marketplace")/SUMIFS('03_Base_Vendas'!$I$4:$I$387, '03_Base_Vendas'!$A$4:$A$387, R$33),0))</f>
        <v>3030.6745076444035</v>
      </c>
      <c r="S44" s="42">
        <f>(SUMIFS('04_Base_Despesas'!$D$4:$D$219, '04_Base_Despesas'!$A$4:$A$219, S$33, '04_Base_Despesas'!$B$4:$B$219, "logistica"))*(IFERROR(SUMIFS('03_Base_Vendas'!$I$4:$I$387, '03_Base_Vendas'!$A$4:$A$387, S$33, '03_Base_Vendas'!$B$4:$B$387, "marketplace")/SUMIFS('03_Base_Vendas'!$I$4:$I$387, '03_Base_Vendas'!$A$4:$A$387, S$33),0))</f>
        <v>2299.3831453549642</v>
      </c>
      <c r="T44" s="42">
        <f>(SUMIFS('04_Base_Despesas'!$D$4:$D$219, '04_Base_Despesas'!$A$4:$A$219, T$33, '04_Base_Despesas'!$B$4:$B$219, "logistica"))*(IFERROR(SUMIFS('03_Base_Vendas'!$I$4:$I$387, '03_Base_Vendas'!$A$4:$A$387, T$33, '03_Base_Vendas'!$B$4:$B$387, "marketplace")/SUMIFS('03_Base_Vendas'!$I$4:$I$387, '03_Base_Vendas'!$A$4:$A$387, T$33),0))</f>
        <v>2647.3660673559434</v>
      </c>
      <c r="U44" s="42">
        <f>(SUMIFS('04_Base_Despesas'!$D$4:$D$219, '04_Base_Despesas'!$A$4:$A$219, U$33, '04_Base_Despesas'!$B$4:$B$219, "logistica"))*(IFERROR(SUMIFS('03_Base_Vendas'!$I$4:$I$387, '03_Base_Vendas'!$A$4:$A$387, U$33, '03_Base_Vendas'!$B$4:$B$387, "marketplace")/SUMIFS('03_Base_Vendas'!$I$4:$I$387, '03_Base_Vendas'!$A$4:$A$387, U$33),0))</f>
        <v>2340.3101942896237</v>
      </c>
      <c r="V44" s="42">
        <f>(SUMIFS('04_Base_Despesas'!$D$4:$D$219, '04_Base_Despesas'!$A$4:$A$219, V$33, '04_Base_Despesas'!$B$4:$B$219, "logistica"))*(IFERROR(SUMIFS('03_Base_Vendas'!$I$4:$I$387, '03_Base_Vendas'!$A$4:$A$387, V$33, '03_Base_Vendas'!$B$4:$B$387, "marketplace")/SUMIFS('03_Base_Vendas'!$I$4:$I$387, '03_Base_Vendas'!$A$4:$A$387, V$33),0))</f>
        <v>2372.2765472515448</v>
      </c>
      <c r="W44" s="42">
        <f>(SUMIFS('04_Base_Despesas'!$D$4:$D$219, '04_Base_Despesas'!$A$4:$A$219, W$33, '04_Base_Despesas'!$B$4:$B$219, "logistica"))*(IFERROR(SUMIFS('03_Base_Vendas'!$I$4:$I$387, '03_Base_Vendas'!$A$4:$A$387, W$33, '03_Base_Vendas'!$B$4:$B$387, "marketplace")/SUMIFS('03_Base_Vendas'!$I$4:$I$387, '03_Base_Vendas'!$A$4:$A$387, W$33),0))</f>
        <v>2551.4684246547872</v>
      </c>
      <c r="X44" s="42">
        <f>(SUMIFS('04_Base_Despesas'!$D$4:$D$219, '04_Base_Despesas'!$A$4:$A$219, X$33, '04_Base_Despesas'!$B$4:$B$219, "logistica"))*(IFERROR(SUMIFS('03_Base_Vendas'!$I$4:$I$387, '03_Base_Vendas'!$A$4:$A$387, X$33, '03_Base_Vendas'!$B$4:$B$387, "marketplace")/SUMIFS('03_Base_Vendas'!$I$4:$I$387, '03_Base_Vendas'!$A$4:$A$387, X$33),0))</f>
        <v>2659.4937147746837</v>
      </c>
      <c r="Y44" s="42">
        <f>(SUMIFS('04_Base_Despesas'!$D$4:$D$219, '04_Base_Despesas'!$A$4:$A$219, Y$33, '04_Base_Despesas'!$B$4:$B$219, "logistica"))*(IFERROR(SUMIFS('03_Base_Vendas'!$I$4:$I$387, '03_Base_Vendas'!$A$4:$A$387, Y$33, '03_Base_Vendas'!$B$4:$B$387, "marketplace")/SUMIFS('03_Base_Vendas'!$I$4:$I$387, '03_Base_Vendas'!$A$4:$A$387, Y$33),0))</f>
        <v>1546.6594193520925</v>
      </c>
      <c r="Z44" s="43">
        <f t="shared" si="15"/>
        <v>58479.427355748681</v>
      </c>
    </row>
    <row r="45" spans="1:26" x14ac:dyDescent="0.25">
      <c r="A45" s="41" t="s">
        <v>342</v>
      </c>
      <c r="B45" s="42">
        <f>(SUMIFS('04_Base_Despesas'!$D$4:$D$219, '04_Base_Despesas'!$A$4:$A$219, B$33, '04_Base_Despesas'!$B$4:$B$219, "tecnologia"))*(IFERROR(SUMIFS('03_Base_Vendas'!$I$4:$I$387, '03_Base_Vendas'!$A$4:$A$387, B$33, '03_Base_Vendas'!$B$4:$B$387, "marketplace")/SUMIFS('03_Base_Vendas'!$I$4:$I$387, '03_Base_Vendas'!$A$4:$A$387, B$33),0))</f>
        <v>1728.0451445236583</v>
      </c>
      <c r="C45" s="42">
        <f>(SUMIFS('04_Base_Despesas'!$D$4:$D$219, '04_Base_Despesas'!$A$4:$A$219, C$33, '04_Base_Despesas'!$B$4:$B$219, "tecnologia"))*(IFERROR(SUMIFS('03_Base_Vendas'!$I$4:$I$387, '03_Base_Vendas'!$A$4:$A$387, C$33, '03_Base_Vendas'!$B$4:$B$387, "marketplace")/SUMIFS('03_Base_Vendas'!$I$4:$I$387, '03_Base_Vendas'!$A$4:$A$387, C$33),0))</f>
        <v>1615.0606513200469</v>
      </c>
      <c r="D45" s="42">
        <f>(SUMIFS('04_Base_Despesas'!$D$4:$D$219, '04_Base_Despesas'!$A$4:$A$219, D$33, '04_Base_Despesas'!$B$4:$B$219, "tecnologia"))*(IFERROR(SUMIFS('03_Base_Vendas'!$I$4:$I$387, '03_Base_Vendas'!$A$4:$A$387, D$33, '03_Base_Vendas'!$B$4:$B$387, "marketplace")/SUMIFS('03_Base_Vendas'!$I$4:$I$387, '03_Base_Vendas'!$A$4:$A$387, D$33),0))</f>
        <v>1833.8373362445411</v>
      </c>
      <c r="E45" s="42">
        <f>(SUMIFS('04_Base_Despesas'!$D$4:$D$219, '04_Base_Despesas'!$A$4:$A$219, E$33, '04_Base_Despesas'!$B$4:$B$219, "tecnologia"))*(IFERROR(SUMIFS('03_Base_Vendas'!$I$4:$I$387, '03_Base_Vendas'!$A$4:$A$387, E$33, '03_Base_Vendas'!$B$4:$B$387, "marketplace")/SUMIFS('03_Base_Vendas'!$I$4:$I$387, '03_Base_Vendas'!$A$4:$A$387, E$33),0))</f>
        <v>1624.4433887327471</v>
      </c>
      <c r="F45" s="42">
        <f>(SUMIFS('04_Base_Despesas'!$D$4:$D$219, '04_Base_Despesas'!$A$4:$A$219, F$33, '04_Base_Despesas'!$B$4:$B$219, "tecnologia"))*(IFERROR(SUMIFS('03_Base_Vendas'!$I$4:$I$387, '03_Base_Vendas'!$A$4:$A$387, F$33, '03_Base_Vendas'!$B$4:$B$387, "marketplace")/SUMIFS('03_Base_Vendas'!$I$4:$I$387, '03_Base_Vendas'!$A$4:$A$387, F$33),0))</f>
        <v>1491.3823526726931</v>
      </c>
      <c r="G45" s="42">
        <f>(SUMIFS('04_Base_Despesas'!$D$4:$D$219, '04_Base_Despesas'!$A$4:$A$219, G$33, '04_Base_Despesas'!$B$4:$B$219, "tecnologia"))*(IFERROR(SUMIFS('03_Base_Vendas'!$I$4:$I$387, '03_Base_Vendas'!$A$4:$A$387, G$33, '03_Base_Vendas'!$B$4:$B$387, "marketplace")/SUMIFS('03_Base_Vendas'!$I$4:$I$387, '03_Base_Vendas'!$A$4:$A$387, G$33),0))</f>
        <v>1404.7561958611213</v>
      </c>
      <c r="H45" s="42">
        <f>(SUMIFS('04_Base_Despesas'!$D$4:$D$219, '04_Base_Despesas'!$A$4:$A$219, H$33, '04_Base_Despesas'!$B$4:$B$219, "tecnologia"))*(IFERROR(SUMIFS('03_Base_Vendas'!$I$4:$I$387, '03_Base_Vendas'!$A$4:$A$387, H$33, '03_Base_Vendas'!$B$4:$B$387, "marketplace")/SUMIFS('03_Base_Vendas'!$I$4:$I$387, '03_Base_Vendas'!$A$4:$A$387, H$33),0))</f>
        <v>1415.114723027616</v>
      </c>
      <c r="I45" s="42">
        <f>(SUMIFS('04_Base_Despesas'!$D$4:$D$219, '04_Base_Despesas'!$A$4:$A$219, I$33, '04_Base_Despesas'!$B$4:$B$219, "tecnologia"))*(IFERROR(SUMIFS('03_Base_Vendas'!$I$4:$I$387, '03_Base_Vendas'!$A$4:$A$387, I$33, '03_Base_Vendas'!$B$4:$B$387, "marketplace")/SUMIFS('03_Base_Vendas'!$I$4:$I$387, '03_Base_Vendas'!$A$4:$A$387, I$33),0))</f>
        <v>1359.795650418695</v>
      </c>
      <c r="J45" s="42">
        <f>(SUMIFS('04_Base_Despesas'!$D$4:$D$219, '04_Base_Despesas'!$A$4:$A$219, J$33, '04_Base_Despesas'!$B$4:$B$219, "tecnologia"))*(IFERROR(SUMIFS('03_Base_Vendas'!$I$4:$I$387, '03_Base_Vendas'!$A$4:$A$387, J$33, '03_Base_Vendas'!$B$4:$B$387, "marketplace")/SUMIFS('03_Base_Vendas'!$I$4:$I$387, '03_Base_Vendas'!$A$4:$A$387, J$33),0))</f>
        <v>1563.780254136781</v>
      </c>
      <c r="K45" s="42">
        <f>(SUMIFS('04_Base_Despesas'!$D$4:$D$219, '04_Base_Despesas'!$A$4:$A$219, K$33, '04_Base_Despesas'!$B$4:$B$219, "tecnologia"))*(IFERROR(SUMIFS('03_Base_Vendas'!$I$4:$I$387, '03_Base_Vendas'!$A$4:$A$387, K$33, '03_Base_Vendas'!$B$4:$B$387, "marketplace")/SUMIFS('03_Base_Vendas'!$I$4:$I$387, '03_Base_Vendas'!$A$4:$A$387, K$33),0))</f>
        <v>1590.3820760086408</v>
      </c>
      <c r="L45" s="42">
        <f>(SUMIFS('04_Base_Despesas'!$D$4:$D$219, '04_Base_Despesas'!$A$4:$A$219, L$33, '04_Base_Despesas'!$B$4:$B$219, "tecnologia"))*(IFERROR(SUMIFS('03_Base_Vendas'!$I$4:$I$387, '03_Base_Vendas'!$A$4:$A$387, L$33, '03_Base_Vendas'!$B$4:$B$387, "marketplace")/SUMIFS('03_Base_Vendas'!$I$4:$I$387, '03_Base_Vendas'!$A$4:$A$387, L$33),0))</f>
        <v>1700.4695016048738</v>
      </c>
      <c r="M45" s="42">
        <f>(SUMIFS('04_Base_Despesas'!$D$4:$D$219, '04_Base_Despesas'!$A$4:$A$219, M$33, '04_Base_Despesas'!$B$4:$B$219, "tecnologia"))*(IFERROR(SUMIFS('03_Base_Vendas'!$I$4:$I$387, '03_Base_Vendas'!$A$4:$A$387, M$33, '03_Base_Vendas'!$B$4:$B$387, "marketplace")/SUMIFS('03_Base_Vendas'!$I$4:$I$387, '03_Base_Vendas'!$A$4:$A$387, M$33),0))</f>
        <v>1679.045620366122</v>
      </c>
      <c r="N45" s="42">
        <f>(SUMIFS('04_Base_Despesas'!$D$4:$D$219, '04_Base_Despesas'!$A$4:$A$219, N$33, '04_Base_Despesas'!$B$4:$B$219, "tecnologia"))*(IFERROR(SUMIFS('03_Base_Vendas'!$I$4:$I$387, '03_Base_Vendas'!$A$4:$A$387, N$33, '03_Base_Vendas'!$B$4:$B$387, "marketplace")/SUMIFS('03_Base_Vendas'!$I$4:$I$387, '03_Base_Vendas'!$A$4:$A$387, N$33),0))</f>
        <v>1776.8243281691832</v>
      </c>
      <c r="O45" s="42">
        <f>(SUMIFS('04_Base_Despesas'!$D$4:$D$219, '04_Base_Despesas'!$A$4:$A$219, O$33, '04_Base_Despesas'!$B$4:$B$219, "tecnologia"))*(IFERROR(SUMIFS('03_Base_Vendas'!$I$4:$I$387, '03_Base_Vendas'!$A$4:$A$387, O$33, '03_Base_Vendas'!$B$4:$B$387, "marketplace")/SUMIFS('03_Base_Vendas'!$I$4:$I$387, '03_Base_Vendas'!$A$4:$A$387, O$33),0))</f>
        <v>1789.1721886739208</v>
      </c>
      <c r="P45" s="42">
        <f>(SUMIFS('04_Base_Despesas'!$D$4:$D$219, '04_Base_Despesas'!$A$4:$A$219, P$33, '04_Base_Despesas'!$B$4:$B$219, "tecnologia"))*(IFERROR(SUMIFS('03_Base_Vendas'!$I$4:$I$387, '03_Base_Vendas'!$A$4:$A$387, P$33, '03_Base_Vendas'!$B$4:$B$387, "marketplace")/SUMIFS('03_Base_Vendas'!$I$4:$I$387, '03_Base_Vendas'!$A$4:$A$387, P$33),0))</f>
        <v>1711.475858847828</v>
      </c>
      <c r="Q45" s="42">
        <f>(SUMIFS('04_Base_Despesas'!$D$4:$D$219, '04_Base_Despesas'!$A$4:$A$219, Q$33, '04_Base_Despesas'!$B$4:$B$219, "tecnologia"))*(IFERROR(SUMIFS('03_Base_Vendas'!$I$4:$I$387, '03_Base_Vendas'!$A$4:$A$387, Q$33, '03_Base_Vendas'!$B$4:$B$387, "marketplace")/SUMIFS('03_Base_Vendas'!$I$4:$I$387, '03_Base_Vendas'!$A$4:$A$387, Q$33),0))</f>
        <v>1528.9785514239607</v>
      </c>
      <c r="R45" s="42">
        <f>(SUMIFS('04_Base_Despesas'!$D$4:$D$219, '04_Base_Despesas'!$A$4:$A$219, R$33, '04_Base_Despesas'!$B$4:$B$219, "tecnologia"))*(IFERROR(SUMIFS('03_Base_Vendas'!$I$4:$I$387, '03_Base_Vendas'!$A$4:$A$387, R$33, '03_Base_Vendas'!$B$4:$B$387, "marketplace")/SUMIFS('03_Base_Vendas'!$I$4:$I$387, '03_Base_Vendas'!$A$4:$A$387, R$33),0))</f>
        <v>1904.8879420911956</v>
      </c>
      <c r="S45" s="42">
        <f>(SUMIFS('04_Base_Despesas'!$D$4:$D$219, '04_Base_Despesas'!$A$4:$A$219, S$33, '04_Base_Despesas'!$B$4:$B$219, "tecnologia"))*(IFERROR(SUMIFS('03_Base_Vendas'!$I$4:$I$387, '03_Base_Vendas'!$A$4:$A$387, S$33, '03_Base_Vendas'!$B$4:$B$387, "marketplace")/SUMIFS('03_Base_Vendas'!$I$4:$I$387, '03_Base_Vendas'!$A$4:$A$387, S$33),0))</f>
        <v>1582.2263054477671</v>
      </c>
      <c r="T45" s="42">
        <f>(SUMIFS('04_Base_Despesas'!$D$4:$D$219, '04_Base_Despesas'!$A$4:$A$219, T$33, '04_Base_Despesas'!$B$4:$B$219, "tecnologia"))*(IFERROR(SUMIFS('03_Base_Vendas'!$I$4:$I$387, '03_Base_Vendas'!$A$4:$A$387, T$33, '03_Base_Vendas'!$B$4:$B$387, "marketplace")/SUMIFS('03_Base_Vendas'!$I$4:$I$387, '03_Base_Vendas'!$A$4:$A$387, T$33),0))</f>
        <v>1924.1253902352942</v>
      </c>
      <c r="U45" s="42">
        <f>(SUMIFS('04_Base_Despesas'!$D$4:$D$219, '04_Base_Despesas'!$A$4:$A$219, U$33, '04_Base_Despesas'!$B$4:$B$219, "tecnologia"))*(IFERROR(SUMIFS('03_Base_Vendas'!$I$4:$I$387, '03_Base_Vendas'!$A$4:$A$387, U$33, '03_Base_Vendas'!$B$4:$B$387, "marketplace")/SUMIFS('03_Base_Vendas'!$I$4:$I$387, '03_Base_Vendas'!$A$4:$A$387, U$33),0))</f>
        <v>1634.9100859378441</v>
      </c>
      <c r="V45" s="42">
        <f>(SUMIFS('04_Base_Despesas'!$D$4:$D$219, '04_Base_Despesas'!$A$4:$A$219, V$33, '04_Base_Despesas'!$B$4:$B$219, "tecnologia"))*(IFERROR(SUMIFS('03_Base_Vendas'!$I$4:$I$387, '03_Base_Vendas'!$A$4:$A$387, V$33, '03_Base_Vendas'!$B$4:$B$387, "marketplace")/SUMIFS('03_Base_Vendas'!$I$4:$I$387, '03_Base_Vendas'!$A$4:$A$387, V$33),0))</f>
        <v>1756.8626831686533</v>
      </c>
      <c r="W45" s="42">
        <f>(SUMIFS('04_Base_Despesas'!$D$4:$D$219, '04_Base_Despesas'!$A$4:$A$219, W$33, '04_Base_Despesas'!$B$4:$B$219, "tecnologia"))*(IFERROR(SUMIFS('03_Base_Vendas'!$I$4:$I$387, '03_Base_Vendas'!$A$4:$A$387, W$33, '03_Base_Vendas'!$B$4:$B$387, "marketplace")/SUMIFS('03_Base_Vendas'!$I$4:$I$387, '03_Base_Vendas'!$A$4:$A$387, W$33),0))</f>
        <v>1777.697232195419</v>
      </c>
      <c r="X45" s="42">
        <f>(SUMIFS('04_Base_Despesas'!$D$4:$D$219, '04_Base_Despesas'!$A$4:$A$219, X$33, '04_Base_Despesas'!$B$4:$B$219, "tecnologia"))*(IFERROR(SUMIFS('03_Base_Vendas'!$I$4:$I$387, '03_Base_Vendas'!$A$4:$A$387, X$33, '03_Base_Vendas'!$B$4:$B$387, "marketplace")/SUMIFS('03_Base_Vendas'!$I$4:$I$387, '03_Base_Vendas'!$A$4:$A$387, X$33),0))</f>
        <v>1762.848023546956</v>
      </c>
      <c r="Y45" s="42">
        <f>(SUMIFS('04_Base_Despesas'!$D$4:$D$219, '04_Base_Despesas'!$A$4:$A$219, Y$33, '04_Base_Despesas'!$B$4:$B$219, "tecnologia"))*(IFERROR(SUMIFS('03_Base_Vendas'!$I$4:$I$387, '03_Base_Vendas'!$A$4:$A$387, Y$33, '03_Base_Vendas'!$B$4:$B$387, "marketplace")/SUMIFS('03_Base_Vendas'!$I$4:$I$387, '03_Base_Vendas'!$A$4:$A$387, Y$33),0))</f>
        <v>0</v>
      </c>
      <c r="Z45" s="43">
        <f t="shared" si="15"/>
        <v>38156.121484655552</v>
      </c>
    </row>
    <row r="46" spans="1:26" x14ac:dyDescent="0.25">
      <c r="A46" s="41" t="s">
        <v>343</v>
      </c>
      <c r="B46" s="42">
        <f>(SUMIFS('04_Base_Despesas'!$D$4:$D$219, '04_Base_Despesas'!$A$4:$A$219, B$33, '04_Base_Despesas'!$B$4:$B$219, "administrativo"))*(IFERROR(SUMIFS('03_Base_Vendas'!$I$4:$I$387, '03_Base_Vendas'!$A$4:$A$387, B$33, '03_Base_Vendas'!$B$4:$B$387, "marketplace")/SUMIFS('03_Base_Vendas'!$I$4:$I$387, '03_Base_Vendas'!$A$4:$A$387, B$33),0))</f>
        <v>1057.42965769588</v>
      </c>
      <c r="C46" s="42">
        <f>(SUMIFS('04_Base_Despesas'!$D$4:$D$219, '04_Base_Despesas'!$A$4:$A$219, C$33, '04_Base_Despesas'!$B$4:$B$219, "administrativo"))*(IFERROR(SUMIFS('03_Base_Vendas'!$I$4:$I$387, '03_Base_Vendas'!$A$4:$A$387, C$33, '03_Base_Vendas'!$B$4:$B$387, "marketplace")/SUMIFS('03_Base_Vendas'!$I$4:$I$387, '03_Base_Vendas'!$A$4:$A$387, C$33),0))</f>
        <v>610.1816993621278</v>
      </c>
      <c r="D46" s="42">
        <f>(SUMIFS('04_Base_Despesas'!$D$4:$D$219, '04_Base_Despesas'!$A$4:$A$219, D$33, '04_Base_Despesas'!$B$4:$B$219, "administrativo"))*(IFERROR(SUMIFS('03_Base_Vendas'!$I$4:$I$387, '03_Base_Vendas'!$A$4:$A$387, D$33, '03_Base_Vendas'!$B$4:$B$387, "marketplace")/SUMIFS('03_Base_Vendas'!$I$4:$I$387, '03_Base_Vendas'!$A$4:$A$387, D$33),0))</f>
        <v>689.09440913914227</v>
      </c>
      <c r="E46" s="42">
        <f>(SUMIFS('04_Base_Despesas'!$D$4:$D$219, '04_Base_Despesas'!$A$4:$A$219, E$33, '04_Base_Despesas'!$B$4:$B$219, "administrativo"))*(IFERROR(SUMIFS('03_Base_Vendas'!$I$4:$I$387, '03_Base_Vendas'!$A$4:$A$387, E$33, '03_Base_Vendas'!$B$4:$B$387, "marketplace")/SUMIFS('03_Base_Vendas'!$I$4:$I$387, '03_Base_Vendas'!$A$4:$A$387, E$33),0))</f>
        <v>1123.588444940842</v>
      </c>
      <c r="F46" s="42">
        <f>(SUMIFS('04_Base_Despesas'!$D$4:$D$219, '04_Base_Despesas'!$A$4:$A$219, F$33, '04_Base_Despesas'!$B$4:$B$219, "administrativo"))*(IFERROR(SUMIFS('03_Base_Vendas'!$I$4:$I$387, '03_Base_Vendas'!$A$4:$A$387, F$33, '03_Base_Vendas'!$B$4:$B$387, "marketplace")/SUMIFS('03_Base_Vendas'!$I$4:$I$387, '03_Base_Vendas'!$A$4:$A$387, F$33),0))</f>
        <v>565.74903747655378</v>
      </c>
      <c r="G46" s="42">
        <f>(SUMIFS('04_Base_Despesas'!$D$4:$D$219, '04_Base_Despesas'!$A$4:$A$219, G$33, '04_Base_Despesas'!$B$4:$B$219, "administrativo"))*(IFERROR(SUMIFS('03_Base_Vendas'!$I$4:$I$387, '03_Base_Vendas'!$A$4:$A$387, G$33, '03_Base_Vendas'!$B$4:$B$387, "marketplace")/SUMIFS('03_Base_Vendas'!$I$4:$I$387, '03_Base_Vendas'!$A$4:$A$387, G$33),0))</f>
        <v>524.12912151202283</v>
      </c>
      <c r="H46" s="42">
        <f>(SUMIFS('04_Base_Despesas'!$D$4:$D$219, '04_Base_Despesas'!$A$4:$A$219, H$33, '04_Base_Despesas'!$B$4:$B$219, "administrativo"))*(IFERROR(SUMIFS('03_Base_Vendas'!$I$4:$I$387, '03_Base_Vendas'!$A$4:$A$387, H$33, '03_Base_Vendas'!$B$4:$B$387, "marketplace")/SUMIFS('03_Base_Vendas'!$I$4:$I$387, '03_Base_Vendas'!$A$4:$A$387, H$33),0))</f>
        <v>908.49421422608214</v>
      </c>
      <c r="I46" s="42">
        <f>(SUMIFS('04_Base_Despesas'!$D$4:$D$219, '04_Base_Despesas'!$A$4:$A$219, I$33, '04_Base_Despesas'!$B$4:$B$219, "administrativo"))*(IFERROR(SUMIFS('03_Base_Vendas'!$I$4:$I$387, '03_Base_Vendas'!$A$4:$A$387, I$33, '03_Base_Vendas'!$B$4:$B$387, "marketplace")/SUMIFS('03_Base_Vendas'!$I$4:$I$387, '03_Base_Vendas'!$A$4:$A$387, I$33),0))</f>
        <v>500.31114110846426</v>
      </c>
      <c r="J46" s="42">
        <f>(SUMIFS('04_Base_Despesas'!$D$4:$D$219, '04_Base_Despesas'!$A$4:$A$219, J$33, '04_Base_Despesas'!$B$4:$B$219, "administrativo"))*(IFERROR(SUMIFS('03_Base_Vendas'!$I$4:$I$387, '03_Base_Vendas'!$A$4:$A$387, J$33, '03_Base_Vendas'!$B$4:$B$387, "marketplace")/SUMIFS('03_Base_Vendas'!$I$4:$I$387, '03_Base_Vendas'!$A$4:$A$387, J$33),0))</f>
        <v>576.43768966057667</v>
      </c>
      <c r="K46" s="42">
        <f>(SUMIFS('04_Base_Despesas'!$D$4:$D$219, '04_Base_Despesas'!$A$4:$A$219, K$33, '04_Base_Despesas'!$B$4:$B$219, "administrativo"))*(IFERROR(SUMIFS('03_Base_Vendas'!$I$4:$I$387, '03_Base_Vendas'!$A$4:$A$387, K$33, '03_Base_Vendas'!$B$4:$B$387, "marketplace")/SUMIFS('03_Base_Vendas'!$I$4:$I$387, '03_Base_Vendas'!$A$4:$A$387, K$33),0))</f>
        <v>1066.9688215492984</v>
      </c>
      <c r="L46" s="42">
        <f>(SUMIFS('04_Base_Despesas'!$D$4:$D$219, '04_Base_Despesas'!$A$4:$A$219, L$33, '04_Base_Despesas'!$B$4:$B$219, "administrativo"))*(IFERROR(SUMIFS('03_Base_Vendas'!$I$4:$I$387, '03_Base_Vendas'!$A$4:$A$387, L$33, '03_Base_Vendas'!$B$4:$B$387, "marketplace")/SUMIFS('03_Base_Vendas'!$I$4:$I$387, '03_Base_Vendas'!$A$4:$A$387, L$33),0))</f>
        <v>652.53092971683134</v>
      </c>
      <c r="M46" s="42">
        <f>(SUMIFS('04_Base_Despesas'!$D$4:$D$219, '04_Base_Despesas'!$A$4:$A$219, M$33, '04_Base_Despesas'!$B$4:$B$219, "administrativo"))*(IFERROR(SUMIFS('03_Base_Vendas'!$I$4:$I$387, '03_Base_Vendas'!$A$4:$A$387, M$33, '03_Base_Vendas'!$B$4:$B$387, "marketplace")/SUMIFS('03_Base_Vendas'!$I$4:$I$387, '03_Base_Vendas'!$A$4:$A$387, M$33),0))</f>
        <v>642.28385970595821</v>
      </c>
      <c r="N46" s="42">
        <f>(SUMIFS('04_Base_Despesas'!$D$4:$D$219, '04_Base_Despesas'!$A$4:$A$219, N$33, '04_Base_Despesas'!$B$4:$B$219, "administrativo"))*(IFERROR(SUMIFS('03_Base_Vendas'!$I$4:$I$387, '03_Base_Vendas'!$A$4:$A$387, N$33, '03_Base_Vendas'!$B$4:$B$387, "marketplace")/SUMIFS('03_Base_Vendas'!$I$4:$I$387, '03_Base_Vendas'!$A$4:$A$387, N$33),0))</f>
        <v>1240.52237145347</v>
      </c>
      <c r="O46" s="42">
        <f>(SUMIFS('04_Base_Despesas'!$D$4:$D$219, '04_Base_Despesas'!$A$4:$A$219, O$33, '04_Base_Despesas'!$B$4:$B$219, "administrativo"))*(IFERROR(SUMIFS('03_Base_Vendas'!$I$4:$I$387, '03_Base_Vendas'!$A$4:$A$387, O$33, '03_Base_Vendas'!$B$4:$B$387, "marketplace")/SUMIFS('03_Base_Vendas'!$I$4:$I$387, '03_Base_Vendas'!$A$4:$A$387, O$33),0))</f>
        <v>668.94276860123693</v>
      </c>
      <c r="P46" s="42">
        <f>(SUMIFS('04_Base_Despesas'!$D$4:$D$219, '04_Base_Despesas'!$A$4:$A$219, P$33, '04_Base_Despesas'!$B$4:$B$219, "administrativo"))*(IFERROR(SUMIFS('03_Base_Vendas'!$I$4:$I$387, '03_Base_Vendas'!$A$4:$A$387, P$33, '03_Base_Vendas'!$B$4:$B$387, "marketplace")/SUMIFS('03_Base_Vendas'!$I$4:$I$387, '03_Base_Vendas'!$A$4:$A$387, P$33),0))</f>
        <v>636.84244442585805</v>
      </c>
      <c r="Q46" s="42">
        <f>(SUMIFS('04_Base_Despesas'!$D$4:$D$219, '04_Base_Despesas'!$A$4:$A$219, Q$33, '04_Base_Despesas'!$B$4:$B$219, "administrativo"))*(IFERROR(SUMIFS('03_Base_Vendas'!$I$4:$I$387, '03_Base_Vendas'!$A$4:$A$387, Q$33, '03_Base_Vendas'!$B$4:$B$387, "marketplace")/SUMIFS('03_Base_Vendas'!$I$4:$I$387, '03_Base_Vendas'!$A$4:$A$387, Q$33),0))</f>
        <v>1020.2659421776087</v>
      </c>
      <c r="R46" s="42">
        <f>(SUMIFS('04_Base_Despesas'!$D$4:$D$219, '04_Base_Despesas'!$A$4:$A$219, R$33, '04_Base_Despesas'!$B$4:$B$219, "administrativo"))*(IFERROR(SUMIFS('03_Base_Vendas'!$I$4:$I$387, '03_Base_Vendas'!$A$4:$A$387, R$33, '03_Base_Vendas'!$B$4:$B$387, "marketplace")/SUMIFS('03_Base_Vendas'!$I$4:$I$387, '03_Base_Vendas'!$A$4:$A$387, R$33),0))</f>
        <v>721.63851501308011</v>
      </c>
      <c r="S46" s="42">
        <f>(SUMIFS('04_Base_Despesas'!$D$4:$D$219, '04_Base_Despesas'!$A$4:$A$219, S$33, '04_Base_Despesas'!$B$4:$B$219, "administrativo"))*(IFERROR(SUMIFS('03_Base_Vendas'!$I$4:$I$387, '03_Base_Vendas'!$A$4:$A$387, S$33, '03_Base_Vendas'!$B$4:$B$387, "marketplace")/SUMIFS('03_Base_Vendas'!$I$4:$I$387, '03_Base_Vendas'!$A$4:$A$387, S$33),0))</f>
        <v>589.45066385662665</v>
      </c>
      <c r="T46" s="42">
        <f>(SUMIFS('04_Base_Despesas'!$D$4:$D$219, '04_Base_Despesas'!$A$4:$A$219, T$33, '04_Base_Despesas'!$B$4:$B$219, "administrativo"))*(IFERROR(SUMIFS('03_Base_Vendas'!$I$4:$I$387, '03_Base_Vendas'!$A$4:$A$387, T$33, '03_Base_Vendas'!$B$4:$B$387, "marketplace")/SUMIFS('03_Base_Vendas'!$I$4:$I$387, '03_Base_Vendas'!$A$4:$A$387, T$33),0))</f>
        <v>1173.3297893433651</v>
      </c>
      <c r="U46" s="42">
        <f>(SUMIFS('04_Base_Despesas'!$D$4:$D$219, '04_Base_Despesas'!$A$4:$A$219, U$33, '04_Base_Despesas'!$B$4:$B$219, "administrativo"))*(IFERROR(SUMIFS('03_Base_Vendas'!$I$4:$I$387, '03_Base_Vendas'!$A$4:$A$387, U$33, '03_Base_Vendas'!$B$4:$B$387, "marketplace")/SUMIFS('03_Base_Vendas'!$I$4:$I$387, '03_Base_Vendas'!$A$4:$A$387, U$33),0))</f>
        <v>594.87877120680935</v>
      </c>
      <c r="V46" s="42">
        <f>(SUMIFS('04_Base_Despesas'!$D$4:$D$219, '04_Base_Despesas'!$A$4:$A$219, V$33, '04_Base_Despesas'!$B$4:$B$219, "administrativo"))*(IFERROR(SUMIFS('03_Base_Vendas'!$I$4:$I$387, '03_Base_Vendas'!$A$4:$A$387, V$33, '03_Base_Vendas'!$B$4:$B$387, "marketplace")/SUMIFS('03_Base_Vendas'!$I$4:$I$387, '03_Base_Vendas'!$A$4:$A$387, V$33),0))</f>
        <v>653.96649701491515</v>
      </c>
      <c r="W46" s="42">
        <f>(SUMIFS('04_Base_Despesas'!$D$4:$D$219, '04_Base_Despesas'!$A$4:$A$219, W$33, '04_Base_Despesas'!$B$4:$B$219, "administrativo"))*(IFERROR(SUMIFS('03_Base_Vendas'!$I$4:$I$387, '03_Base_Vendas'!$A$4:$A$387, W$33, '03_Base_Vendas'!$B$4:$B$387, "marketplace")/SUMIFS('03_Base_Vendas'!$I$4:$I$387, '03_Base_Vendas'!$A$4:$A$387, W$33),0))</f>
        <v>1193.1992404283437</v>
      </c>
      <c r="X46" s="42">
        <f>(SUMIFS('04_Base_Despesas'!$D$4:$D$219, '04_Base_Despesas'!$A$4:$A$219, X$33, '04_Base_Despesas'!$B$4:$B$219, "administrativo"))*(IFERROR(SUMIFS('03_Base_Vendas'!$I$4:$I$387, '03_Base_Vendas'!$A$4:$A$387, X$33, '03_Base_Vendas'!$B$4:$B$387, "marketplace")/SUMIFS('03_Base_Vendas'!$I$4:$I$387, '03_Base_Vendas'!$A$4:$A$387, X$33),0))</f>
        <v>652.73067985630405</v>
      </c>
      <c r="Y46" s="42">
        <f>(SUMIFS('04_Base_Despesas'!$D$4:$D$219, '04_Base_Despesas'!$A$4:$A$219, Y$33, '04_Base_Despesas'!$B$4:$B$219, "administrativo"))*(IFERROR(SUMIFS('03_Base_Vendas'!$I$4:$I$387, '03_Base_Vendas'!$A$4:$A$387, Y$33, '03_Base_Vendas'!$B$4:$B$387, "marketplace")/SUMIFS('03_Base_Vendas'!$I$4:$I$387, '03_Base_Vendas'!$A$4:$A$387, Y$33),0))</f>
        <v>415.62699041082033</v>
      </c>
      <c r="Z46" s="43">
        <f t="shared" si="15"/>
        <v>18478.593699882218</v>
      </c>
    </row>
    <row r="47" spans="1:26" x14ac:dyDescent="0.25">
      <c r="A47" s="41" t="s">
        <v>344</v>
      </c>
      <c r="B47" s="42">
        <f>(SUMIFS('04_Base_Despesas'!$D$4:$D$219, '04_Base_Despesas'!$A$4:$A$219, B$33, '04_Base_Despesas'!$B$4:$B$219, "outros"))*(IFERROR(SUMIFS('03_Base_Vendas'!$I$4:$I$387, '03_Base_Vendas'!$A$4:$A$387, B$33, '03_Base_Vendas'!$B$4:$B$387, "marketplace")/SUMIFS('03_Base_Vendas'!$I$4:$I$387, '03_Base_Vendas'!$A$4:$A$387, B$33),0))</f>
        <v>203.66590996796134</v>
      </c>
      <c r="C47" s="42">
        <f>(SUMIFS('04_Base_Despesas'!$D$4:$D$219, '04_Base_Despesas'!$A$4:$A$219, C$33, '04_Base_Despesas'!$B$4:$B$219, "outros"))*(IFERROR(SUMIFS('03_Base_Vendas'!$I$4:$I$387, '03_Base_Vendas'!$A$4:$A$387, C$33, '03_Base_Vendas'!$B$4:$B$387, "marketplace")/SUMIFS('03_Base_Vendas'!$I$4:$I$387, '03_Base_Vendas'!$A$4:$A$387, C$33),0))</f>
        <v>214.45934151140835</v>
      </c>
      <c r="D47" s="42">
        <f>(SUMIFS('04_Base_Despesas'!$D$4:$D$219, '04_Base_Despesas'!$A$4:$A$219, D$33, '04_Base_Despesas'!$B$4:$B$219, "outros"))*(IFERROR(SUMIFS('03_Base_Vendas'!$I$4:$I$387, '03_Base_Vendas'!$A$4:$A$387, D$33, '03_Base_Vendas'!$B$4:$B$387, "marketplace")/SUMIFS('03_Base_Vendas'!$I$4:$I$387, '03_Base_Vendas'!$A$4:$A$387, D$33),0))</f>
        <v>238.37429438704862</v>
      </c>
      <c r="E47" s="42">
        <f>(SUMIFS('04_Base_Despesas'!$D$4:$D$219, '04_Base_Despesas'!$A$4:$A$219, E$33, '04_Base_Despesas'!$B$4:$B$219, "outros"))*(IFERROR(SUMIFS('03_Base_Vendas'!$I$4:$I$387, '03_Base_Vendas'!$A$4:$A$387, E$33, '03_Base_Vendas'!$B$4:$B$387, "marketplace")/SUMIFS('03_Base_Vendas'!$I$4:$I$387, '03_Base_Vendas'!$A$4:$A$387, E$33),0))</f>
        <v>169.76065191605886</v>
      </c>
      <c r="F47" s="42">
        <f>(SUMIFS('04_Base_Despesas'!$D$4:$D$219, '04_Base_Despesas'!$A$4:$A$219, F$33, '04_Base_Despesas'!$B$4:$B$219, "outros"))*(IFERROR(SUMIFS('03_Base_Vendas'!$I$4:$I$387, '03_Base_Vendas'!$A$4:$A$387, F$33, '03_Base_Vendas'!$B$4:$B$387, "marketplace")/SUMIFS('03_Base_Vendas'!$I$4:$I$387, '03_Base_Vendas'!$A$4:$A$387, F$33),0))</f>
        <v>175.09253811054367</v>
      </c>
      <c r="G47" s="42">
        <f>(SUMIFS('04_Base_Despesas'!$D$4:$D$219, '04_Base_Despesas'!$A$4:$A$219, G$33, '04_Base_Despesas'!$B$4:$B$219, "outros"))*(IFERROR(SUMIFS('03_Base_Vendas'!$I$4:$I$387, '03_Base_Vendas'!$A$4:$A$387, G$33, '03_Base_Vendas'!$B$4:$B$387, "marketplace")/SUMIFS('03_Base_Vendas'!$I$4:$I$387, '03_Base_Vendas'!$A$4:$A$387, G$33),0))</f>
        <v>161.60368377755898</v>
      </c>
      <c r="H47" s="42">
        <f>(SUMIFS('04_Base_Despesas'!$D$4:$D$219, '04_Base_Despesas'!$A$4:$A$219, H$33, '04_Base_Despesas'!$B$4:$B$219, "outros"))*(IFERROR(SUMIFS('03_Base_Vendas'!$I$4:$I$387, '03_Base_Vendas'!$A$4:$A$387, H$33, '03_Base_Vendas'!$B$4:$B$387, "marketplace")/SUMIFS('03_Base_Vendas'!$I$4:$I$387, '03_Base_Vendas'!$A$4:$A$387, H$33),0))</f>
        <v>210.32674470834905</v>
      </c>
      <c r="I47" s="42">
        <f>(SUMIFS('04_Base_Despesas'!$D$4:$D$219, '04_Base_Despesas'!$A$4:$A$219, I$33, '04_Base_Despesas'!$B$4:$B$219, "outros"))*(IFERROR(SUMIFS('03_Base_Vendas'!$I$4:$I$387, '03_Base_Vendas'!$A$4:$A$387, I$33, '03_Base_Vendas'!$B$4:$B$387, "marketplace")/SUMIFS('03_Base_Vendas'!$I$4:$I$387, '03_Base_Vendas'!$A$4:$A$387, I$33),0))</f>
        <v>174.87075128479484</v>
      </c>
      <c r="J47" s="42">
        <f>(SUMIFS('04_Base_Despesas'!$D$4:$D$219, '04_Base_Despesas'!$A$4:$A$219, J$33, '04_Base_Despesas'!$B$4:$B$219, "outros"))*(IFERROR(SUMIFS('03_Base_Vendas'!$I$4:$I$387, '03_Base_Vendas'!$A$4:$A$387, J$33, '03_Base_Vendas'!$B$4:$B$387, "marketplace")/SUMIFS('03_Base_Vendas'!$I$4:$I$387, '03_Base_Vendas'!$A$4:$A$387, J$33),0))</f>
        <v>242.17397087608498</v>
      </c>
      <c r="K47" s="42">
        <f>(SUMIFS('04_Base_Despesas'!$D$4:$D$219, '04_Base_Despesas'!$A$4:$A$219, K$33, '04_Base_Despesas'!$B$4:$B$219, "outros"))*(IFERROR(SUMIFS('03_Base_Vendas'!$I$4:$I$387, '03_Base_Vendas'!$A$4:$A$387, K$33, '03_Base_Vendas'!$B$4:$B$387, "marketplace")/SUMIFS('03_Base_Vendas'!$I$4:$I$387, '03_Base_Vendas'!$A$4:$A$387, K$33),0))</f>
        <v>266.19314748407356</v>
      </c>
      <c r="L47" s="42">
        <f>(SUMIFS('04_Base_Despesas'!$D$4:$D$219, '04_Base_Despesas'!$A$4:$A$219, L$33, '04_Base_Despesas'!$B$4:$B$219, "outros"))*(IFERROR(SUMIFS('03_Base_Vendas'!$I$4:$I$387, '03_Base_Vendas'!$A$4:$A$387, L$33, '03_Base_Vendas'!$B$4:$B$387, "marketplace")/SUMIFS('03_Base_Vendas'!$I$4:$I$387, '03_Base_Vendas'!$A$4:$A$387, L$33),0))</f>
        <v>208.06601224950884</v>
      </c>
      <c r="M47" s="42">
        <f>(SUMIFS('04_Base_Despesas'!$D$4:$D$219, '04_Base_Despesas'!$A$4:$A$219, M$33, '04_Base_Despesas'!$B$4:$B$219, "outros"))*(IFERROR(SUMIFS('03_Base_Vendas'!$I$4:$I$387, '03_Base_Vendas'!$A$4:$A$387, M$33, '03_Base_Vendas'!$B$4:$B$387, "marketplace")/SUMIFS('03_Base_Vendas'!$I$4:$I$387, '03_Base_Vendas'!$A$4:$A$387, M$33),0))</f>
        <v>197.0860869184927</v>
      </c>
      <c r="N47" s="42">
        <f>(SUMIFS('04_Base_Despesas'!$D$4:$D$219, '04_Base_Despesas'!$A$4:$A$219, N$33, '04_Base_Despesas'!$B$4:$B$219, "outros"))*(IFERROR(SUMIFS('03_Base_Vendas'!$I$4:$I$387, '03_Base_Vendas'!$A$4:$A$387, N$33, '03_Base_Vendas'!$B$4:$B$387, "marketplace")/SUMIFS('03_Base_Vendas'!$I$4:$I$387, '03_Base_Vendas'!$A$4:$A$387, N$33),0))</f>
        <v>160.754612929465</v>
      </c>
      <c r="O47" s="42">
        <f>(SUMIFS('04_Base_Despesas'!$D$4:$D$219, '04_Base_Despesas'!$A$4:$A$219, O$33, '04_Base_Despesas'!$B$4:$B$219, "outros"))*(IFERROR(SUMIFS('03_Base_Vendas'!$I$4:$I$387, '03_Base_Vendas'!$A$4:$A$387, O$33, '03_Base_Vendas'!$B$4:$B$387, "marketplace")/SUMIFS('03_Base_Vendas'!$I$4:$I$387, '03_Base_Vendas'!$A$4:$A$387, O$33),0))</f>
        <v>169.33952557289382</v>
      </c>
      <c r="P47" s="42">
        <f>(SUMIFS('04_Base_Despesas'!$D$4:$D$219, '04_Base_Despesas'!$A$4:$A$219, P$33, '04_Base_Despesas'!$B$4:$B$219, "outros"))*(IFERROR(SUMIFS('03_Base_Vendas'!$I$4:$I$387, '03_Base_Vendas'!$A$4:$A$387, P$33, '03_Base_Vendas'!$B$4:$B$387, "marketplace")/SUMIFS('03_Base_Vendas'!$I$4:$I$387, '03_Base_Vendas'!$A$4:$A$387, P$33),0))</f>
        <v>234.92098826958821</v>
      </c>
      <c r="Q47" s="42">
        <f>(SUMIFS('04_Base_Despesas'!$D$4:$D$219, '04_Base_Despesas'!$A$4:$A$219, Q$33, '04_Base_Despesas'!$B$4:$B$219, "outros"))*(IFERROR(SUMIFS('03_Base_Vendas'!$I$4:$I$387, '03_Base_Vendas'!$A$4:$A$387, Q$33, '03_Base_Vendas'!$B$4:$B$387, "marketplace")/SUMIFS('03_Base_Vendas'!$I$4:$I$387, '03_Base_Vendas'!$A$4:$A$387, Q$33),0))</f>
        <v>200.79455059312576</v>
      </c>
      <c r="R47" s="42">
        <f>(SUMIFS('04_Base_Despesas'!$D$4:$D$219, '04_Base_Despesas'!$A$4:$A$219, R$33, '04_Base_Despesas'!$B$4:$B$219, "outros"))*(IFERROR(SUMIFS('03_Base_Vendas'!$I$4:$I$387, '03_Base_Vendas'!$A$4:$A$387, R$33, '03_Base_Vendas'!$B$4:$B$387, "marketplace")/SUMIFS('03_Base_Vendas'!$I$4:$I$387, '03_Base_Vendas'!$A$4:$A$387, R$33),0))</f>
        <v>249.28957889255409</v>
      </c>
      <c r="S47" s="42">
        <f>(SUMIFS('04_Base_Despesas'!$D$4:$D$219, '04_Base_Despesas'!$A$4:$A$219, S$33, '04_Base_Despesas'!$B$4:$B$219, "outros"))*(IFERROR(SUMIFS('03_Base_Vendas'!$I$4:$I$387, '03_Base_Vendas'!$A$4:$A$387, S$33, '03_Base_Vendas'!$B$4:$B$387, "marketplace")/SUMIFS('03_Base_Vendas'!$I$4:$I$387, '03_Base_Vendas'!$A$4:$A$387, S$33),0))</f>
        <v>235.77177741913869</v>
      </c>
      <c r="T47" s="42">
        <f>(SUMIFS('04_Base_Despesas'!$D$4:$D$219, '04_Base_Despesas'!$A$4:$A$219, T$33, '04_Base_Despesas'!$B$4:$B$219, "outros"))*(IFERROR(SUMIFS('03_Base_Vendas'!$I$4:$I$387, '03_Base_Vendas'!$A$4:$A$387, T$33, '03_Base_Vendas'!$B$4:$B$387, "marketplace")/SUMIFS('03_Base_Vendas'!$I$4:$I$387, '03_Base_Vendas'!$A$4:$A$387, T$33),0))</f>
        <v>230.6132991414124</v>
      </c>
      <c r="U47" s="42">
        <f>(SUMIFS('04_Base_Despesas'!$D$4:$D$219, '04_Base_Despesas'!$A$4:$A$219, U$33, '04_Base_Despesas'!$B$4:$B$219, "outros"))*(IFERROR(SUMIFS('03_Base_Vendas'!$I$4:$I$387, '03_Base_Vendas'!$A$4:$A$387, U$33, '03_Base_Vendas'!$B$4:$B$387, "marketplace")/SUMIFS('03_Base_Vendas'!$I$4:$I$387, '03_Base_Vendas'!$A$4:$A$387, U$33),0))</f>
        <v>251.8026657915031</v>
      </c>
      <c r="V47" s="42">
        <f>(SUMIFS('04_Base_Despesas'!$D$4:$D$219, '04_Base_Despesas'!$A$4:$A$219, V$33, '04_Base_Despesas'!$B$4:$B$219, "outros"))*(IFERROR(SUMIFS('03_Base_Vendas'!$I$4:$I$387, '03_Base_Vendas'!$A$4:$A$387, V$33, '03_Base_Vendas'!$B$4:$B$387, "marketplace")/SUMIFS('03_Base_Vendas'!$I$4:$I$387, '03_Base_Vendas'!$A$4:$A$387, V$33),0))</f>
        <v>234.52284929350083</v>
      </c>
      <c r="W47" s="42">
        <f>(SUMIFS('04_Base_Despesas'!$D$4:$D$219, '04_Base_Despesas'!$A$4:$A$219, W$33, '04_Base_Despesas'!$B$4:$B$219, "outros"))*(IFERROR(SUMIFS('03_Base_Vendas'!$I$4:$I$387, '03_Base_Vendas'!$A$4:$A$387, W$33, '03_Base_Vendas'!$B$4:$B$387, "marketplace")/SUMIFS('03_Base_Vendas'!$I$4:$I$387, '03_Base_Vendas'!$A$4:$A$387, W$33),0))</f>
        <v>227.21473798656154</v>
      </c>
      <c r="X47" s="42">
        <f>(SUMIFS('04_Base_Despesas'!$D$4:$D$219, '04_Base_Despesas'!$A$4:$A$219, X$33, '04_Base_Despesas'!$B$4:$B$219, "outros"))*(IFERROR(SUMIFS('03_Base_Vendas'!$I$4:$I$387, '03_Base_Vendas'!$A$4:$A$387, X$33, '03_Base_Vendas'!$B$4:$B$387, "marketplace")/SUMIFS('03_Base_Vendas'!$I$4:$I$387, '03_Base_Vendas'!$A$4:$A$387, X$33),0))</f>
        <v>232.35384556980824</v>
      </c>
      <c r="Y47" s="42">
        <f>(SUMIFS('04_Base_Despesas'!$D$4:$D$219, '04_Base_Despesas'!$A$4:$A$219, Y$33, '04_Base_Despesas'!$B$4:$B$219, "outros"))*(IFERROR(SUMIFS('03_Base_Vendas'!$I$4:$I$387, '03_Base_Vendas'!$A$4:$A$387, Y$33, '03_Base_Vendas'!$B$4:$B$387, "marketplace")/SUMIFS('03_Base_Vendas'!$I$4:$I$387, '03_Base_Vendas'!$A$4:$A$387, Y$33),0))</f>
        <v>107.80865378868188</v>
      </c>
      <c r="Z47" s="43">
        <f t="shared" si="15"/>
        <v>4996.8602184401179</v>
      </c>
    </row>
    <row r="48" spans="1:26" x14ac:dyDescent="0.25">
      <c r="A48" s="44" t="s">
        <v>345</v>
      </c>
      <c r="B48" s="45">
        <f t="shared" ref="B48:Y48" si="16">B41+B42+B43+B44+B45+B46+B47</f>
        <v>25375.75640711121</v>
      </c>
      <c r="C48" s="45">
        <f t="shared" si="16"/>
        <v>22681.364156385742</v>
      </c>
      <c r="D48" s="45">
        <f t="shared" si="16"/>
        <v>24917.041918636067</v>
      </c>
      <c r="E48" s="45">
        <f t="shared" si="16"/>
        <v>23184.445589894611</v>
      </c>
      <c r="F48" s="45">
        <f t="shared" si="16"/>
        <v>22249.407014509321</v>
      </c>
      <c r="G48" s="45">
        <f t="shared" si="16"/>
        <v>20379.779720279534</v>
      </c>
      <c r="H48" s="45">
        <f t="shared" si="16"/>
        <v>20066.362618826144</v>
      </c>
      <c r="I48" s="45">
        <f t="shared" si="16"/>
        <v>19047.807740634726</v>
      </c>
      <c r="J48" s="45">
        <f t="shared" si="16"/>
        <v>22361.825213549811</v>
      </c>
      <c r="K48" s="45">
        <f t="shared" si="16"/>
        <v>23298.948803421728</v>
      </c>
      <c r="L48" s="45">
        <f t="shared" si="16"/>
        <v>25131.855510351965</v>
      </c>
      <c r="M48" s="45">
        <f t="shared" si="16"/>
        <v>25515.823347651571</v>
      </c>
      <c r="N48" s="45">
        <f t="shared" si="16"/>
        <v>26514.510634506736</v>
      </c>
      <c r="O48" s="45">
        <f t="shared" si="16"/>
        <v>25024.130597585568</v>
      </c>
      <c r="P48" s="45">
        <f t="shared" si="16"/>
        <v>25194.136680780255</v>
      </c>
      <c r="Q48" s="45">
        <f t="shared" si="16"/>
        <v>21632.181423400496</v>
      </c>
      <c r="R48" s="45">
        <f t="shared" si="16"/>
        <v>29759.371413649773</v>
      </c>
      <c r="S48" s="45">
        <f t="shared" si="16"/>
        <v>22380.68477822193</v>
      </c>
      <c r="T48" s="45">
        <f t="shared" si="16"/>
        <v>26763.655115175643</v>
      </c>
      <c r="U48" s="45">
        <f t="shared" si="16"/>
        <v>22356.910063610587</v>
      </c>
      <c r="V48" s="45">
        <f t="shared" si="16"/>
        <v>23996.063303349958</v>
      </c>
      <c r="W48" s="45">
        <f t="shared" si="16"/>
        <v>25973.951708342909</v>
      </c>
      <c r="X48" s="45">
        <f t="shared" si="16"/>
        <v>25637.650165437732</v>
      </c>
      <c r="Y48" s="45">
        <f t="shared" si="16"/>
        <v>14495.729444112327</v>
      </c>
      <c r="Z48" s="43">
        <f t="shared" si="15"/>
        <v>563939.39336942625</v>
      </c>
    </row>
    <row r="49" spans="1:26" x14ac:dyDescent="0.25">
      <c r="A49" s="44" t="s">
        <v>115</v>
      </c>
      <c r="B49" s="45">
        <f t="shared" ref="B49:Y49" si="17">B39-B48</f>
        <v>-9284.9964071112117</v>
      </c>
      <c r="C49" s="45">
        <f t="shared" si="17"/>
        <v>-10752.194156385736</v>
      </c>
      <c r="D49" s="45">
        <f t="shared" si="17"/>
        <v>-8113.7019186360667</v>
      </c>
      <c r="E49" s="45">
        <f t="shared" si="17"/>
        <v>-9945.5155898946105</v>
      </c>
      <c r="F49" s="45">
        <f t="shared" si="17"/>
        <v>-4712.0470145093277</v>
      </c>
      <c r="G49" s="45">
        <f t="shared" si="17"/>
        <v>-7340.6797202795351</v>
      </c>
      <c r="H49" s="45">
        <f t="shared" si="17"/>
        <v>-10208.042618826141</v>
      </c>
      <c r="I49" s="45">
        <f t="shared" si="17"/>
        <v>-9731.5277406347268</v>
      </c>
      <c r="J49" s="45">
        <f t="shared" si="17"/>
        <v>-10025.205213549809</v>
      </c>
      <c r="K49" s="45">
        <f t="shared" si="17"/>
        <v>-10461.398803421729</v>
      </c>
      <c r="L49" s="45">
        <f t="shared" si="17"/>
        <v>-6232.2955103519525</v>
      </c>
      <c r="M49" s="45">
        <f t="shared" si="17"/>
        <v>-5989.6233476515699</v>
      </c>
      <c r="N49" s="45">
        <f t="shared" si="17"/>
        <v>-8589.8506345067326</v>
      </c>
      <c r="O49" s="45">
        <f t="shared" si="17"/>
        <v>-10981.520597585575</v>
      </c>
      <c r="P49" s="45">
        <f t="shared" si="17"/>
        <v>-7891.1766807802524</v>
      </c>
      <c r="Q49" s="45">
        <f t="shared" si="17"/>
        <v>-8890.2814234004945</v>
      </c>
      <c r="R49" s="45">
        <f t="shared" si="17"/>
        <v>-7153.2814136497618</v>
      </c>
      <c r="S49" s="45">
        <f t="shared" si="17"/>
        <v>-6432.1147782219305</v>
      </c>
      <c r="T49" s="45">
        <f t="shared" si="17"/>
        <v>-11956.925115175647</v>
      </c>
      <c r="U49" s="45">
        <f t="shared" si="17"/>
        <v>-7810.520063610591</v>
      </c>
      <c r="V49" s="45">
        <f t="shared" si="17"/>
        <v>-9046.7333033499672</v>
      </c>
      <c r="W49" s="45">
        <f t="shared" si="17"/>
        <v>-8803.6517083429171</v>
      </c>
      <c r="X49" s="45">
        <f t="shared" si="17"/>
        <v>560.19983456226691</v>
      </c>
      <c r="Y49" s="45">
        <f t="shared" si="17"/>
        <v>-3670.8494441123294</v>
      </c>
      <c r="Z49" s="43">
        <f t="shared" si="15"/>
        <v>-193463.93336942638</v>
      </c>
    </row>
    <row r="50" spans="1:26" x14ac:dyDescent="0.25">
      <c r="A50" s="41" t="s">
        <v>346</v>
      </c>
      <c r="B50" s="46">
        <f t="shared" ref="B50:Y50" si="18">IFERROR(B49/B37,0)</f>
        <v>-0.24050301301336047</v>
      </c>
      <c r="C50" s="46">
        <f t="shared" si="18"/>
        <v>-0.35324126042253928</v>
      </c>
      <c r="D50" s="46">
        <f t="shared" si="18"/>
        <v>-0.19352896645524309</v>
      </c>
      <c r="E50" s="46">
        <f t="shared" si="18"/>
        <v>-0.28851498894430194</v>
      </c>
      <c r="F50" s="46">
        <f t="shared" si="18"/>
        <v>-0.10678291387335356</v>
      </c>
      <c r="G50" s="46">
        <f t="shared" si="18"/>
        <v>-0.20629993233425406</v>
      </c>
      <c r="H50" s="46">
        <f t="shared" si="18"/>
        <v>-0.36982673569585284</v>
      </c>
      <c r="I50" s="46">
        <f t="shared" si="18"/>
        <v>-0.3771180589736608</v>
      </c>
      <c r="J50" s="46">
        <f t="shared" si="18"/>
        <v>-0.32218345002562337</v>
      </c>
      <c r="K50" s="46">
        <f t="shared" si="18"/>
        <v>-0.29997711198006682</v>
      </c>
      <c r="L50" s="46">
        <f t="shared" si="18"/>
        <v>-0.11758812956480401</v>
      </c>
      <c r="M50" s="46">
        <f t="shared" si="18"/>
        <v>-0.11841927701674522</v>
      </c>
      <c r="N50" s="46">
        <f t="shared" si="18"/>
        <v>-0.17937349812817122</v>
      </c>
      <c r="O50" s="46">
        <f t="shared" si="18"/>
        <v>-0.28277729704359872</v>
      </c>
      <c r="P50" s="46">
        <f t="shared" si="18"/>
        <v>-0.18131099506237297</v>
      </c>
      <c r="Q50" s="46">
        <f t="shared" si="18"/>
        <v>-0.26951901393119065</v>
      </c>
      <c r="R50" s="46">
        <f t="shared" si="18"/>
        <v>-0.11856409682342205</v>
      </c>
      <c r="S50" s="46">
        <f t="shared" si="18"/>
        <v>-0.14778476787663894</v>
      </c>
      <c r="T50" s="46">
        <f t="shared" si="18"/>
        <v>-0.27609089409666193</v>
      </c>
      <c r="U50" s="46">
        <f t="shared" si="18"/>
        <v>-0.217185245945513</v>
      </c>
      <c r="V50" s="46">
        <f t="shared" si="18"/>
        <v>-0.22123593277158982</v>
      </c>
      <c r="W50" s="46">
        <f t="shared" si="18"/>
        <v>-0.19621615273065099</v>
      </c>
      <c r="X50" s="46">
        <f t="shared" si="18"/>
        <v>8.6403203329881578E-3</v>
      </c>
      <c r="Y50" s="46">
        <f t="shared" si="18"/>
        <v>-0.11365418434258311</v>
      </c>
      <c r="Z50" s="47">
        <f>IFERROR($Z$49/$Z$37,0)</f>
        <v>-0.19794123140314035</v>
      </c>
    </row>
    <row r="51" spans="1:26" x14ac:dyDescent="0.25">
      <c r="A51" s="41" t="s">
        <v>347</v>
      </c>
      <c r="B51" s="42">
        <f>(SUMIFS('04_Base_Despesas'!$D$4:$D$219, '04_Base_Despesas'!$A$4:$A$219, B$33, '04_Base_Despesas'!$B$4:$B$219, "depreciacao"))*(IFERROR(SUMIFS('03_Base_Vendas'!$I$4:$I$387, '03_Base_Vendas'!$A$4:$A$387, B$33, '03_Base_Vendas'!$B$4:$B$387, "marketplace")/SUMIFS('03_Base_Vendas'!$I$4:$I$387, '03_Base_Vendas'!$A$4:$A$387, B$33),0))</f>
        <v>566.14351903568888</v>
      </c>
      <c r="C51" s="42">
        <f>(SUMIFS('04_Base_Despesas'!$D$4:$D$219, '04_Base_Despesas'!$A$4:$A$219, C$33, '04_Base_Despesas'!$B$4:$B$219, "depreciacao"))*(IFERROR(SUMIFS('03_Base_Vendas'!$I$4:$I$387, '03_Base_Vendas'!$A$4:$A$387, C$33, '03_Base_Vendas'!$B$4:$B$387, "marketplace")/SUMIFS('03_Base_Vendas'!$I$4:$I$387, '03_Base_Vendas'!$A$4:$A$387, C$33),0))</f>
        <v>536.95989543867256</v>
      </c>
      <c r="D51" s="42">
        <f>(SUMIFS('04_Base_Despesas'!$D$4:$D$219, '04_Base_Despesas'!$A$4:$A$219, D$33, '04_Base_Despesas'!$B$4:$B$219, "depreciacao"))*(IFERROR(SUMIFS('03_Base_Vendas'!$I$4:$I$387, '03_Base_Vendas'!$A$4:$A$387, D$33, '03_Base_Vendas'!$B$4:$B$387, "marketplace")/SUMIFS('03_Base_Vendas'!$I$4:$I$387, '03_Base_Vendas'!$A$4:$A$387, D$33),0))</f>
        <v>606.40032366480852</v>
      </c>
      <c r="E51" s="42">
        <f>(SUMIFS('04_Base_Despesas'!$D$4:$D$219, '04_Base_Despesas'!$A$4:$A$219, E$33, '04_Base_Despesas'!$B$4:$B$219, "depreciacao"))*(IFERROR(SUMIFS('03_Base_Vendas'!$I$4:$I$387, '03_Base_Vendas'!$A$4:$A$387, E$33, '03_Base_Vendas'!$B$4:$B$387, "marketplace")/SUMIFS('03_Base_Vendas'!$I$4:$I$387, '03_Base_Vendas'!$A$4:$A$387, E$33),0))</f>
        <v>542.40321924160969</v>
      </c>
      <c r="F51" s="42">
        <f>(SUMIFS('04_Base_Despesas'!$D$4:$D$219, '04_Base_Despesas'!$A$4:$A$219, F$33, '04_Base_Despesas'!$B$4:$B$219, "depreciacao"))*(IFERROR(SUMIFS('03_Base_Vendas'!$I$4:$I$387, '03_Base_Vendas'!$A$4:$A$387, F$33, '03_Base_Vendas'!$B$4:$B$387, "marketplace")/SUMIFS('03_Base_Vendas'!$I$4:$I$387, '03_Base_Vendas'!$A$4:$A$387, F$33),0))</f>
        <v>497.85688998321734</v>
      </c>
      <c r="G51" s="42">
        <f>(SUMIFS('04_Base_Despesas'!$D$4:$D$219, '04_Base_Despesas'!$A$4:$A$219, G$33, '04_Base_Despesas'!$B$4:$B$219, "depreciacao"))*(IFERROR(SUMIFS('03_Base_Vendas'!$I$4:$I$387, '03_Base_Vendas'!$A$4:$A$387, G$33, '03_Base_Vendas'!$B$4:$B$387, "marketplace")/SUMIFS('03_Base_Vendas'!$I$4:$I$387, '03_Base_Vendas'!$A$4:$A$387, G$33),0))</f>
        <v>461.23153041409404</v>
      </c>
      <c r="H51" s="42">
        <f>(SUMIFS('04_Base_Despesas'!$D$4:$D$219, '04_Base_Despesas'!$A$4:$A$219, H$33, '04_Base_Despesas'!$B$4:$B$219, "depreciacao"))*(IFERROR(SUMIFS('03_Base_Vendas'!$I$4:$I$387, '03_Base_Vendas'!$A$4:$A$387, H$33, '03_Base_Vendas'!$B$4:$B$387, "marketplace")/SUMIFS('03_Base_Vendas'!$I$4:$I$387, '03_Base_Vendas'!$A$4:$A$387, H$33),0))</f>
        <v>469.97312006472009</v>
      </c>
      <c r="I51" s="42">
        <f>(SUMIFS('04_Base_Despesas'!$D$4:$D$219, '04_Base_Despesas'!$A$4:$A$219, I$33, '04_Base_Despesas'!$B$4:$B$219, "depreciacao"))*(IFERROR(SUMIFS('03_Base_Vendas'!$I$4:$I$387, '03_Base_Vendas'!$A$4:$A$387, I$33, '03_Base_Vendas'!$B$4:$B$387, "marketplace")/SUMIFS('03_Base_Vendas'!$I$4:$I$387, '03_Base_Vendas'!$A$4:$A$387, I$33),0))</f>
        <v>440.2738041754485</v>
      </c>
      <c r="J51" s="42">
        <f>(SUMIFS('04_Base_Despesas'!$D$4:$D$219, '04_Base_Despesas'!$A$4:$A$219, J$33, '04_Base_Despesas'!$B$4:$B$219, "depreciacao"))*(IFERROR(SUMIFS('03_Base_Vendas'!$I$4:$I$387, '03_Base_Vendas'!$A$4:$A$387, J$33, '03_Base_Vendas'!$B$4:$B$387, "marketplace")/SUMIFS('03_Base_Vendas'!$I$4:$I$387, '03_Base_Vendas'!$A$4:$A$387, J$33),0))</f>
        <v>507.26489021010963</v>
      </c>
      <c r="K51" s="42">
        <f>(SUMIFS('04_Base_Despesas'!$D$4:$D$219, '04_Base_Despesas'!$A$4:$A$219, K$33, '04_Base_Despesas'!$B$4:$B$219, "depreciacao"))*(IFERROR(SUMIFS('03_Base_Vendas'!$I$4:$I$387, '03_Base_Vendas'!$A$4:$A$387, K$33, '03_Base_Vendas'!$B$4:$B$387, "marketplace")/SUMIFS('03_Base_Vendas'!$I$4:$I$387, '03_Base_Vendas'!$A$4:$A$387, K$33),0))</f>
        <v>517.31365616798007</v>
      </c>
      <c r="L51" s="42">
        <f>(SUMIFS('04_Base_Despesas'!$D$4:$D$219, '04_Base_Despesas'!$A$4:$A$219, L$33, '04_Base_Despesas'!$B$4:$B$219, "depreciacao"))*(IFERROR(SUMIFS('03_Base_Vendas'!$I$4:$I$387, '03_Base_Vendas'!$A$4:$A$387, L$33, '03_Base_Vendas'!$B$4:$B$387, "marketplace")/SUMIFS('03_Base_Vendas'!$I$4:$I$387, '03_Base_Vendas'!$A$4:$A$387, L$33),0))</f>
        <v>574.22721815081161</v>
      </c>
      <c r="M51" s="42">
        <f>(SUMIFS('04_Base_Despesas'!$D$4:$D$219, '04_Base_Despesas'!$A$4:$A$219, M$33, '04_Base_Despesas'!$B$4:$B$219, "depreciacao"))*(IFERROR(SUMIFS('03_Base_Vendas'!$I$4:$I$387, '03_Base_Vendas'!$A$4:$A$387, M$33, '03_Base_Vendas'!$B$4:$B$387, "marketplace")/SUMIFS('03_Base_Vendas'!$I$4:$I$387, '03_Base_Vendas'!$A$4:$A$387, M$33),0))</f>
        <v>565.20979654124324</v>
      </c>
      <c r="N51" s="42">
        <f>(SUMIFS('04_Base_Despesas'!$D$4:$D$219, '04_Base_Despesas'!$A$4:$A$219, N$33, '04_Base_Despesas'!$B$4:$B$219, "depreciacao"))*(IFERROR(SUMIFS('03_Base_Vendas'!$I$4:$I$387, '03_Base_Vendas'!$A$4:$A$387, N$33, '03_Base_Vendas'!$B$4:$B$387, "marketplace")/SUMIFS('03_Base_Vendas'!$I$4:$I$387, '03_Base_Vendas'!$A$4:$A$387, N$33),0))</f>
        <v>599.4849449856307</v>
      </c>
      <c r="O51" s="42">
        <f>(SUMIFS('04_Base_Despesas'!$D$4:$D$219, '04_Base_Despesas'!$A$4:$A$219, O$33, '04_Base_Despesas'!$B$4:$B$219, "depreciacao"))*(IFERROR(SUMIFS('03_Base_Vendas'!$I$4:$I$387, '03_Base_Vendas'!$A$4:$A$387, O$33, '03_Base_Vendas'!$B$4:$B$387, "marketplace")/SUMIFS('03_Base_Vendas'!$I$4:$I$387, '03_Base_Vendas'!$A$4:$A$387, O$33),0))</f>
        <v>588.67199105705276</v>
      </c>
      <c r="P51" s="42">
        <f>(SUMIFS('04_Base_Despesas'!$D$4:$D$219, '04_Base_Despesas'!$A$4:$A$219, P$33, '04_Base_Despesas'!$B$4:$B$219, "depreciacao"))*(IFERROR(SUMIFS('03_Base_Vendas'!$I$4:$I$387, '03_Base_Vendas'!$A$4:$A$387, P$33, '03_Base_Vendas'!$B$4:$B$387, "marketplace")/SUMIFS('03_Base_Vendas'!$I$4:$I$387, '03_Base_Vendas'!$A$4:$A$387, P$33),0))</f>
        <v>560.4213510947551</v>
      </c>
      <c r="Q51" s="42">
        <f>(SUMIFS('04_Base_Despesas'!$D$4:$D$219, '04_Base_Despesas'!$A$4:$A$219, Q$33, '04_Base_Despesas'!$B$4:$B$219, "depreciacao"))*(IFERROR(SUMIFS('03_Base_Vendas'!$I$4:$I$387, '03_Base_Vendas'!$A$4:$A$387, Q$33, '03_Base_Vendas'!$B$4:$B$387, "marketplace")/SUMIFS('03_Base_Vendas'!$I$4:$I$387, '03_Base_Vendas'!$A$4:$A$387, Q$33),0))</f>
        <v>500.76859830058345</v>
      </c>
      <c r="R51" s="42">
        <f>(SUMIFS('04_Base_Despesas'!$D$4:$D$219, '04_Base_Despesas'!$A$4:$A$219, R$33, '04_Base_Despesas'!$B$4:$B$219, "depreciacao"))*(IFERROR(SUMIFS('03_Base_Vendas'!$I$4:$I$387, '03_Base_Vendas'!$A$4:$A$387, R$33, '03_Base_Vendas'!$B$4:$B$387, "marketplace")/SUMIFS('03_Base_Vendas'!$I$4:$I$387, '03_Base_Vendas'!$A$4:$A$387, R$33),0))</f>
        <v>635.04154682363776</v>
      </c>
      <c r="S51" s="42">
        <f>(SUMIFS('04_Base_Despesas'!$D$4:$D$219, '04_Base_Despesas'!$A$4:$A$219, S$33, '04_Base_Despesas'!$B$4:$B$219, "depreciacao"))*(IFERROR(SUMIFS('03_Base_Vendas'!$I$4:$I$387, '03_Base_Vendas'!$A$4:$A$387, S$33, '03_Base_Vendas'!$B$4:$B$387, "marketplace")/SUMIFS('03_Base_Vendas'!$I$4:$I$387, '03_Base_Vendas'!$A$4:$A$387, S$33),0))</f>
        <v>518.71865906846779</v>
      </c>
      <c r="T51" s="42">
        <f>(SUMIFS('04_Base_Despesas'!$D$4:$D$219, '04_Base_Despesas'!$A$4:$A$219, T$33, '04_Base_Despesas'!$B$4:$B$219, "depreciacao"))*(IFERROR(SUMIFS('03_Base_Vendas'!$I$4:$I$387, '03_Base_Vendas'!$A$4:$A$387, T$33, '03_Base_Vendas'!$B$4:$B$387, "marketplace")/SUMIFS('03_Base_Vendas'!$I$4:$I$387, '03_Base_Vendas'!$A$4:$A$387, T$33),0))</f>
        <v>619.84491101038134</v>
      </c>
      <c r="U51" s="42">
        <f>(SUMIFS('04_Base_Despesas'!$D$4:$D$219, '04_Base_Despesas'!$A$4:$A$219, U$33, '04_Base_Despesas'!$B$4:$B$219, "depreciacao"))*(IFERROR(SUMIFS('03_Base_Vendas'!$I$4:$I$387, '03_Base_Vendas'!$A$4:$A$387, U$33, '03_Base_Vendas'!$B$4:$B$387, "marketplace")/SUMIFS('03_Base_Vendas'!$I$4:$I$387, '03_Base_Vendas'!$A$4:$A$387, U$33),0))</f>
        <v>523.49331866199225</v>
      </c>
      <c r="V51" s="42">
        <f>(SUMIFS('04_Base_Despesas'!$D$4:$D$219, '04_Base_Despesas'!$A$4:$A$219, V$33, '04_Base_Despesas'!$B$4:$B$219, "depreciacao"))*(IFERROR(SUMIFS('03_Base_Vendas'!$I$4:$I$387, '03_Base_Vendas'!$A$4:$A$387, V$33, '03_Base_Vendas'!$B$4:$B$387, "marketplace")/SUMIFS('03_Base_Vendas'!$I$4:$I$387, '03_Base_Vendas'!$A$4:$A$387, V$33),0))</f>
        <v>575.49051737312539</v>
      </c>
      <c r="W51" s="42">
        <f>(SUMIFS('04_Base_Despesas'!$D$4:$D$219, '04_Base_Despesas'!$A$4:$A$219, W$33, '04_Base_Despesas'!$B$4:$B$219, "depreciacao"))*(IFERROR(SUMIFS('03_Base_Vendas'!$I$4:$I$387, '03_Base_Vendas'!$A$4:$A$387, W$33, '03_Base_Vendas'!$B$4:$B$387, "marketplace")/SUMIFS('03_Base_Vendas'!$I$4:$I$387, '03_Base_Vendas'!$A$4:$A$387, W$33),0))</f>
        <v>586.41985831120644</v>
      </c>
      <c r="X51" s="42">
        <f>(SUMIFS('04_Base_Despesas'!$D$4:$D$219, '04_Base_Despesas'!$A$4:$A$219, X$33, '04_Base_Despesas'!$B$4:$B$219, "depreciacao"))*(IFERROR(SUMIFS('03_Base_Vendas'!$I$4:$I$387, '03_Base_Vendas'!$A$4:$A$387, X$33, '03_Base_Vendas'!$B$4:$B$387, "marketplace")/SUMIFS('03_Base_Vendas'!$I$4:$I$387, '03_Base_Vendas'!$A$4:$A$387, X$33),0))</f>
        <v>574.4029982735475</v>
      </c>
      <c r="Y51" s="42">
        <f>(SUMIFS('04_Base_Despesas'!$D$4:$D$219, '04_Base_Despesas'!$A$4:$A$219, Y$33, '04_Base_Despesas'!$B$4:$B$219, "depreciacao"))*(IFERROR(SUMIFS('03_Base_Vendas'!$I$4:$I$387, '03_Base_Vendas'!$A$4:$A$387, Y$33, '03_Base_Vendas'!$B$4:$B$387, "marketplace")/SUMIFS('03_Base_Vendas'!$I$4:$I$387, '03_Base_Vendas'!$A$4:$A$387, Y$33),0))</f>
        <v>365.75175156152193</v>
      </c>
      <c r="Z51" s="43">
        <f>SUM(B51:Y51)</f>
        <v>12933.768309610308</v>
      </c>
    </row>
    <row r="52" spans="1:26" x14ac:dyDescent="0.25">
      <c r="A52" s="44" t="s">
        <v>117</v>
      </c>
      <c r="B52" s="45">
        <f t="shared" ref="B52:Y52" si="19">B49-B51</f>
        <v>-9851.1399261469014</v>
      </c>
      <c r="C52" s="45">
        <f t="shared" si="19"/>
        <v>-11289.154051824409</v>
      </c>
      <c r="D52" s="45">
        <f t="shared" si="19"/>
        <v>-8720.1022423008744</v>
      </c>
      <c r="E52" s="45">
        <f t="shared" si="19"/>
        <v>-10487.918809136219</v>
      </c>
      <c r="F52" s="45">
        <f t="shared" si="19"/>
        <v>-5209.9039044925448</v>
      </c>
      <c r="G52" s="45">
        <f t="shared" si="19"/>
        <v>-7801.911250693629</v>
      </c>
      <c r="H52" s="45">
        <f t="shared" si="19"/>
        <v>-10678.015738890861</v>
      </c>
      <c r="I52" s="45">
        <f t="shared" si="19"/>
        <v>-10171.801544810176</v>
      </c>
      <c r="J52" s="45">
        <f t="shared" si="19"/>
        <v>-10532.470103759919</v>
      </c>
      <c r="K52" s="45">
        <f t="shared" si="19"/>
        <v>-10978.712459589709</v>
      </c>
      <c r="L52" s="45">
        <f t="shared" si="19"/>
        <v>-6806.522728502764</v>
      </c>
      <c r="M52" s="45">
        <f t="shared" si="19"/>
        <v>-6554.8331441928131</v>
      </c>
      <c r="N52" s="45">
        <f t="shared" si="19"/>
        <v>-9189.3355794923627</v>
      </c>
      <c r="O52" s="45">
        <f t="shared" si="19"/>
        <v>-11570.192588642629</v>
      </c>
      <c r="P52" s="45">
        <f t="shared" si="19"/>
        <v>-8451.598031875008</v>
      </c>
      <c r="Q52" s="45">
        <f t="shared" si="19"/>
        <v>-9391.0500217010776</v>
      </c>
      <c r="R52" s="45">
        <f t="shared" si="19"/>
        <v>-7788.3229604733997</v>
      </c>
      <c r="S52" s="45">
        <f t="shared" si="19"/>
        <v>-6950.8334372903983</v>
      </c>
      <c r="T52" s="45">
        <f t="shared" si="19"/>
        <v>-12576.770026186028</v>
      </c>
      <c r="U52" s="45">
        <f t="shared" si="19"/>
        <v>-8334.0133822725838</v>
      </c>
      <c r="V52" s="45">
        <f t="shared" si="19"/>
        <v>-9622.223820723093</v>
      </c>
      <c r="W52" s="45">
        <f t="shared" si="19"/>
        <v>-9390.0715666541237</v>
      </c>
      <c r="X52" s="45">
        <f t="shared" si="19"/>
        <v>-14.203163711280581</v>
      </c>
      <c r="Y52" s="45">
        <f t="shared" si="19"/>
        <v>-4036.6011956738512</v>
      </c>
      <c r="Z52" s="43">
        <f>SUM(B52:Y52)</f>
        <v>-206397.70167903666</v>
      </c>
    </row>
    <row r="53" spans="1:26" x14ac:dyDescent="0.25">
      <c r="A53" s="41" t="s">
        <v>348</v>
      </c>
      <c r="B53" s="42">
        <f>(SUMIFS('04_Base_Despesas'!$D$4:$D$219, '04_Base_Despesas'!$A$4:$A$219, B$33, '04_Base_Despesas'!$B$4:$B$219, "financeiro"))*(IFERROR(SUMIFS('03_Base_Vendas'!$I$4:$I$387, '03_Base_Vendas'!$A$4:$A$387, B$33, '03_Base_Vendas'!$B$4:$B$387, "marketplace")/SUMIFS('03_Base_Vendas'!$I$4:$I$387, '03_Base_Vendas'!$A$4:$A$387, B$33),0))</f>
        <v>351.38114565615803</v>
      </c>
      <c r="C53" s="42">
        <f>(SUMIFS('04_Base_Despesas'!$D$4:$D$219, '04_Base_Despesas'!$A$4:$A$219, C$33, '04_Base_Despesas'!$B$4:$B$219, "financeiro"))*(IFERROR(SUMIFS('03_Base_Vendas'!$I$4:$I$387, '03_Base_Vendas'!$A$4:$A$387, C$33, '03_Base_Vendas'!$B$4:$B$387, "marketplace")/SUMIFS('03_Base_Vendas'!$I$4:$I$387, '03_Base_Vendas'!$A$4:$A$387, C$33),0))</f>
        <v>329.88131176274845</v>
      </c>
      <c r="D53" s="42">
        <f>(SUMIFS('04_Base_Despesas'!$D$4:$D$219, '04_Base_Despesas'!$A$4:$A$219, D$33, '04_Base_Despesas'!$B$4:$B$219, "financeiro"))*(IFERROR(SUMIFS('03_Base_Vendas'!$I$4:$I$387, '03_Base_Vendas'!$A$4:$A$387, D$33, '03_Base_Vendas'!$B$4:$B$387, "marketplace")/SUMIFS('03_Base_Vendas'!$I$4:$I$387, '03_Base_Vendas'!$A$4:$A$387, D$33),0))</f>
        <v>370.95605870541959</v>
      </c>
      <c r="E53" s="42">
        <f>(SUMIFS('04_Base_Despesas'!$D$4:$D$219, '04_Base_Despesas'!$A$4:$A$219, E$33, '04_Base_Despesas'!$B$4:$B$219, "financeiro"))*(IFERROR(SUMIFS('03_Base_Vendas'!$I$4:$I$387, '03_Base_Vendas'!$A$4:$A$387, E$33, '03_Base_Vendas'!$B$4:$B$387, "marketplace")/SUMIFS('03_Base_Vendas'!$I$4:$I$387, '03_Base_Vendas'!$A$4:$A$387, E$33),0))</f>
        <v>320.04400878982796</v>
      </c>
      <c r="F53" s="42">
        <f>(SUMIFS('04_Base_Despesas'!$D$4:$D$219, '04_Base_Despesas'!$A$4:$A$219, F$33, '04_Base_Despesas'!$B$4:$B$219, "financeiro"))*(IFERROR(SUMIFS('03_Base_Vendas'!$I$4:$I$387, '03_Base_Vendas'!$A$4:$A$387, F$33, '03_Base_Vendas'!$B$4:$B$387, "marketplace")/SUMIFS('03_Base_Vendas'!$I$4:$I$387, '03_Base_Vendas'!$A$4:$A$387, F$33),0))</f>
        <v>306.19016807076059</v>
      </c>
      <c r="G53" s="42">
        <f>(SUMIFS('04_Base_Despesas'!$D$4:$D$219, '04_Base_Despesas'!$A$4:$A$219, G$33, '04_Base_Despesas'!$B$4:$B$219, "financeiro"))*(IFERROR(SUMIFS('03_Base_Vendas'!$I$4:$I$387, '03_Base_Vendas'!$A$4:$A$387, G$33, '03_Base_Vendas'!$B$4:$B$387, "marketplace")/SUMIFS('03_Base_Vendas'!$I$4:$I$387, '03_Base_Vendas'!$A$4:$A$387, G$33),0))</f>
        <v>268.03334319179032</v>
      </c>
      <c r="H53" s="42">
        <f>(SUMIFS('04_Base_Despesas'!$D$4:$D$219, '04_Base_Despesas'!$A$4:$A$219, H$33, '04_Base_Despesas'!$B$4:$B$219, "financeiro"))*(IFERROR(SUMIFS('03_Base_Vendas'!$I$4:$I$387, '03_Base_Vendas'!$A$4:$A$387, H$33, '03_Base_Vendas'!$B$4:$B$387, "marketplace")/SUMIFS('03_Base_Vendas'!$I$4:$I$387, '03_Base_Vendas'!$A$4:$A$387, H$33),0))</f>
        <v>1163.4002482471581</v>
      </c>
      <c r="I53" s="42">
        <f>(SUMIFS('04_Base_Despesas'!$D$4:$D$219, '04_Base_Despesas'!$A$4:$A$219, I$33, '04_Base_Despesas'!$B$4:$B$219, "financeiro"))*(IFERROR(SUMIFS('03_Base_Vendas'!$I$4:$I$387, '03_Base_Vendas'!$A$4:$A$387, I$33, '03_Base_Vendas'!$B$4:$B$387, "marketplace")/SUMIFS('03_Base_Vendas'!$I$4:$I$387, '03_Base_Vendas'!$A$4:$A$387, I$33),0))</f>
        <v>262.89949594054696</v>
      </c>
      <c r="J53" s="42">
        <f>(SUMIFS('04_Base_Despesas'!$D$4:$D$219, '04_Base_Despesas'!$A$4:$A$219, J$33, '04_Base_Despesas'!$B$4:$B$219, "financeiro"))*(IFERROR(SUMIFS('03_Base_Vendas'!$I$4:$I$387, '03_Base_Vendas'!$A$4:$A$387, J$33, '03_Base_Vendas'!$B$4:$B$387, "marketplace")/SUMIFS('03_Base_Vendas'!$I$4:$I$387, '03_Base_Vendas'!$A$4:$A$387, J$33),0))</f>
        <v>300.03010033645558</v>
      </c>
      <c r="K53" s="42">
        <f>(SUMIFS('04_Base_Despesas'!$D$4:$D$219, '04_Base_Despesas'!$A$4:$A$219, K$33, '04_Base_Despesas'!$B$4:$B$219, "financeiro"))*(IFERROR(SUMIFS('03_Base_Vendas'!$I$4:$I$387, '03_Base_Vendas'!$A$4:$A$387, K$33, '03_Base_Vendas'!$B$4:$B$387, "marketplace")/SUMIFS('03_Base_Vendas'!$I$4:$I$387, '03_Base_Vendas'!$A$4:$A$387, K$33),0))</f>
        <v>277.19076552906284</v>
      </c>
      <c r="L53" s="42">
        <f>(SUMIFS('04_Base_Despesas'!$D$4:$D$219, '04_Base_Despesas'!$A$4:$A$219, L$33, '04_Base_Despesas'!$B$4:$B$219, "financeiro"))*(IFERROR(SUMIFS('03_Base_Vendas'!$I$4:$I$387, '03_Base_Vendas'!$A$4:$A$387, L$33, '03_Base_Vendas'!$B$4:$B$387, "marketplace")/SUMIFS('03_Base_Vendas'!$I$4:$I$387, '03_Base_Vendas'!$A$4:$A$387, L$33),0))</f>
        <v>337.27496670459806</v>
      </c>
      <c r="M53" s="42">
        <f>(SUMIFS('04_Base_Despesas'!$D$4:$D$219, '04_Base_Despesas'!$A$4:$A$219, M$33, '04_Base_Despesas'!$B$4:$B$219, "financeiro"))*(IFERROR(SUMIFS('03_Base_Vendas'!$I$4:$I$387, '03_Base_Vendas'!$A$4:$A$387, M$33, '03_Base_Vendas'!$B$4:$B$387, "marketplace")/SUMIFS('03_Base_Vendas'!$I$4:$I$387, '03_Base_Vendas'!$A$4:$A$387, M$33),0))</f>
        <v>333.36073800002526</v>
      </c>
      <c r="N53" s="42">
        <f>(SUMIFS('04_Base_Despesas'!$D$4:$D$219, '04_Base_Despesas'!$A$4:$A$219, N$33, '04_Base_Despesas'!$B$4:$B$219, "financeiro"))*(IFERROR(SUMIFS('03_Base_Vendas'!$I$4:$I$387, '03_Base_Vendas'!$A$4:$A$387, N$33, '03_Base_Vendas'!$B$4:$B$387, "marketplace")/SUMIFS('03_Base_Vendas'!$I$4:$I$387, '03_Base_Vendas'!$A$4:$A$387, N$33),0))</f>
        <v>329.62952193191717</v>
      </c>
      <c r="O53" s="42">
        <f>(SUMIFS('04_Base_Despesas'!$D$4:$D$219, '04_Base_Despesas'!$A$4:$A$219, O$33, '04_Base_Despesas'!$B$4:$B$219, "financeiro"))*(IFERROR(SUMIFS('03_Base_Vendas'!$I$4:$I$387, '03_Base_Vendas'!$A$4:$A$387, O$33, '03_Base_Vendas'!$B$4:$B$387, "marketplace")/SUMIFS('03_Base_Vendas'!$I$4:$I$387, '03_Base_Vendas'!$A$4:$A$387, O$33),0))</f>
        <v>340.23368035853377</v>
      </c>
      <c r="P53" s="42">
        <f>(SUMIFS('04_Base_Despesas'!$D$4:$D$219, '04_Base_Despesas'!$A$4:$A$219, P$33, '04_Base_Despesas'!$B$4:$B$219, "financeiro"))*(IFERROR(SUMIFS('03_Base_Vendas'!$I$4:$I$387, '03_Base_Vendas'!$A$4:$A$387, P$33, '03_Base_Vendas'!$B$4:$B$387, "marketplace")/SUMIFS('03_Base_Vendas'!$I$4:$I$387, '03_Base_Vendas'!$A$4:$A$387, P$33),0))</f>
        <v>334.69382035289857</v>
      </c>
      <c r="Q53" s="42">
        <f>(SUMIFS('04_Base_Despesas'!$D$4:$D$219, '04_Base_Despesas'!$A$4:$A$219, Q$33, '04_Base_Despesas'!$B$4:$B$219, "financeiro"))*(IFERROR(SUMIFS('03_Base_Vendas'!$I$4:$I$387, '03_Base_Vendas'!$A$4:$A$387, Q$33, '03_Base_Vendas'!$B$4:$B$387, "marketplace")/SUMIFS('03_Base_Vendas'!$I$4:$I$387, '03_Base_Vendas'!$A$4:$A$387, Q$33),0))</f>
        <v>317.49411998527398</v>
      </c>
      <c r="R53" s="42">
        <f>(SUMIFS('04_Base_Despesas'!$D$4:$D$219, '04_Base_Despesas'!$A$4:$A$219, R$33, '04_Base_Despesas'!$B$4:$B$219, "financeiro"))*(IFERROR(SUMIFS('03_Base_Vendas'!$I$4:$I$387, '03_Base_Vendas'!$A$4:$A$387, R$33, '03_Base_Vendas'!$B$4:$B$387, "marketplace")/SUMIFS('03_Base_Vendas'!$I$4:$I$387, '03_Base_Vendas'!$A$4:$A$387, R$33),0))</f>
        <v>388.13915768750604</v>
      </c>
      <c r="S53" s="42">
        <f>(SUMIFS('04_Base_Despesas'!$D$4:$D$219, '04_Base_Despesas'!$A$4:$A$219, S$33, '04_Base_Despesas'!$B$4:$B$219, "financeiro"))*(IFERROR(SUMIFS('03_Base_Vendas'!$I$4:$I$387, '03_Base_Vendas'!$A$4:$A$387, S$33, '03_Base_Vendas'!$B$4:$B$387, "marketplace")/SUMIFS('03_Base_Vendas'!$I$4:$I$387, '03_Base_Vendas'!$A$4:$A$387, S$33),0))</f>
        <v>320.2191751154852</v>
      </c>
      <c r="T53" s="42">
        <f>(SUMIFS('04_Base_Despesas'!$D$4:$D$219, '04_Base_Despesas'!$A$4:$A$219, T$33, '04_Base_Despesas'!$B$4:$B$219, "financeiro"))*(IFERROR(SUMIFS('03_Base_Vendas'!$I$4:$I$387, '03_Base_Vendas'!$A$4:$A$387, T$33, '03_Base_Vendas'!$B$4:$B$387, "marketplace")/SUMIFS('03_Base_Vendas'!$I$4:$I$387, '03_Base_Vendas'!$A$4:$A$387, T$33),0))</f>
        <v>369.55998837499408</v>
      </c>
      <c r="U53" s="42">
        <f>(SUMIFS('04_Base_Despesas'!$D$4:$D$219, '04_Base_Despesas'!$A$4:$A$219, U$33, '04_Base_Despesas'!$B$4:$B$219, "financeiro"))*(IFERROR(SUMIFS('03_Base_Vendas'!$I$4:$I$387, '03_Base_Vendas'!$A$4:$A$387, U$33, '03_Base_Vendas'!$B$4:$B$387, "marketplace")/SUMIFS('03_Base_Vendas'!$I$4:$I$387, '03_Base_Vendas'!$A$4:$A$387, U$33),0))</f>
        <v>324.68959235484624</v>
      </c>
      <c r="V53" s="42">
        <f>(SUMIFS('04_Base_Despesas'!$D$4:$D$219, '04_Base_Despesas'!$A$4:$A$219, V$33, '04_Base_Despesas'!$B$4:$B$219, "financeiro"))*(IFERROR(SUMIFS('03_Base_Vendas'!$I$4:$I$387, '03_Base_Vendas'!$A$4:$A$387, V$33, '03_Base_Vendas'!$B$4:$B$387, "marketplace")/SUMIFS('03_Base_Vendas'!$I$4:$I$387, '03_Base_Vendas'!$A$4:$A$387, V$33),0))</f>
        <v>316.43607684360109</v>
      </c>
      <c r="W53" s="42">
        <f>(SUMIFS('04_Base_Despesas'!$D$4:$D$219, '04_Base_Despesas'!$A$4:$A$219, W$33, '04_Base_Despesas'!$B$4:$B$219, "financeiro"))*(IFERROR(SUMIFS('03_Base_Vendas'!$I$4:$I$387, '03_Base_Vendas'!$A$4:$A$387, W$33, '03_Base_Vendas'!$B$4:$B$387, "marketplace")/SUMIFS('03_Base_Vendas'!$I$4:$I$387, '03_Base_Vendas'!$A$4:$A$387, W$33),0))</f>
        <v>356.02244535419703</v>
      </c>
      <c r="X53" s="42">
        <f>(SUMIFS('04_Base_Despesas'!$D$4:$D$219, '04_Base_Despesas'!$A$4:$A$219, X$33, '04_Base_Despesas'!$B$4:$B$219, "financeiro"))*(IFERROR(SUMIFS('03_Base_Vendas'!$I$4:$I$387, '03_Base_Vendas'!$A$4:$A$387, X$33, '03_Base_Vendas'!$B$4:$B$387, "marketplace")/SUMIFS('03_Base_Vendas'!$I$4:$I$387, '03_Base_Vendas'!$A$4:$A$387, X$33),0))</f>
        <v>341.67579075486151</v>
      </c>
      <c r="Y53" s="42">
        <f>(SUMIFS('04_Base_Despesas'!$D$4:$D$219, '04_Base_Despesas'!$A$4:$A$219, Y$33, '04_Base_Despesas'!$B$4:$B$219, "financeiro"))*(IFERROR(SUMIFS('03_Base_Vendas'!$I$4:$I$387, '03_Base_Vendas'!$A$4:$A$387, Y$33, '03_Base_Vendas'!$B$4:$B$387, "marketplace")/SUMIFS('03_Base_Vendas'!$I$4:$I$387, '03_Base_Vendas'!$A$4:$A$387, Y$33),0))</f>
        <v>230.06782677996713</v>
      </c>
      <c r="Z53" s="43">
        <f>SUM(B53:Y53)</f>
        <v>8589.5035468286314</v>
      </c>
    </row>
    <row r="54" spans="1:26" x14ac:dyDescent="0.25">
      <c r="A54" s="44" t="s">
        <v>119</v>
      </c>
      <c r="B54" s="45">
        <f t="shared" ref="B54:Y54" si="20">B52-B53</f>
        <v>-10202.521071803059</v>
      </c>
      <c r="C54" s="45">
        <f t="shared" si="20"/>
        <v>-11619.035363587158</v>
      </c>
      <c r="D54" s="45">
        <f t="shared" si="20"/>
        <v>-9091.0583010062946</v>
      </c>
      <c r="E54" s="45">
        <f t="shared" si="20"/>
        <v>-10807.962817926047</v>
      </c>
      <c r="F54" s="45">
        <f t="shared" si="20"/>
        <v>-5516.0940725633054</v>
      </c>
      <c r="G54" s="45">
        <f t="shared" si="20"/>
        <v>-8069.9445938854196</v>
      </c>
      <c r="H54" s="45">
        <f t="shared" si="20"/>
        <v>-11841.41598713802</v>
      </c>
      <c r="I54" s="45">
        <f t="shared" si="20"/>
        <v>-10434.701040750722</v>
      </c>
      <c r="J54" s="45">
        <f t="shared" si="20"/>
        <v>-10832.500204096374</v>
      </c>
      <c r="K54" s="45">
        <f t="shared" si="20"/>
        <v>-11255.903225118773</v>
      </c>
      <c r="L54" s="45">
        <f t="shared" si="20"/>
        <v>-7143.7976952073623</v>
      </c>
      <c r="M54" s="45">
        <f t="shared" si="20"/>
        <v>-6888.1938821928379</v>
      </c>
      <c r="N54" s="45">
        <f t="shared" si="20"/>
        <v>-9518.9651014242791</v>
      </c>
      <c r="O54" s="45">
        <f t="shared" si="20"/>
        <v>-11910.426269001162</v>
      </c>
      <c r="P54" s="45">
        <f t="shared" si="20"/>
        <v>-8786.2918522279069</v>
      </c>
      <c r="Q54" s="45">
        <f t="shared" si="20"/>
        <v>-9708.5441416863523</v>
      </c>
      <c r="R54" s="45">
        <f t="shared" si="20"/>
        <v>-8176.4621181609054</v>
      </c>
      <c r="S54" s="45">
        <f t="shared" si="20"/>
        <v>-7271.0526124058833</v>
      </c>
      <c r="T54" s="45">
        <f t="shared" si="20"/>
        <v>-12946.330014561023</v>
      </c>
      <c r="U54" s="45">
        <f t="shared" si="20"/>
        <v>-8658.7029746274293</v>
      </c>
      <c r="V54" s="45">
        <f t="shared" si="20"/>
        <v>-9938.6598975666948</v>
      </c>
      <c r="W54" s="45">
        <f t="shared" si="20"/>
        <v>-9746.0940120083214</v>
      </c>
      <c r="X54" s="45">
        <f t="shared" si="20"/>
        <v>-355.87895446614209</v>
      </c>
      <c r="Y54" s="45">
        <f t="shared" si="20"/>
        <v>-4266.6690224538179</v>
      </c>
      <c r="Z54" s="43">
        <f>SUM(B54:Y54)</f>
        <v>-214987.20522586524</v>
      </c>
    </row>
    <row r="55" spans="1:26" x14ac:dyDescent="0.25">
      <c r="A55" s="41" t="s">
        <v>349</v>
      </c>
      <c r="B55" s="46">
        <f t="shared" ref="B55:Y55" si="21">IFERROR(B54/B37,0)</f>
        <v>-0.26426903689716696</v>
      </c>
      <c r="C55" s="46">
        <f t="shared" si="21"/>
        <v>-0.38171954831098587</v>
      </c>
      <c r="D55" s="46">
        <f t="shared" si="21"/>
        <v>-0.21684098511642921</v>
      </c>
      <c r="E55" s="46">
        <f t="shared" si="21"/>
        <v>-0.31353419988529757</v>
      </c>
      <c r="F55" s="46">
        <f t="shared" si="21"/>
        <v>-0.12500397310428354</v>
      </c>
      <c r="G55" s="46">
        <f t="shared" si="21"/>
        <v>-0.22679494094537941</v>
      </c>
      <c r="H55" s="46">
        <f t="shared" si="21"/>
        <v>-0.42900214899803452</v>
      </c>
      <c r="I55" s="46">
        <f t="shared" si="21"/>
        <v>-0.404367567697206</v>
      </c>
      <c r="J55" s="46">
        <f t="shared" si="21"/>
        <v>-0.3481277653490798</v>
      </c>
      <c r="K55" s="46">
        <f t="shared" si="21"/>
        <v>-0.32275926055833515</v>
      </c>
      <c r="L55" s="46">
        <f t="shared" si="21"/>
        <v>-0.13478594003982866</v>
      </c>
      <c r="M55" s="46">
        <f t="shared" si="21"/>
        <v>-0.1361846800934926</v>
      </c>
      <c r="N55" s="46">
        <f t="shared" si="21"/>
        <v>-0.1987752920805595</v>
      </c>
      <c r="O55" s="46">
        <f t="shared" si="21"/>
        <v>-0.30669688382915927</v>
      </c>
      <c r="P55" s="46">
        <f t="shared" si="21"/>
        <v>-0.20187753779685319</v>
      </c>
      <c r="Q55" s="46">
        <f t="shared" si="21"/>
        <v>-0.2943255808401497</v>
      </c>
      <c r="R55" s="46">
        <f t="shared" si="21"/>
        <v>-0.13552309635139115</v>
      </c>
      <c r="S55" s="46">
        <f t="shared" si="21"/>
        <v>-0.16706026860426723</v>
      </c>
      <c r="T55" s="46">
        <f t="shared" si="21"/>
        <v>-0.29893670777063286</v>
      </c>
      <c r="U55" s="46">
        <f t="shared" si="21"/>
        <v>-0.24077046340039482</v>
      </c>
      <c r="V55" s="46">
        <f t="shared" si="21"/>
        <v>-0.24304780733655085</v>
      </c>
      <c r="W55" s="46">
        <f t="shared" si="21"/>
        <v>-0.21722134570308457</v>
      </c>
      <c r="X55" s="46">
        <f t="shared" si="21"/>
        <v>-5.4889487226626342E-3</v>
      </c>
      <c r="Y55" s="46">
        <f t="shared" si="21"/>
        <v>-0.13210151900523334</v>
      </c>
      <c r="Z55" s="47">
        <f>IFERROR($Z$54/$Z$37,0)</f>
        <v>-0.21996261213746451</v>
      </c>
    </row>
    <row r="58" spans="1:26" ht="21.75" customHeight="1" x14ac:dyDescent="0.25">
      <c r="A58" s="4" t="s">
        <v>355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38" t="s">
        <v>329</v>
      </c>
      <c r="B59" s="39" t="s">
        <v>135</v>
      </c>
      <c r="C59" s="39" t="s">
        <v>144</v>
      </c>
      <c r="D59" s="39" t="s">
        <v>145</v>
      </c>
      <c r="E59" s="39" t="s">
        <v>146</v>
      </c>
      <c r="F59" s="39" t="s">
        <v>147</v>
      </c>
      <c r="G59" s="39" t="s">
        <v>148</v>
      </c>
      <c r="H59" s="39" t="s">
        <v>149</v>
      </c>
      <c r="I59" s="39" t="s">
        <v>150</v>
      </c>
      <c r="J59" s="39" t="s">
        <v>151</v>
      </c>
      <c r="K59" s="39" t="s">
        <v>152</v>
      </c>
      <c r="L59" s="39" t="s">
        <v>153</v>
      </c>
      <c r="M59" s="39" t="s">
        <v>154</v>
      </c>
      <c r="N59" s="39" t="s">
        <v>155</v>
      </c>
      <c r="O59" s="39" t="s">
        <v>156</v>
      </c>
      <c r="P59" s="39" t="s">
        <v>157</v>
      </c>
      <c r="Q59" s="39" t="s">
        <v>158</v>
      </c>
      <c r="R59" s="39" t="s">
        <v>159</v>
      </c>
      <c r="S59" s="39" t="s">
        <v>160</v>
      </c>
      <c r="T59" s="39" t="s">
        <v>161</v>
      </c>
      <c r="U59" s="39" t="s">
        <v>162</v>
      </c>
      <c r="V59" s="39" t="s">
        <v>163</v>
      </c>
      <c r="W59" s="39" t="s">
        <v>164</v>
      </c>
      <c r="X59" s="39" t="s">
        <v>165</v>
      </c>
      <c r="Y59" s="39" t="s">
        <v>166</v>
      </c>
      <c r="Z59" s="40" t="s">
        <v>330</v>
      </c>
    </row>
    <row r="60" spans="1:26" x14ac:dyDescent="0.25">
      <c r="A60" s="41" t="s">
        <v>331</v>
      </c>
      <c r="B60" s="42">
        <f>SUMIFS('03_Base_Vendas'!$F$4:$F$387, '03_Base_Vendas'!$A$4:$A$387, B$59, '03_Base_Vendas'!$B$4:$B$387, "franquia")</f>
        <v>39661.72</v>
      </c>
      <c r="C60" s="42">
        <f>SUMIFS('03_Base_Vendas'!$F$4:$F$387, '03_Base_Vendas'!$A$4:$A$387, C$59, '03_Base_Vendas'!$B$4:$B$387, "franquia")</f>
        <v>21900.04</v>
      </c>
      <c r="D60" s="42">
        <f>SUMIFS('03_Base_Vendas'!$F$4:$F$387, '03_Base_Vendas'!$A$4:$A$387, D$59, '03_Base_Vendas'!$B$4:$B$387, "franquia")</f>
        <v>28169.75</v>
      </c>
      <c r="E60" s="42">
        <f>SUMIFS('03_Base_Vendas'!$F$4:$F$387, '03_Base_Vendas'!$A$4:$A$387, E$59, '03_Base_Vendas'!$B$4:$B$387, "franquia")</f>
        <v>26518.34</v>
      </c>
      <c r="F60" s="42">
        <f>SUMIFS('03_Base_Vendas'!$F$4:$F$387, '03_Base_Vendas'!$A$4:$A$387, F$59, '03_Base_Vendas'!$B$4:$B$387, "franquia")</f>
        <v>38282.550000000003</v>
      </c>
      <c r="G60" s="42">
        <f>SUMIFS('03_Base_Vendas'!$F$4:$F$387, '03_Base_Vendas'!$A$4:$A$387, G$59, '03_Base_Vendas'!$B$4:$B$387, "franquia")</f>
        <v>32940.29</v>
      </c>
      <c r="H60" s="42">
        <f>SUMIFS('03_Base_Vendas'!$F$4:$F$387, '03_Base_Vendas'!$A$4:$A$387, H$59, '03_Base_Vendas'!$B$4:$B$387, "franquia")</f>
        <v>25149.64</v>
      </c>
      <c r="I60" s="42">
        <f>SUMIFS('03_Base_Vendas'!$F$4:$F$387, '03_Base_Vendas'!$A$4:$A$387, I$59, '03_Base_Vendas'!$B$4:$B$387, "franquia")</f>
        <v>31149.059999999998</v>
      </c>
      <c r="J60" s="42">
        <f>SUMIFS('03_Base_Vendas'!$F$4:$F$387, '03_Base_Vendas'!$A$4:$A$387, J$59, '03_Base_Vendas'!$B$4:$B$387, "franquia")</f>
        <v>22614.350000000002</v>
      </c>
      <c r="K60" s="42">
        <f>SUMIFS('03_Base_Vendas'!$F$4:$F$387, '03_Base_Vendas'!$A$4:$A$387, K$59, '03_Base_Vendas'!$B$4:$B$387, "franquia")</f>
        <v>34892.020000000004</v>
      </c>
      <c r="L60" s="42">
        <f>SUMIFS('03_Base_Vendas'!$F$4:$F$387, '03_Base_Vendas'!$A$4:$A$387, L$59, '03_Base_Vendas'!$B$4:$B$387, "franquia")</f>
        <v>41137.619999999995</v>
      </c>
      <c r="M60" s="42">
        <f>SUMIFS('03_Base_Vendas'!$F$4:$F$387, '03_Base_Vendas'!$A$4:$A$387, M$59, '03_Base_Vendas'!$B$4:$B$387, "franquia")</f>
        <v>41661.06</v>
      </c>
      <c r="N60" s="42">
        <f>SUMIFS('03_Base_Vendas'!$F$4:$F$387, '03_Base_Vendas'!$A$4:$A$387, N$59, '03_Base_Vendas'!$B$4:$B$387, "franquia")</f>
        <v>31482.14</v>
      </c>
      <c r="O60" s="42">
        <f>SUMIFS('03_Base_Vendas'!$F$4:$F$387, '03_Base_Vendas'!$A$4:$A$387, O$59, '03_Base_Vendas'!$B$4:$B$387, "franquia")</f>
        <v>30930.969999999998</v>
      </c>
      <c r="P60" s="42">
        <f>SUMIFS('03_Base_Vendas'!$F$4:$F$387, '03_Base_Vendas'!$A$4:$A$387, P$59, '03_Base_Vendas'!$B$4:$B$387, "franquia")</f>
        <v>33061.78</v>
      </c>
      <c r="Q60" s="42">
        <f>SUMIFS('03_Base_Vendas'!$F$4:$F$387, '03_Base_Vendas'!$A$4:$A$387, Q$59, '03_Base_Vendas'!$B$4:$B$387, "franquia")</f>
        <v>26585.98</v>
      </c>
      <c r="R60" s="42">
        <f>SUMIFS('03_Base_Vendas'!$F$4:$F$387, '03_Base_Vendas'!$A$4:$A$387, R$59, '03_Base_Vendas'!$B$4:$B$387, "franquia")</f>
        <v>35149.65</v>
      </c>
      <c r="S60" s="42">
        <f>SUMIFS('03_Base_Vendas'!$F$4:$F$387, '03_Base_Vendas'!$A$4:$A$387, S$59, '03_Base_Vendas'!$B$4:$B$387, "franquia")</f>
        <v>36959.89</v>
      </c>
      <c r="T60" s="42">
        <f>SUMIFS('03_Base_Vendas'!$F$4:$F$387, '03_Base_Vendas'!$A$4:$A$387, T$59, '03_Base_Vendas'!$B$4:$B$387, "franquia")</f>
        <v>29241.269999999997</v>
      </c>
      <c r="U60" s="42">
        <f>SUMIFS('03_Base_Vendas'!$F$4:$F$387, '03_Base_Vendas'!$A$4:$A$387, U$59, '03_Base_Vendas'!$B$4:$B$387, "franquia")</f>
        <v>39138.130000000005</v>
      </c>
      <c r="V60" s="42">
        <f>SUMIFS('03_Base_Vendas'!$F$4:$F$387, '03_Base_Vendas'!$A$4:$A$387, V$59, '03_Base_Vendas'!$B$4:$B$387, "franquia")</f>
        <v>32020.670000000006</v>
      </c>
      <c r="W60" s="42">
        <f>SUMIFS('03_Base_Vendas'!$F$4:$F$387, '03_Base_Vendas'!$A$4:$A$387, W$59, '03_Base_Vendas'!$B$4:$B$387, "franquia")</f>
        <v>36095.9</v>
      </c>
      <c r="X60" s="42">
        <f>SUMIFS('03_Base_Vendas'!$F$4:$F$387, '03_Base_Vendas'!$A$4:$A$387, X$59, '03_Base_Vendas'!$B$4:$B$387, "franquia")</f>
        <v>47040.82</v>
      </c>
      <c r="Y60" s="42">
        <f>SUMIFS('03_Base_Vendas'!$F$4:$F$387, '03_Base_Vendas'!$A$4:$A$387, Y$59, '03_Base_Vendas'!$B$4:$B$387, "franquia")</f>
        <v>45474.450000000004</v>
      </c>
      <c r="Z60" s="43">
        <f t="shared" ref="Z60:Z65" si="22">SUM(B60:Y60)</f>
        <v>807258.09</v>
      </c>
    </row>
    <row r="61" spans="1:26" x14ac:dyDescent="0.25">
      <c r="A61" s="41" t="s">
        <v>332</v>
      </c>
      <c r="B61" s="42">
        <f>SUMIFS('03_Base_Vendas'!$G$4:$G$387, '03_Base_Vendas'!$A$4:$A$387, B$59, '03_Base_Vendas'!$B$4:$B$387, "franquia")</f>
        <v>2639.97</v>
      </c>
      <c r="C61" s="42">
        <f>SUMIFS('03_Base_Vendas'!$G$4:$G$387, '03_Base_Vendas'!$A$4:$A$387, C$59, '03_Base_Vendas'!$B$4:$B$387, "franquia")</f>
        <v>1461.0700000000002</v>
      </c>
      <c r="D61" s="42">
        <f>SUMIFS('03_Base_Vendas'!$G$4:$G$387, '03_Base_Vendas'!$A$4:$A$387, D$59, '03_Base_Vendas'!$B$4:$B$387, "franquia")</f>
        <v>2139.37</v>
      </c>
      <c r="E61" s="42">
        <f>SUMIFS('03_Base_Vendas'!$G$4:$G$387, '03_Base_Vendas'!$A$4:$A$387, E$59, '03_Base_Vendas'!$B$4:$B$387, "franquia")</f>
        <v>1331.46</v>
      </c>
      <c r="F61" s="42">
        <f>SUMIFS('03_Base_Vendas'!$G$4:$G$387, '03_Base_Vendas'!$A$4:$A$387, F$59, '03_Base_Vendas'!$B$4:$B$387, "franquia")</f>
        <v>1669.02</v>
      </c>
      <c r="G61" s="42">
        <f>SUMIFS('03_Base_Vendas'!$G$4:$G$387, '03_Base_Vendas'!$A$4:$A$387, G$59, '03_Base_Vendas'!$B$4:$B$387, "franquia")</f>
        <v>435.63</v>
      </c>
      <c r="H61" s="42">
        <f>SUMIFS('03_Base_Vendas'!$G$4:$G$387, '03_Base_Vendas'!$A$4:$A$387, H$59, '03_Base_Vendas'!$B$4:$B$387, "franquia")</f>
        <v>0</v>
      </c>
      <c r="I61" s="42">
        <f>SUMIFS('03_Base_Vendas'!$G$4:$G$387, '03_Base_Vendas'!$A$4:$A$387, I$59, '03_Base_Vendas'!$B$4:$B$387, "franquia")</f>
        <v>1147.6999999999998</v>
      </c>
      <c r="J61" s="42">
        <f>SUMIFS('03_Base_Vendas'!$G$4:$G$387, '03_Base_Vendas'!$A$4:$A$387, J$59, '03_Base_Vendas'!$B$4:$B$387, "franquia")</f>
        <v>71.349999999999994</v>
      </c>
      <c r="K61" s="42">
        <f>SUMIFS('03_Base_Vendas'!$G$4:$G$387, '03_Base_Vendas'!$A$4:$A$387, K$59, '03_Base_Vendas'!$B$4:$B$387, "franquia")</f>
        <v>1638.55</v>
      </c>
      <c r="L61" s="42">
        <f>SUMIFS('03_Base_Vendas'!$G$4:$G$387, '03_Base_Vendas'!$A$4:$A$387, L$59, '03_Base_Vendas'!$B$4:$B$387, "franquia")</f>
        <v>2188.1999999999998</v>
      </c>
      <c r="M61" s="42">
        <f>SUMIFS('03_Base_Vendas'!$G$4:$G$387, '03_Base_Vendas'!$A$4:$A$387, M$59, '03_Base_Vendas'!$B$4:$B$387, "franquia")</f>
        <v>2838.51</v>
      </c>
      <c r="N61" s="42">
        <f>SUMIFS('03_Base_Vendas'!$G$4:$G$387, '03_Base_Vendas'!$A$4:$A$387, N$59, '03_Base_Vendas'!$B$4:$B$387, "franquia")</f>
        <v>2384.2399999999998</v>
      </c>
      <c r="O61" s="42">
        <f>SUMIFS('03_Base_Vendas'!$G$4:$G$387, '03_Base_Vendas'!$A$4:$A$387, O$59, '03_Base_Vendas'!$B$4:$B$387, "franquia")</f>
        <v>1535.45</v>
      </c>
      <c r="P61" s="42">
        <f>SUMIFS('03_Base_Vendas'!$G$4:$G$387, '03_Base_Vendas'!$A$4:$A$387, P$59, '03_Base_Vendas'!$B$4:$B$387, "franquia")</f>
        <v>1976.8899999999999</v>
      </c>
      <c r="Q61" s="42">
        <f>SUMIFS('03_Base_Vendas'!$G$4:$G$387, '03_Base_Vendas'!$A$4:$A$387, Q$59, '03_Base_Vendas'!$B$4:$B$387, "franquia")</f>
        <v>1652.21</v>
      </c>
      <c r="R61" s="42">
        <f>SUMIFS('03_Base_Vendas'!$G$4:$G$387, '03_Base_Vendas'!$A$4:$A$387, R$59, '03_Base_Vendas'!$B$4:$B$387, "franquia")</f>
        <v>1501.31</v>
      </c>
      <c r="S61" s="42">
        <f>SUMIFS('03_Base_Vendas'!$G$4:$G$387, '03_Base_Vendas'!$A$4:$A$387, S$59, '03_Base_Vendas'!$B$4:$B$387, "franquia")</f>
        <v>1744.1399999999999</v>
      </c>
      <c r="T61" s="42">
        <f>SUMIFS('03_Base_Vendas'!$G$4:$G$387, '03_Base_Vendas'!$A$4:$A$387, T$59, '03_Base_Vendas'!$B$4:$B$387, "franquia")</f>
        <v>564.79999999999995</v>
      </c>
      <c r="U61" s="42">
        <f>SUMIFS('03_Base_Vendas'!$G$4:$G$387, '03_Base_Vendas'!$A$4:$A$387, U$59, '03_Base_Vendas'!$B$4:$B$387, "franquia")</f>
        <v>1608.97</v>
      </c>
      <c r="V61" s="42">
        <f>SUMIFS('03_Base_Vendas'!$G$4:$G$387, '03_Base_Vendas'!$A$4:$A$387, V$59, '03_Base_Vendas'!$B$4:$B$387, "franquia")</f>
        <v>1453.4</v>
      </c>
      <c r="W61" s="42">
        <f>SUMIFS('03_Base_Vendas'!$G$4:$G$387, '03_Base_Vendas'!$A$4:$A$387, W$59, '03_Base_Vendas'!$B$4:$B$387, "franquia")</f>
        <v>1799.3400000000001</v>
      </c>
      <c r="X61" s="42">
        <f>SUMIFS('03_Base_Vendas'!$G$4:$G$387, '03_Base_Vendas'!$A$4:$A$387, X$59, '03_Base_Vendas'!$B$4:$B$387, "franquia")</f>
        <v>1933.69</v>
      </c>
      <c r="Y61" s="42">
        <f>SUMIFS('03_Base_Vendas'!$G$4:$G$387, '03_Base_Vendas'!$A$4:$A$387, Y$59, '03_Base_Vendas'!$B$4:$B$387, "franquia")</f>
        <v>1120.94</v>
      </c>
      <c r="Z61" s="43">
        <f t="shared" si="22"/>
        <v>36836.21</v>
      </c>
    </row>
    <row r="62" spans="1:26" x14ac:dyDescent="0.25">
      <c r="A62" s="41" t="s">
        <v>333</v>
      </c>
      <c r="B62" s="42">
        <f>SUMIFS('03_Base_Vendas'!$H$4:$H$387, '03_Base_Vendas'!$A$4:$A$387, B$59, '03_Base_Vendas'!$B$4:$B$387, "franquia")</f>
        <v>4776.3</v>
      </c>
      <c r="C62" s="42">
        <f>SUMIFS('03_Base_Vendas'!$H$4:$H$387, '03_Base_Vendas'!$A$4:$A$387, C$59, '03_Base_Vendas'!$B$4:$B$387, "franquia")</f>
        <v>2625.81</v>
      </c>
      <c r="D62" s="42">
        <f>SUMIFS('03_Base_Vendas'!$H$4:$H$387, '03_Base_Vendas'!$A$4:$A$387, D$59, '03_Base_Vendas'!$B$4:$B$387, "franquia")</f>
        <v>3363.98</v>
      </c>
      <c r="E62" s="42">
        <f>SUMIFS('03_Base_Vendas'!$H$4:$H$387, '03_Base_Vendas'!$A$4:$A$387, E$59, '03_Base_Vendas'!$B$4:$B$387, "franquia")</f>
        <v>3183.4</v>
      </c>
      <c r="F62" s="42">
        <f>SUMIFS('03_Base_Vendas'!$H$4:$H$387, '03_Base_Vendas'!$A$4:$A$387, F$59, '03_Base_Vendas'!$B$4:$B$387, "franquia")</f>
        <v>4593.22</v>
      </c>
      <c r="G62" s="42">
        <f>SUMIFS('03_Base_Vendas'!$H$4:$H$387, '03_Base_Vendas'!$A$4:$A$387, G$59, '03_Base_Vendas'!$B$4:$B$387, "franquia")</f>
        <v>3952.5500000000006</v>
      </c>
      <c r="H62" s="42">
        <f>SUMIFS('03_Base_Vendas'!$H$4:$H$387, '03_Base_Vendas'!$A$4:$A$387, H$59, '03_Base_Vendas'!$B$4:$B$387, "franquia")</f>
        <v>3033.1</v>
      </c>
      <c r="I62" s="42">
        <f>SUMIFS('03_Base_Vendas'!$H$4:$H$387, '03_Base_Vendas'!$A$4:$A$387, I$59, '03_Base_Vendas'!$B$4:$B$387, "franquia")</f>
        <v>3739.32</v>
      </c>
      <c r="J62" s="42">
        <f>SUMIFS('03_Base_Vendas'!$H$4:$H$387, '03_Base_Vendas'!$A$4:$A$387, J$59, '03_Base_Vendas'!$B$4:$B$387, "franquia")</f>
        <v>2690.5899999999997</v>
      </c>
      <c r="K62" s="42">
        <f>SUMIFS('03_Base_Vendas'!$H$4:$H$387, '03_Base_Vendas'!$A$4:$A$387, K$59, '03_Base_Vendas'!$B$4:$B$387, "franquia")</f>
        <v>4130.87</v>
      </c>
      <c r="L62" s="42">
        <f>SUMIFS('03_Base_Vendas'!$H$4:$H$387, '03_Base_Vendas'!$A$4:$A$387, L$59, '03_Base_Vendas'!$B$4:$B$387, "franquia")</f>
        <v>4925.21</v>
      </c>
      <c r="M62" s="42">
        <f>SUMIFS('03_Base_Vendas'!$H$4:$H$387, '03_Base_Vendas'!$A$4:$A$387, M$59, '03_Base_Vendas'!$B$4:$B$387, "franquia")</f>
        <v>5000.17</v>
      </c>
      <c r="N62" s="42">
        <f>SUMIFS('03_Base_Vendas'!$H$4:$H$387, '03_Base_Vendas'!$A$4:$A$387, N$59, '03_Base_Vendas'!$B$4:$B$387, "franquia")</f>
        <v>3769.6000000000004</v>
      </c>
      <c r="O62" s="42">
        <f>SUMIFS('03_Base_Vendas'!$H$4:$H$387, '03_Base_Vendas'!$A$4:$A$387, O$59, '03_Base_Vendas'!$B$4:$B$387, "franquia")</f>
        <v>3710</v>
      </c>
      <c r="P62" s="42">
        <f>SUMIFS('03_Base_Vendas'!$H$4:$H$387, '03_Base_Vendas'!$A$4:$A$387, P$59, '03_Base_Vendas'!$B$4:$B$387, "franquia")</f>
        <v>3915.45</v>
      </c>
      <c r="Q62" s="42">
        <f>SUMIFS('03_Base_Vendas'!$H$4:$H$387, '03_Base_Vendas'!$A$4:$A$387, Q$59, '03_Base_Vendas'!$B$4:$B$387, "franquia")</f>
        <v>3199.7799999999997</v>
      </c>
      <c r="R62" s="42">
        <f>SUMIFS('03_Base_Vendas'!$H$4:$H$387, '03_Base_Vendas'!$A$4:$A$387, R$59, '03_Base_Vendas'!$B$4:$B$387, "franquia")</f>
        <v>4214.4500000000007</v>
      </c>
      <c r="S62" s="42">
        <f>SUMIFS('03_Base_Vendas'!$H$4:$H$387, '03_Base_Vendas'!$A$4:$A$387, S$59, '03_Base_Vendas'!$B$4:$B$387, "franquia")</f>
        <v>4456.95</v>
      </c>
      <c r="T62" s="42">
        <f>SUMIFS('03_Base_Vendas'!$H$4:$H$387, '03_Base_Vendas'!$A$4:$A$387, T$59, '03_Base_Vendas'!$B$4:$B$387, "franquia")</f>
        <v>3480.4300000000003</v>
      </c>
      <c r="U62" s="42">
        <f>SUMIFS('03_Base_Vendas'!$H$4:$H$387, '03_Base_Vendas'!$A$4:$A$387, U$59, '03_Base_Vendas'!$B$4:$B$387, "franquia")</f>
        <v>4730.1499999999996</v>
      </c>
      <c r="V62" s="42">
        <f>SUMIFS('03_Base_Vendas'!$H$4:$H$387, '03_Base_Vendas'!$A$4:$A$387, V$59, '03_Base_Vendas'!$B$4:$B$387, "franquia")</f>
        <v>3830.0599999999995</v>
      </c>
      <c r="W62" s="42">
        <f>SUMIFS('03_Base_Vendas'!$H$4:$H$387, '03_Base_Vendas'!$A$4:$A$387, W$59, '03_Base_Vendas'!$B$4:$B$387, "franquia")</f>
        <v>4299.91</v>
      </c>
      <c r="X62" s="42">
        <f>SUMIFS('03_Base_Vendas'!$H$4:$H$387, '03_Base_Vendas'!$A$4:$A$387, X$59, '03_Base_Vendas'!$B$4:$B$387, "franquia")</f>
        <v>5686.76</v>
      </c>
      <c r="Y62" s="42">
        <f>SUMIFS('03_Base_Vendas'!$H$4:$H$387, '03_Base_Vendas'!$A$4:$A$387, Y$59, '03_Base_Vendas'!$B$4:$B$387, "franquia")</f>
        <v>5493.28</v>
      </c>
      <c r="Z62" s="43">
        <f t="shared" si="22"/>
        <v>96801.339999999982</v>
      </c>
    </row>
    <row r="63" spans="1:26" x14ac:dyDescent="0.25">
      <c r="A63" s="44" t="s">
        <v>334</v>
      </c>
      <c r="B63" s="45">
        <f t="shared" ref="B63:Y63" si="23">B60-B61-B62</f>
        <v>32245.45</v>
      </c>
      <c r="C63" s="45">
        <f t="shared" si="23"/>
        <v>17813.16</v>
      </c>
      <c r="D63" s="45">
        <f t="shared" si="23"/>
        <v>22666.400000000001</v>
      </c>
      <c r="E63" s="45">
        <f t="shared" si="23"/>
        <v>22003.48</v>
      </c>
      <c r="F63" s="45">
        <f t="shared" si="23"/>
        <v>32020.310000000005</v>
      </c>
      <c r="G63" s="45">
        <f t="shared" si="23"/>
        <v>28552.11</v>
      </c>
      <c r="H63" s="45">
        <f t="shared" si="23"/>
        <v>22116.54</v>
      </c>
      <c r="I63" s="45">
        <f t="shared" si="23"/>
        <v>26262.039999999997</v>
      </c>
      <c r="J63" s="45">
        <f t="shared" si="23"/>
        <v>19852.410000000003</v>
      </c>
      <c r="K63" s="45">
        <f t="shared" si="23"/>
        <v>29122.600000000002</v>
      </c>
      <c r="L63" s="45">
        <f t="shared" si="23"/>
        <v>34024.21</v>
      </c>
      <c r="M63" s="45">
        <f t="shared" si="23"/>
        <v>33822.379999999997</v>
      </c>
      <c r="N63" s="45">
        <f t="shared" si="23"/>
        <v>25328.300000000003</v>
      </c>
      <c r="O63" s="45">
        <f t="shared" si="23"/>
        <v>25685.519999999997</v>
      </c>
      <c r="P63" s="45">
        <f t="shared" si="23"/>
        <v>27169.439999999999</v>
      </c>
      <c r="Q63" s="45">
        <f t="shared" si="23"/>
        <v>21733.99</v>
      </c>
      <c r="R63" s="45">
        <f t="shared" si="23"/>
        <v>29433.890000000003</v>
      </c>
      <c r="S63" s="45">
        <f t="shared" si="23"/>
        <v>30758.799999999999</v>
      </c>
      <c r="T63" s="45">
        <f t="shared" si="23"/>
        <v>25196.039999999997</v>
      </c>
      <c r="U63" s="45">
        <f t="shared" si="23"/>
        <v>32799.01</v>
      </c>
      <c r="V63" s="45">
        <f t="shared" si="23"/>
        <v>26737.210000000006</v>
      </c>
      <c r="W63" s="45">
        <f t="shared" si="23"/>
        <v>29996.649999999998</v>
      </c>
      <c r="X63" s="45">
        <f t="shared" si="23"/>
        <v>39420.369999999995</v>
      </c>
      <c r="Y63" s="45">
        <f t="shared" si="23"/>
        <v>38860.230000000003</v>
      </c>
      <c r="Z63" s="43">
        <f t="shared" si="22"/>
        <v>673620.54</v>
      </c>
    </row>
    <row r="64" spans="1:26" x14ac:dyDescent="0.25">
      <c r="A64" s="41" t="s">
        <v>335</v>
      </c>
      <c r="B64" s="42">
        <f>SUMIFS('03_Base_Vendas'!$J$4:$J$387, '03_Base_Vendas'!$A$4:$A$387, B$59, '03_Base_Vendas'!$B$4:$B$387, "franquia")</f>
        <v>18840.12</v>
      </c>
      <c r="C64" s="42">
        <f>SUMIFS('03_Base_Vendas'!$J$4:$J$387, '03_Base_Vendas'!$A$4:$A$387, C$59, '03_Base_Vendas'!$B$4:$B$387, "franquia")</f>
        <v>10527.259999999998</v>
      </c>
      <c r="D64" s="42">
        <f>SUMIFS('03_Base_Vendas'!$J$4:$J$387, '03_Base_Vendas'!$A$4:$A$387, D$59, '03_Base_Vendas'!$B$4:$B$387, "franquia")</f>
        <v>13664.449999999999</v>
      </c>
      <c r="E64" s="42">
        <f>SUMIFS('03_Base_Vendas'!$J$4:$J$387, '03_Base_Vendas'!$A$4:$A$387, E$59, '03_Base_Vendas'!$B$4:$B$387, "franquia")</f>
        <v>12487.76</v>
      </c>
      <c r="F64" s="42">
        <f>SUMIFS('03_Base_Vendas'!$J$4:$J$387, '03_Base_Vendas'!$A$4:$A$387, F$59, '03_Base_Vendas'!$B$4:$B$387, "franquia")</f>
        <v>18045.239999999998</v>
      </c>
      <c r="G64" s="42">
        <f>SUMIFS('03_Base_Vendas'!$J$4:$J$387, '03_Base_Vendas'!$A$4:$A$387, G$59, '03_Base_Vendas'!$B$4:$B$387, "franquia")</f>
        <v>16114.41</v>
      </c>
      <c r="H64" s="42">
        <f>SUMIFS('03_Base_Vendas'!$J$4:$J$387, '03_Base_Vendas'!$A$4:$A$387, H$59, '03_Base_Vendas'!$B$4:$B$387, "franquia")</f>
        <v>12305.35</v>
      </c>
      <c r="I64" s="42">
        <f>SUMIFS('03_Base_Vendas'!$J$4:$J$387, '03_Base_Vendas'!$A$4:$A$387, I$59, '03_Base_Vendas'!$B$4:$B$387, "franquia")</f>
        <v>14445.640000000001</v>
      </c>
      <c r="J64" s="42">
        <f>SUMIFS('03_Base_Vendas'!$J$4:$J$387, '03_Base_Vendas'!$A$4:$A$387, J$59, '03_Base_Vendas'!$B$4:$B$387, "franquia")</f>
        <v>10679.19</v>
      </c>
      <c r="K64" s="42">
        <f>SUMIFS('03_Base_Vendas'!$J$4:$J$387, '03_Base_Vendas'!$A$4:$A$387, K$59, '03_Base_Vendas'!$B$4:$B$387, "franquia")</f>
        <v>16824.489999999998</v>
      </c>
      <c r="L64" s="42">
        <f>SUMIFS('03_Base_Vendas'!$J$4:$J$387, '03_Base_Vendas'!$A$4:$A$387, L$59, '03_Base_Vendas'!$B$4:$B$387, "franquia")</f>
        <v>19817.829999999998</v>
      </c>
      <c r="M64" s="42">
        <f>SUMIFS('03_Base_Vendas'!$J$4:$J$387, '03_Base_Vendas'!$A$4:$A$387, M$59, '03_Base_Vendas'!$B$4:$B$387, "franquia")</f>
        <v>19863.329999999998</v>
      </c>
      <c r="N64" s="42">
        <f>SUMIFS('03_Base_Vendas'!$J$4:$J$387, '03_Base_Vendas'!$A$4:$A$387, N$59, '03_Base_Vendas'!$B$4:$B$387, "franquia")</f>
        <v>15374.71</v>
      </c>
      <c r="O64" s="42">
        <f>SUMIFS('03_Base_Vendas'!$J$4:$J$387, '03_Base_Vendas'!$A$4:$A$387, O$59, '03_Base_Vendas'!$B$4:$B$387, "franquia")</f>
        <v>15160.69</v>
      </c>
      <c r="P64" s="42">
        <f>SUMIFS('03_Base_Vendas'!$J$4:$J$387, '03_Base_Vendas'!$A$4:$A$387, P$59, '03_Base_Vendas'!$B$4:$B$387, "franquia")</f>
        <v>15955.93</v>
      </c>
      <c r="Q64" s="42">
        <f>SUMIFS('03_Base_Vendas'!$J$4:$J$387, '03_Base_Vendas'!$A$4:$A$387, Q$59, '03_Base_Vendas'!$B$4:$B$387, "franquia")</f>
        <v>12721.75</v>
      </c>
      <c r="R64" s="42">
        <f>SUMIFS('03_Base_Vendas'!$J$4:$J$387, '03_Base_Vendas'!$A$4:$A$387, R$59, '03_Base_Vendas'!$B$4:$B$387, "franquia")</f>
        <v>17500.099999999999</v>
      </c>
      <c r="S64" s="42">
        <f>SUMIFS('03_Base_Vendas'!$J$4:$J$387, '03_Base_Vendas'!$A$4:$A$387, S$59, '03_Base_Vendas'!$B$4:$B$387, "franquia")</f>
        <v>17515.550000000003</v>
      </c>
      <c r="T64" s="42">
        <f>SUMIFS('03_Base_Vendas'!$J$4:$J$387, '03_Base_Vendas'!$A$4:$A$387, T$59, '03_Base_Vendas'!$B$4:$B$387, "franquia")</f>
        <v>14513.36</v>
      </c>
      <c r="U64" s="42">
        <f>SUMIFS('03_Base_Vendas'!$J$4:$J$387, '03_Base_Vendas'!$A$4:$A$387, U$59, '03_Base_Vendas'!$B$4:$B$387, "franquia")</f>
        <v>18750.03</v>
      </c>
      <c r="V64" s="42">
        <f>SUMIFS('03_Base_Vendas'!$J$4:$J$387, '03_Base_Vendas'!$A$4:$A$387, V$59, '03_Base_Vendas'!$B$4:$B$387, "franquia")</f>
        <v>15391.090000000002</v>
      </c>
      <c r="W64" s="42">
        <f>SUMIFS('03_Base_Vendas'!$J$4:$J$387, '03_Base_Vendas'!$A$4:$A$387, W$59, '03_Base_Vendas'!$B$4:$B$387, "franquia")</f>
        <v>17585.5</v>
      </c>
      <c r="X64" s="42">
        <f>SUMIFS('03_Base_Vendas'!$J$4:$J$387, '03_Base_Vendas'!$A$4:$A$387, X$59, '03_Base_Vendas'!$B$4:$B$387, "franquia")</f>
        <v>22310.39</v>
      </c>
      <c r="Y64" s="42">
        <f>SUMIFS('03_Base_Vendas'!$J$4:$J$387, '03_Base_Vendas'!$A$4:$A$387, Y$59, '03_Base_Vendas'!$B$4:$B$387, "franquia")</f>
        <v>21579.89</v>
      </c>
      <c r="Z64" s="43">
        <f t="shared" si="22"/>
        <v>387974.06</v>
      </c>
    </row>
    <row r="65" spans="1:26" x14ac:dyDescent="0.25">
      <c r="A65" s="44" t="s">
        <v>336</v>
      </c>
      <c r="B65" s="45">
        <f t="shared" ref="B65:Y65" si="24">B63-B64</f>
        <v>13405.330000000002</v>
      </c>
      <c r="C65" s="45">
        <f t="shared" si="24"/>
        <v>7285.9000000000015</v>
      </c>
      <c r="D65" s="45">
        <f t="shared" si="24"/>
        <v>9001.9500000000025</v>
      </c>
      <c r="E65" s="45">
        <f t="shared" si="24"/>
        <v>9515.7199999999993</v>
      </c>
      <c r="F65" s="45">
        <f t="shared" si="24"/>
        <v>13975.070000000007</v>
      </c>
      <c r="G65" s="45">
        <f t="shared" si="24"/>
        <v>12437.7</v>
      </c>
      <c r="H65" s="45">
        <f t="shared" si="24"/>
        <v>9811.19</v>
      </c>
      <c r="I65" s="45">
        <f t="shared" si="24"/>
        <v>11816.399999999996</v>
      </c>
      <c r="J65" s="45">
        <f t="shared" si="24"/>
        <v>9173.220000000003</v>
      </c>
      <c r="K65" s="45">
        <f t="shared" si="24"/>
        <v>12298.110000000004</v>
      </c>
      <c r="L65" s="45">
        <f t="shared" si="24"/>
        <v>14206.380000000001</v>
      </c>
      <c r="M65" s="45">
        <f t="shared" si="24"/>
        <v>13959.05</v>
      </c>
      <c r="N65" s="45">
        <f t="shared" si="24"/>
        <v>9953.5900000000038</v>
      </c>
      <c r="O65" s="45">
        <f t="shared" si="24"/>
        <v>10524.829999999996</v>
      </c>
      <c r="P65" s="45">
        <f t="shared" si="24"/>
        <v>11213.509999999998</v>
      </c>
      <c r="Q65" s="45">
        <f t="shared" si="24"/>
        <v>9012.2400000000016</v>
      </c>
      <c r="R65" s="45">
        <f t="shared" si="24"/>
        <v>11933.790000000005</v>
      </c>
      <c r="S65" s="45">
        <f t="shared" si="24"/>
        <v>13243.249999999996</v>
      </c>
      <c r="T65" s="45">
        <f t="shared" si="24"/>
        <v>10682.679999999997</v>
      </c>
      <c r="U65" s="45">
        <f t="shared" si="24"/>
        <v>14048.980000000003</v>
      </c>
      <c r="V65" s="45">
        <f t="shared" si="24"/>
        <v>11346.120000000004</v>
      </c>
      <c r="W65" s="45">
        <f t="shared" si="24"/>
        <v>12411.149999999998</v>
      </c>
      <c r="X65" s="45">
        <f t="shared" si="24"/>
        <v>17109.979999999996</v>
      </c>
      <c r="Y65" s="45">
        <f t="shared" si="24"/>
        <v>17280.340000000004</v>
      </c>
      <c r="Z65" s="43">
        <f t="shared" si="22"/>
        <v>285646.48000000004</v>
      </c>
    </row>
    <row r="66" spans="1:26" x14ac:dyDescent="0.25">
      <c r="A66" s="41" t="s">
        <v>337</v>
      </c>
      <c r="B66" s="46">
        <f t="shared" ref="B66:Y66" si="25">IFERROR(B65/B63,0)</f>
        <v>0.41572780035632939</v>
      </c>
      <c r="C66" s="46">
        <f t="shared" si="25"/>
        <v>0.40901782726927738</v>
      </c>
      <c r="D66" s="46">
        <f t="shared" si="25"/>
        <v>0.39714952528853287</v>
      </c>
      <c r="E66" s="46">
        <f t="shared" si="25"/>
        <v>0.43246431928040474</v>
      </c>
      <c r="F66" s="46">
        <f t="shared" si="25"/>
        <v>0.43644393199191406</v>
      </c>
      <c r="G66" s="46">
        <f t="shared" si="25"/>
        <v>0.4356140404334391</v>
      </c>
      <c r="H66" s="46">
        <f t="shared" si="25"/>
        <v>0.4436132414925662</v>
      </c>
      <c r="I66" s="46">
        <f t="shared" si="25"/>
        <v>0.44994219794044932</v>
      </c>
      <c r="J66" s="46">
        <f t="shared" si="25"/>
        <v>0.46207085185123625</v>
      </c>
      <c r="K66" s="46">
        <f t="shared" si="25"/>
        <v>0.42228750180272379</v>
      </c>
      <c r="L66" s="46">
        <f t="shared" si="25"/>
        <v>0.41753739469630602</v>
      </c>
      <c r="M66" s="46">
        <f t="shared" si="25"/>
        <v>0.41271637300509306</v>
      </c>
      <c r="N66" s="46">
        <f t="shared" si="25"/>
        <v>0.39298294792781208</v>
      </c>
      <c r="O66" s="46">
        <f t="shared" si="25"/>
        <v>0.40975732630680622</v>
      </c>
      <c r="P66" s="46">
        <f t="shared" si="25"/>
        <v>0.41272510585422439</v>
      </c>
      <c r="Q66" s="46">
        <f t="shared" si="25"/>
        <v>0.41466109076152152</v>
      </c>
      <c r="R66" s="46">
        <f t="shared" si="25"/>
        <v>0.40544386080127376</v>
      </c>
      <c r="S66" s="46">
        <f t="shared" si="25"/>
        <v>0.43055158198629323</v>
      </c>
      <c r="T66" s="46">
        <f t="shared" si="25"/>
        <v>0.42398249883711875</v>
      </c>
      <c r="U66" s="46">
        <f t="shared" si="25"/>
        <v>0.42833548939434457</v>
      </c>
      <c r="V66" s="46">
        <f t="shared" si="25"/>
        <v>0.42435691682116428</v>
      </c>
      <c r="W66" s="46">
        <f t="shared" si="25"/>
        <v>0.41375120221758094</v>
      </c>
      <c r="X66" s="46">
        <f t="shared" si="25"/>
        <v>0.43403905138384036</v>
      </c>
      <c r="Y66" s="46">
        <f t="shared" si="25"/>
        <v>0.44467930323623928</v>
      </c>
      <c r="Z66" s="47">
        <f>IFERROR($Z$65/$Z$63,0)</f>
        <v>0.42404657078894897</v>
      </c>
    </row>
    <row r="67" spans="1:26" x14ac:dyDescent="0.25">
      <c r="A67" s="41" t="s">
        <v>338</v>
      </c>
      <c r="B67" s="42">
        <f>(SUMIFS('04_Base_Despesas'!$D$4:$D$219, '04_Base_Despesas'!$A$4:$A$219, B$59, '04_Base_Despesas'!$B$4:$B$219, "pessoal"))*(IFERROR(SUMIFS('03_Base_Vendas'!$I$4:$I$387, '03_Base_Vendas'!$A$4:$A$387, B$59, '03_Base_Vendas'!$B$4:$B$387, "franquia")/SUMIFS('03_Base_Vendas'!$I$4:$I$387, '03_Base_Vendas'!$A$4:$A$387, B$59),0))</f>
        <v>10887.102534455742</v>
      </c>
      <c r="C67" s="42">
        <f>(SUMIFS('04_Base_Despesas'!$D$4:$D$219, '04_Base_Despesas'!$A$4:$A$219, C$59, '04_Base_Despesas'!$B$4:$B$219, "pessoal"))*(IFERROR(SUMIFS('03_Base_Vendas'!$I$4:$I$387, '03_Base_Vendas'!$A$4:$A$387, C$59, '03_Base_Vendas'!$B$4:$B$387, "franquia")/SUMIFS('03_Base_Vendas'!$I$4:$I$387, '03_Base_Vendas'!$A$4:$A$387, C$59),0))</f>
        <v>7445.1457116561041</v>
      </c>
      <c r="D67" s="42">
        <f>(SUMIFS('04_Base_Despesas'!$D$4:$D$219, '04_Base_Despesas'!$A$4:$A$219, D$59, '04_Base_Despesas'!$B$4:$B$219, "pessoal"))*(IFERROR(SUMIFS('03_Base_Vendas'!$I$4:$I$387, '03_Base_Vendas'!$A$4:$A$387, D$59, '03_Base_Vendas'!$B$4:$B$387, "franquia")/SUMIFS('03_Base_Vendas'!$I$4:$I$387, '03_Base_Vendas'!$A$4:$A$387, D$59),0))</f>
        <v>7469.6527812294134</v>
      </c>
      <c r="E67" s="42">
        <f>(SUMIFS('04_Base_Despesas'!$D$4:$D$219, '04_Base_Despesas'!$A$4:$A$219, E$59, '04_Base_Despesas'!$B$4:$B$219, "pessoal"))*(IFERROR(SUMIFS('03_Base_Vendas'!$I$4:$I$387, '03_Base_Vendas'!$A$4:$A$387, E$59, '03_Base_Vendas'!$B$4:$B$387, "franquia")/SUMIFS('03_Base_Vendas'!$I$4:$I$387, '03_Base_Vendas'!$A$4:$A$387, E$59),0))</f>
        <v>7785.7554194622426</v>
      </c>
      <c r="F67" s="42">
        <f>(SUMIFS('04_Base_Despesas'!$D$4:$D$219, '04_Base_Despesas'!$A$4:$A$219, F$59, '04_Base_Despesas'!$B$4:$B$219, "pessoal"))*(IFERROR(SUMIFS('03_Base_Vendas'!$I$4:$I$387, '03_Base_Vendas'!$A$4:$A$387, F$59, '03_Base_Vendas'!$B$4:$B$387, "franquia")/SUMIFS('03_Base_Vendas'!$I$4:$I$387, '03_Base_Vendas'!$A$4:$A$387, F$59),0))</f>
        <v>8536.4744675206166</v>
      </c>
      <c r="G67" s="42">
        <f>(SUMIFS('04_Base_Despesas'!$D$4:$D$219, '04_Base_Despesas'!$A$4:$A$219, G$59, '04_Base_Despesas'!$B$4:$B$219, "pessoal"))*(IFERROR(SUMIFS('03_Base_Vendas'!$I$4:$I$387, '03_Base_Vendas'!$A$4:$A$387, G$59, '03_Base_Vendas'!$B$4:$B$387, "franquia")/SUMIFS('03_Base_Vendas'!$I$4:$I$387, '03_Base_Vendas'!$A$4:$A$387, G$59),0))</f>
        <v>8509.4716328585</v>
      </c>
      <c r="H67" s="42">
        <f>(SUMIFS('04_Base_Despesas'!$D$4:$D$219, '04_Base_Despesas'!$A$4:$A$219, H$59, '04_Base_Despesas'!$B$4:$B$219, "pessoal"))*(IFERROR(SUMIFS('03_Base_Vendas'!$I$4:$I$387, '03_Base_Vendas'!$A$4:$A$387, H$59, '03_Base_Vendas'!$B$4:$B$387, "franquia")/SUMIFS('03_Base_Vendas'!$I$4:$I$387, '03_Base_Vendas'!$A$4:$A$387, H$59),0))</f>
        <v>8880.7638899832855</v>
      </c>
      <c r="I67" s="42">
        <f>(SUMIFS('04_Base_Despesas'!$D$4:$D$219, '04_Base_Despesas'!$A$4:$A$219, I$59, '04_Base_Despesas'!$B$4:$B$219, "pessoal"))*(IFERROR(SUMIFS('03_Base_Vendas'!$I$4:$I$387, '03_Base_Vendas'!$A$4:$A$387, I$59, '03_Base_Vendas'!$B$4:$B$387, "franquia")/SUMIFS('03_Base_Vendas'!$I$4:$I$387, '03_Base_Vendas'!$A$4:$A$387, I$59),0))</f>
        <v>10571.337553746875</v>
      </c>
      <c r="J67" s="42">
        <f>(SUMIFS('04_Base_Despesas'!$D$4:$D$219, '04_Base_Despesas'!$A$4:$A$219, J$59, '04_Base_Despesas'!$B$4:$B$219, "pessoal"))*(IFERROR(SUMIFS('03_Base_Vendas'!$I$4:$I$387, '03_Base_Vendas'!$A$4:$A$387, J$59, '03_Base_Vendas'!$B$4:$B$387, "franquia")/SUMIFS('03_Base_Vendas'!$I$4:$I$387, '03_Base_Vendas'!$A$4:$A$387, J$59),0))</f>
        <v>7662.802727533227</v>
      </c>
      <c r="K67" s="42">
        <f>(SUMIFS('04_Base_Despesas'!$D$4:$D$219, '04_Base_Despesas'!$A$4:$A$219, K$59, '04_Base_Despesas'!$B$4:$B$219, "pessoal"))*(IFERROR(SUMIFS('03_Base_Vendas'!$I$4:$I$387, '03_Base_Vendas'!$A$4:$A$387, K$59, '03_Base_Vendas'!$B$4:$B$387, "franquia")/SUMIFS('03_Base_Vendas'!$I$4:$I$387, '03_Base_Vendas'!$A$4:$A$387, K$59),0))</f>
        <v>10301.030833434137</v>
      </c>
      <c r="L67" s="42">
        <f>(SUMIFS('04_Base_Despesas'!$D$4:$D$219, '04_Base_Despesas'!$A$4:$A$219, L$59, '04_Base_Despesas'!$B$4:$B$219, "pessoal"))*(IFERROR(SUMIFS('03_Base_Vendas'!$I$4:$I$387, '03_Base_Vendas'!$A$4:$A$387, L$59, '03_Base_Vendas'!$B$4:$B$387, "franquia")/SUMIFS('03_Base_Vendas'!$I$4:$I$387, '03_Base_Vendas'!$A$4:$A$387, L$59),0))</f>
        <v>8483.6730645066364</v>
      </c>
      <c r="M67" s="42">
        <f>(SUMIFS('04_Base_Despesas'!$D$4:$D$219, '04_Base_Despesas'!$A$4:$A$219, M$59, '04_Base_Despesas'!$B$4:$B$219, "pessoal"))*(IFERROR(SUMIFS('03_Base_Vendas'!$I$4:$I$387, '03_Base_Vendas'!$A$4:$A$387, M$59, '03_Base_Vendas'!$B$4:$B$387, "franquia")/SUMIFS('03_Base_Vendas'!$I$4:$I$387, '03_Base_Vendas'!$A$4:$A$387, M$59),0))</f>
        <v>8918.6296742259365</v>
      </c>
      <c r="N67" s="42">
        <f>(SUMIFS('04_Base_Despesas'!$D$4:$D$219, '04_Base_Despesas'!$A$4:$A$219, N$59, '04_Base_Despesas'!$B$4:$B$219, "pessoal"))*(IFERROR(SUMIFS('03_Base_Vendas'!$I$4:$I$387, '03_Base_Vendas'!$A$4:$A$387, N$59, '03_Base_Vendas'!$B$4:$B$387, "franquia")/SUMIFS('03_Base_Vendas'!$I$4:$I$387, '03_Base_Vendas'!$A$4:$A$387, N$59),0))</f>
        <v>7441.2997212707696</v>
      </c>
      <c r="O67" s="42">
        <f>(SUMIFS('04_Base_Despesas'!$D$4:$D$219, '04_Base_Despesas'!$A$4:$A$219, O$59, '04_Base_Despesas'!$B$4:$B$219, "pessoal"))*(IFERROR(SUMIFS('03_Base_Vendas'!$I$4:$I$387, '03_Base_Vendas'!$A$4:$A$387, O$59, '03_Base_Vendas'!$B$4:$B$387, "franquia")/SUMIFS('03_Base_Vendas'!$I$4:$I$387, '03_Base_Vendas'!$A$4:$A$387, O$59),0))</f>
        <v>9149.169334283999</v>
      </c>
      <c r="P67" s="42">
        <f>(SUMIFS('04_Base_Despesas'!$D$4:$D$219, '04_Base_Despesas'!$A$4:$A$219, P$59, '04_Base_Despesas'!$B$4:$B$219, "pessoal"))*(IFERROR(SUMIFS('03_Base_Vendas'!$I$4:$I$387, '03_Base_Vendas'!$A$4:$A$387, P$59, '03_Base_Vendas'!$B$4:$B$387, "franquia")/SUMIFS('03_Base_Vendas'!$I$4:$I$387, '03_Base_Vendas'!$A$4:$A$387, P$59),0))</f>
        <v>8295.8932148915974</v>
      </c>
      <c r="Q67" s="42">
        <f>(SUMIFS('04_Base_Despesas'!$D$4:$D$219, '04_Base_Despesas'!$A$4:$A$219, Q$59, '04_Base_Despesas'!$B$4:$B$219, "pessoal"))*(IFERROR(SUMIFS('03_Base_Vendas'!$I$4:$I$387, '03_Base_Vendas'!$A$4:$A$387, Q$59, '03_Base_Vendas'!$B$4:$B$387, "franquia")/SUMIFS('03_Base_Vendas'!$I$4:$I$387, '03_Base_Vendas'!$A$4:$A$387, Q$59),0))</f>
        <v>7787.7854291162821</v>
      </c>
      <c r="R67" s="42">
        <f>(SUMIFS('04_Base_Despesas'!$D$4:$D$219, '04_Base_Despesas'!$A$4:$A$219, R$59, '04_Base_Despesas'!$B$4:$B$219, "pessoal"))*(IFERROR(SUMIFS('03_Base_Vendas'!$I$4:$I$387, '03_Base_Vendas'!$A$4:$A$387, R$59, '03_Base_Vendas'!$B$4:$B$387, "franquia")/SUMIFS('03_Base_Vendas'!$I$4:$I$387, '03_Base_Vendas'!$A$4:$A$387, R$59),0))</f>
        <v>7357.7057127800581</v>
      </c>
      <c r="S67" s="42">
        <f>(SUMIFS('04_Base_Despesas'!$D$4:$D$219, '04_Base_Despesas'!$A$4:$A$219, S$59, '04_Base_Despesas'!$B$4:$B$219, "pessoal"))*(IFERROR(SUMIFS('03_Base_Vendas'!$I$4:$I$387, '03_Base_Vendas'!$A$4:$A$387, S$59, '03_Base_Vendas'!$B$4:$B$387, "franquia")/SUMIFS('03_Base_Vendas'!$I$4:$I$387, '03_Base_Vendas'!$A$4:$A$387, S$59),0))</f>
        <v>8401.815802484678</v>
      </c>
      <c r="T67" s="42">
        <f>(SUMIFS('04_Base_Despesas'!$D$4:$D$219, '04_Base_Despesas'!$A$4:$A$219, T$59, '04_Base_Despesas'!$B$4:$B$219, "pessoal"))*(IFERROR(SUMIFS('03_Base_Vendas'!$I$4:$I$387, '03_Base_Vendas'!$A$4:$A$387, T$59, '03_Base_Vendas'!$B$4:$B$387, "franquia")/SUMIFS('03_Base_Vendas'!$I$4:$I$387, '03_Base_Vendas'!$A$4:$A$387, T$59),0))</f>
        <v>8268.3033287617909</v>
      </c>
      <c r="U67" s="42">
        <f>(SUMIFS('04_Base_Despesas'!$D$4:$D$219, '04_Base_Despesas'!$A$4:$A$219, U$59, '04_Base_Despesas'!$B$4:$B$219, "pessoal"))*(IFERROR(SUMIFS('03_Base_Vendas'!$I$4:$I$387, '03_Base_Vendas'!$A$4:$A$387, U$59, '03_Base_Vendas'!$B$4:$B$387, "franquia")/SUMIFS('03_Base_Vendas'!$I$4:$I$387, '03_Base_Vendas'!$A$4:$A$387, U$59),0))</f>
        <v>11111.477607618821</v>
      </c>
      <c r="V67" s="42">
        <f>(SUMIFS('04_Base_Despesas'!$D$4:$D$219, '04_Base_Despesas'!$A$4:$A$219, V$59, '04_Base_Despesas'!$B$4:$B$219, "pessoal"))*(IFERROR(SUMIFS('03_Base_Vendas'!$I$4:$I$387, '03_Base_Vendas'!$A$4:$A$387, V$59, '03_Base_Vendas'!$B$4:$B$387, "franquia")/SUMIFS('03_Base_Vendas'!$I$4:$I$387, '03_Base_Vendas'!$A$4:$A$387, V$59),0))</f>
        <v>8763.4921133826228</v>
      </c>
      <c r="W67" s="42">
        <f>(SUMIFS('04_Base_Despesas'!$D$4:$D$219, '04_Base_Despesas'!$A$4:$A$219, W$59, '04_Base_Despesas'!$B$4:$B$219, "pessoal"))*(IFERROR(SUMIFS('03_Base_Vendas'!$I$4:$I$387, '03_Base_Vendas'!$A$4:$A$387, W$59, '03_Base_Vendas'!$B$4:$B$387, "franquia")/SUMIFS('03_Base_Vendas'!$I$4:$I$387, '03_Base_Vendas'!$A$4:$A$387, W$59),0))</f>
        <v>9129.9611605448881</v>
      </c>
      <c r="X67" s="42">
        <f>(SUMIFS('04_Base_Despesas'!$D$4:$D$219, '04_Base_Despesas'!$A$4:$A$219, X$59, '04_Base_Despesas'!$B$4:$B$219, "pessoal"))*(IFERROR(SUMIFS('03_Base_Vendas'!$I$4:$I$387, '03_Base_Vendas'!$A$4:$A$387, X$59, '03_Base_Vendas'!$B$4:$B$387, "franquia")/SUMIFS('03_Base_Vendas'!$I$4:$I$387, '03_Base_Vendas'!$A$4:$A$387, X$59),0))</f>
        <v>8133.3175429192897</v>
      </c>
      <c r="Y67" s="42">
        <f>(SUMIFS('04_Base_Despesas'!$D$4:$D$219, '04_Base_Despesas'!$A$4:$A$219, Y$59, '04_Base_Despesas'!$B$4:$B$219, "pessoal"))*(IFERROR(SUMIFS('03_Base_Vendas'!$I$4:$I$387, '03_Base_Vendas'!$A$4:$A$387, Y$59, '03_Base_Vendas'!$B$4:$B$387, "franquia")/SUMIFS('03_Base_Vendas'!$I$4:$I$387, '03_Base_Vendas'!$A$4:$A$387, Y$59),0))</f>
        <v>10223.228316733344</v>
      </c>
      <c r="Z67" s="43">
        <f t="shared" ref="Z67:Z75" si="26">SUM(B67:Y67)</f>
        <v>209515.28957540088</v>
      </c>
    </row>
    <row r="68" spans="1:26" x14ac:dyDescent="0.25">
      <c r="A68" s="41" t="s">
        <v>339</v>
      </c>
      <c r="B68" s="42">
        <f>(SUMIFS('04_Base_Despesas'!$D$4:$D$219, '04_Base_Despesas'!$A$4:$A$219, B$59, '04_Base_Despesas'!$B$4:$B$219, "aluguel"))*(IFERROR(SUMIFS('03_Base_Vendas'!$I$4:$I$387, '03_Base_Vendas'!$A$4:$A$387, B$59, '03_Base_Vendas'!$B$4:$B$387, "franquia")/SUMIFS('03_Base_Vendas'!$I$4:$I$387, '03_Base_Vendas'!$A$4:$A$387, B$59),0))</f>
        <v>2041.9124606233142</v>
      </c>
      <c r="C68" s="42">
        <f>(SUMIFS('04_Base_Despesas'!$D$4:$D$219, '04_Base_Despesas'!$A$4:$A$219, C$59, '04_Base_Despesas'!$B$4:$B$219, "aluguel"))*(IFERROR(SUMIFS('03_Base_Vendas'!$I$4:$I$387, '03_Base_Vendas'!$A$4:$A$387, C$59, '03_Base_Vendas'!$B$4:$B$387, "franquia")/SUMIFS('03_Base_Vendas'!$I$4:$I$387, '03_Base_Vendas'!$A$4:$A$387, C$59),0))</f>
        <v>1356.9319589612828</v>
      </c>
      <c r="D68" s="42">
        <f>(SUMIFS('04_Base_Despesas'!$D$4:$D$219, '04_Base_Despesas'!$A$4:$A$219, D$59, '04_Base_Despesas'!$B$4:$B$219, "aluguel"))*(IFERROR(SUMIFS('03_Base_Vendas'!$I$4:$I$387, '03_Base_Vendas'!$A$4:$A$387, D$59, '03_Base_Vendas'!$B$4:$B$387, "franquia")/SUMIFS('03_Base_Vendas'!$I$4:$I$387, '03_Base_Vendas'!$A$4:$A$387, D$59),0))</f>
        <v>1415.7018523120698</v>
      </c>
      <c r="E68" s="42">
        <f>(SUMIFS('04_Base_Despesas'!$D$4:$D$219, '04_Base_Despesas'!$A$4:$A$219, E$59, '04_Base_Despesas'!$B$4:$B$219, "aluguel"))*(IFERROR(SUMIFS('03_Base_Vendas'!$I$4:$I$387, '03_Base_Vendas'!$A$4:$A$387, E$59, '03_Base_Vendas'!$B$4:$B$387, "franquia")/SUMIFS('03_Base_Vendas'!$I$4:$I$387, '03_Base_Vendas'!$A$4:$A$387, E$59),0))</f>
        <v>1495.0565084894336</v>
      </c>
      <c r="F68" s="42">
        <f>(SUMIFS('04_Base_Despesas'!$D$4:$D$219, '04_Base_Despesas'!$A$4:$A$219, F$59, '04_Base_Despesas'!$B$4:$B$219, "aluguel"))*(IFERROR(SUMIFS('03_Base_Vendas'!$I$4:$I$387, '03_Base_Vendas'!$A$4:$A$387, F$59, '03_Base_Vendas'!$B$4:$B$387, "franquia")/SUMIFS('03_Base_Vendas'!$I$4:$I$387, '03_Base_Vendas'!$A$4:$A$387, F$59),0))</f>
        <v>1560.0018205571671</v>
      </c>
      <c r="G68" s="42">
        <f>(SUMIFS('04_Base_Despesas'!$D$4:$D$219, '04_Base_Despesas'!$A$4:$A$219, G$59, '04_Base_Despesas'!$B$4:$B$219, "aluguel"))*(IFERROR(SUMIFS('03_Base_Vendas'!$I$4:$I$387, '03_Base_Vendas'!$A$4:$A$387, G$59, '03_Base_Vendas'!$B$4:$B$387, "franquia")/SUMIFS('03_Base_Vendas'!$I$4:$I$387, '03_Base_Vendas'!$A$4:$A$387, G$59),0))</f>
        <v>1598.1697455195931</v>
      </c>
      <c r="H68" s="42">
        <f>(SUMIFS('04_Base_Despesas'!$D$4:$D$219, '04_Base_Despesas'!$A$4:$A$219, H$59, '04_Base_Despesas'!$B$4:$B$219, "aluguel"))*(IFERROR(SUMIFS('03_Base_Vendas'!$I$4:$I$387, '03_Base_Vendas'!$A$4:$A$387, H$59, '03_Base_Vendas'!$B$4:$B$387, "franquia")/SUMIFS('03_Base_Vendas'!$I$4:$I$387, '03_Base_Vendas'!$A$4:$A$387, H$59),0))</f>
        <v>1626.1063010216105</v>
      </c>
      <c r="I68" s="42">
        <f>(SUMIFS('04_Base_Despesas'!$D$4:$D$219, '04_Base_Despesas'!$A$4:$A$219, I$59, '04_Base_Despesas'!$B$4:$B$219, "aluguel"))*(IFERROR(SUMIFS('03_Base_Vendas'!$I$4:$I$387, '03_Base_Vendas'!$A$4:$A$387, I$59, '03_Base_Vendas'!$B$4:$B$387, "franquia")/SUMIFS('03_Base_Vendas'!$I$4:$I$387, '03_Base_Vendas'!$A$4:$A$387, I$59),0))</f>
        <v>1934.8554896125636</v>
      </c>
      <c r="J68" s="42">
        <f>(SUMIFS('04_Base_Despesas'!$D$4:$D$219, '04_Base_Despesas'!$A$4:$A$219, J$59, '04_Base_Despesas'!$B$4:$B$219, "aluguel"))*(IFERROR(SUMIFS('03_Base_Vendas'!$I$4:$I$387, '03_Base_Vendas'!$A$4:$A$387, J$59, '03_Base_Vendas'!$B$4:$B$387, "franquia")/SUMIFS('03_Base_Vendas'!$I$4:$I$387, '03_Base_Vendas'!$A$4:$A$387, J$59),0))</f>
        <v>1397.5292133919772</v>
      </c>
      <c r="K68" s="42">
        <f>(SUMIFS('04_Base_Despesas'!$D$4:$D$219, '04_Base_Despesas'!$A$4:$A$219, K$59, '04_Base_Despesas'!$B$4:$B$219, "aluguel"))*(IFERROR(SUMIFS('03_Base_Vendas'!$I$4:$I$387, '03_Base_Vendas'!$A$4:$A$387, K$59, '03_Base_Vendas'!$B$4:$B$387, "franquia")/SUMIFS('03_Base_Vendas'!$I$4:$I$387, '03_Base_Vendas'!$A$4:$A$387, K$59),0))</f>
        <v>1865.4489738317004</v>
      </c>
      <c r="L68" s="42">
        <f>(SUMIFS('04_Base_Despesas'!$D$4:$D$219, '04_Base_Despesas'!$A$4:$A$219, L$59, '04_Base_Despesas'!$B$4:$B$219, "aluguel"))*(IFERROR(SUMIFS('03_Base_Vendas'!$I$4:$I$387, '03_Base_Vendas'!$A$4:$A$387, L$59, '03_Base_Vendas'!$B$4:$B$387, "franquia")/SUMIFS('03_Base_Vendas'!$I$4:$I$387, '03_Base_Vendas'!$A$4:$A$387, L$59),0))</f>
        <v>1591.7988745864081</v>
      </c>
      <c r="M68" s="42">
        <f>(SUMIFS('04_Base_Despesas'!$D$4:$D$219, '04_Base_Despesas'!$A$4:$A$219, M$59, '04_Base_Despesas'!$B$4:$B$219, "aluguel"))*(IFERROR(SUMIFS('03_Base_Vendas'!$I$4:$I$387, '03_Base_Vendas'!$A$4:$A$387, M$59, '03_Base_Vendas'!$B$4:$B$387, "franquia")/SUMIFS('03_Base_Vendas'!$I$4:$I$387, '03_Base_Vendas'!$A$4:$A$387, M$59),0))</f>
        <v>1632.0657916638283</v>
      </c>
      <c r="N68" s="42">
        <f>(SUMIFS('04_Base_Despesas'!$D$4:$D$219, '04_Base_Despesas'!$A$4:$A$219, N$59, '04_Base_Despesas'!$B$4:$B$219, "aluguel"))*(IFERROR(SUMIFS('03_Base_Vendas'!$I$4:$I$387, '03_Base_Vendas'!$A$4:$A$387, N$59, '03_Base_Vendas'!$B$4:$B$387, "franquia")/SUMIFS('03_Base_Vendas'!$I$4:$I$387, '03_Base_Vendas'!$A$4:$A$387, N$59),0))</f>
        <v>1369.1731373340624</v>
      </c>
      <c r="O68" s="42">
        <f>(SUMIFS('04_Base_Despesas'!$D$4:$D$219, '04_Base_Despesas'!$A$4:$A$219, O$59, '04_Base_Despesas'!$B$4:$B$219, "aluguel"))*(IFERROR(SUMIFS('03_Base_Vendas'!$I$4:$I$387, '03_Base_Vendas'!$A$4:$A$387, O$59, '03_Base_Vendas'!$B$4:$B$387, "franquia")/SUMIFS('03_Base_Vendas'!$I$4:$I$387, '03_Base_Vendas'!$A$4:$A$387, O$59),0))</f>
        <v>1681.2980833627776</v>
      </c>
      <c r="P68" s="42">
        <f>(SUMIFS('04_Base_Despesas'!$D$4:$D$219, '04_Base_Despesas'!$A$4:$A$219, P$59, '04_Base_Despesas'!$B$4:$B$219, "aluguel"))*(IFERROR(SUMIFS('03_Base_Vendas'!$I$4:$I$387, '03_Base_Vendas'!$A$4:$A$387, P$59, '03_Base_Vendas'!$B$4:$B$387, "franquia")/SUMIFS('03_Base_Vendas'!$I$4:$I$387, '03_Base_Vendas'!$A$4:$A$387, P$59),0))</f>
        <v>1510.7014934781523</v>
      </c>
      <c r="Q68" s="42">
        <f>(SUMIFS('04_Base_Despesas'!$D$4:$D$219, '04_Base_Despesas'!$A$4:$A$219, Q$59, '04_Base_Despesas'!$B$4:$B$219, "aluguel"))*(IFERROR(SUMIFS('03_Base_Vendas'!$I$4:$I$387, '03_Base_Vendas'!$A$4:$A$387, Q$59, '03_Base_Vendas'!$B$4:$B$387, "franquia")/SUMIFS('03_Base_Vendas'!$I$4:$I$387, '03_Base_Vendas'!$A$4:$A$387, Q$59),0))</f>
        <v>1424.7916960661962</v>
      </c>
      <c r="R68" s="42">
        <f>(SUMIFS('04_Base_Despesas'!$D$4:$D$219, '04_Base_Despesas'!$A$4:$A$219, R$59, '04_Base_Despesas'!$B$4:$B$219, "aluguel"))*(IFERROR(SUMIFS('03_Base_Vendas'!$I$4:$I$387, '03_Base_Vendas'!$A$4:$A$387, R$59, '03_Base_Vendas'!$B$4:$B$387, "franquia")/SUMIFS('03_Base_Vendas'!$I$4:$I$387, '03_Base_Vendas'!$A$4:$A$387, R$59),0))</f>
        <v>1337.830350289893</v>
      </c>
      <c r="S68" s="42">
        <f>(SUMIFS('04_Base_Despesas'!$D$4:$D$219, '04_Base_Despesas'!$A$4:$A$219, S$59, '04_Base_Despesas'!$B$4:$B$219, "aluguel"))*(IFERROR(SUMIFS('03_Base_Vendas'!$I$4:$I$387, '03_Base_Vendas'!$A$4:$A$387, S$59, '03_Base_Vendas'!$B$4:$B$387, "franquia")/SUMIFS('03_Base_Vendas'!$I$4:$I$387, '03_Base_Vendas'!$A$4:$A$387, S$59),0))</f>
        <v>1582.9913018200539</v>
      </c>
      <c r="T68" s="42">
        <f>(SUMIFS('04_Base_Despesas'!$D$4:$D$219, '04_Base_Despesas'!$A$4:$A$219, T$59, '04_Base_Despesas'!$B$4:$B$219, "aluguel"))*(IFERROR(SUMIFS('03_Base_Vendas'!$I$4:$I$387, '03_Base_Vendas'!$A$4:$A$387, T$59, '03_Base_Vendas'!$B$4:$B$387, "franquia")/SUMIFS('03_Base_Vendas'!$I$4:$I$387, '03_Base_Vendas'!$A$4:$A$387, T$59),0))</f>
        <v>1557.217531908914</v>
      </c>
      <c r="U68" s="42">
        <f>(SUMIFS('04_Base_Despesas'!$D$4:$D$219, '04_Base_Despesas'!$A$4:$A$219, U$59, '04_Base_Despesas'!$B$4:$B$219, "aluguel"))*(IFERROR(SUMIFS('03_Base_Vendas'!$I$4:$I$387, '03_Base_Vendas'!$A$4:$A$387, U$59, '03_Base_Vendas'!$B$4:$B$387, "franquia")/SUMIFS('03_Base_Vendas'!$I$4:$I$387, '03_Base_Vendas'!$A$4:$A$387, U$59),0))</f>
        <v>2061.6890745376695</v>
      </c>
      <c r="V68" s="42">
        <f>(SUMIFS('04_Base_Despesas'!$D$4:$D$219, '04_Base_Despesas'!$A$4:$A$219, V$59, '04_Base_Despesas'!$B$4:$B$219, "aluguel"))*(IFERROR(SUMIFS('03_Base_Vendas'!$I$4:$I$387, '03_Base_Vendas'!$A$4:$A$387, V$59, '03_Base_Vendas'!$B$4:$B$387, "franquia")/SUMIFS('03_Base_Vendas'!$I$4:$I$387, '03_Base_Vendas'!$A$4:$A$387, V$59),0))</f>
        <v>1624.8716512991532</v>
      </c>
      <c r="W68" s="42">
        <f>(SUMIFS('04_Base_Despesas'!$D$4:$D$219, '04_Base_Despesas'!$A$4:$A$219, W$59, '04_Base_Despesas'!$B$4:$B$219, "aluguel"))*(IFERROR(SUMIFS('03_Base_Vendas'!$I$4:$I$387, '03_Base_Vendas'!$A$4:$A$387, W$59, '03_Base_Vendas'!$B$4:$B$387, "franquia")/SUMIFS('03_Base_Vendas'!$I$4:$I$387, '03_Base_Vendas'!$A$4:$A$387, W$59),0))</f>
        <v>1692.997148139714</v>
      </c>
      <c r="X68" s="42">
        <f>(SUMIFS('04_Base_Despesas'!$D$4:$D$219, '04_Base_Despesas'!$A$4:$A$219, X$59, '04_Base_Despesas'!$B$4:$B$219, "aluguel"))*(IFERROR(SUMIFS('03_Base_Vendas'!$I$4:$I$387, '03_Base_Vendas'!$A$4:$A$387, X$59, '03_Base_Vendas'!$B$4:$B$387, "franquia")/SUMIFS('03_Base_Vendas'!$I$4:$I$387, '03_Base_Vendas'!$A$4:$A$387, X$59),0))</f>
        <v>1508.0827993272023</v>
      </c>
      <c r="Y68" s="42">
        <f>(SUMIFS('04_Base_Despesas'!$D$4:$D$219, '04_Base_Despesas'!$A$4:$A$219, Y$59, '04_Base_Despesas'!$B$4:$B$219, "aluguel"))*(IFERROR(SUMIFS('03_Base_Vendas'!$I$4:$I$387, '03_Base_Vendas'!$A$4:$A$387, Y$59, '03_Base_Vendas'!$B$4:$B$387, "franquia")/SUMIFS('03_Base_Vendas'!$I$4:$I$387, '03_Base_Vendas'!$A$4:$A$387, Y$59),0))</f>
        <v>1900.2555941117969</v>
      </c>
      <c r="Z68" s="43">
        <f t="shared" si="26"/>
        <v>38767.478852246539</v>
      </c>
    </row>
    <row r="69" spans="1:26" x14ac:dyDescent="0.25">
      <c r="A69" s="41" t="s">
        <v>340</v>
      </c>
      <c r="B69" s="42">
        <f>(SUMIFS('04_Base_Despesas'!$D$4:$D$219, '04_Base_Despesas'!$A$4:$A$219, B$59, '04_Base_Despesas'!$B$4:$B$219, "marketing"))*(IFERROR(SUMIFS('03_Base_Vendas'!$I$4:$I$387, '03_Base_Vendas'!$A$4:$A$387, B$59, '03_Base_Vendas'!$B$4:$B$387, "franquia")/SUMIFS('03_Base_Vendas'!$I$4:$I$387, '03_Base_Vendas'!$A$4:$A$387, B$59),0))</f>
        <v>3835.866079945527</v>
      </c>
      <c r="C69" s="42">
        <f>(SUMIFS('04_Base_Despesas'!$D$4:$D$219, '04_Base_Despesas'!$A$4:$A$219, C$59, '04_Base_Despesas'!$B$4:$B$219, "marketing"))*(IFERROR(SUMIFS('03_Base_Vendas'!$I$4:$I$387, '03_Base_Vendas'!$A$4:$A$387, C$59, '03_Base_Vendas'!$B$4:$B$387, "franquia")/SUMIFS('03_Base_Vendas'!$I$4:$I$387, '03_Base_Vendas'!$A$4:$A$387, C$59),0))</f>
        <v>1735.1917401907606</v>
      </c>
      <c r="D69" s="42">
        <f>(SUMIFS('04_Base_Despesas'!$D$4:$D$219, '04_Base_Despesas'!$A$4:$A$219, D$59, '04_Base_Despesas'!$B$4:$B$219, "marketing"))*(IFERROR(SUMIFS('03_Base_Vendas'!$I$4:$I$387, '03_Base_Vendas'!$A$4:$A$387, D$59, '03_Base_Vendas'!$B$4:$B$387, "franquia")/SUMIFS('03_Base_Vendas'!$I$4:$I$387, '03_Base_Vendas'!$A$4:$A$387, D$59),0))</f>
        <v>1637.9044542010679</v>
      </c>
      <c r="E69" s="42">
        <f>(SUMIFS('04_Base_Despesas'!$D$4:$D$219, '04_Base_Despesas'!$A$4:$A$219, E$59, '04_Base_Despesas'!$B$4:$B$219, "marketing"))*(IFERROR(SUMIFS('03_Base_Vendas'!$I$4:$I$387, '03_Base_Vendas'!$A$4:$A$387, E$59, '03_Base_Vendas'!$B$4:$B$387, "franquia")/SUMIFS('03_Base_Vendas'!$I$4:$I$387, '03_Base_Vendas'!$A$4:$A$387, E$59),0))</f>
        <v>1946.8295367373844</v>
      </c>
      <c r="F69" s="42">
        <f>(SUMIFS('04_Base_Despesas'!$D$4:$D$219, '04_Base_Despesas'!$A$4:$A$219, F$59, '04_Base_Despesas'!$B$4:$B$219, "marketing"))*(IFERROR(SUMIFS('03_Base_Vendas'!$I$4:$I$387, '03_Base_Vendas'!$A$4:$A$387, F$59, '03_Base_Vendas'!$B$4:$B$387, "franquia")/SUMIFS('03_Base_Vendas'!$I$4:$I$387, '03_Base_Vendas'!$A$4:$A$387, F$59),0))</f>
        <v>2808.4203722265024</v>
      </c>
      <c r="G69" s="42">
        <f>(SUMIFS('04_Base_Despesas'!$D$4:$D$219, '04_Base_Despesas'!$A$4:$A$219, G$59, '04_Base_Despesas'!$B$4:$B$219, "marketing"))*(IFERROR(SUMIFS('03_Base_Vendas'!$I$4:$I$387, '03_Base_Vendas'!$A$4:$A$387, G$59, '03_Base_Vendas'!$B$4:$B$387, "franquia")/SUMIFS('03_Base_Vendas'!$I$4:$I$387, '03_Base_Vendas'!$A$4:$A$387, G$59),0))</f>
        <v>2982.3176455710304</v>
      </c>
      <c r="H69" s="42">
        <f>(SUMIFS('04_Base_Despesas'!$D$4:$D$219, '04_Base_Despesas'!$A$4:$A$219, H$59, '04_Base_Despesas'!$B$4:$B$219, "marketing"))*(IFERROR(SUMIFS('03_Base_Vendas'!$I$4:$I$387, '03_Base_Vendas'!$A$4:$A$387, H$59, '03_Base_Vendas'!$B$4:$B$387, "franquia")/SUMIFS('03_Base_Vendas'!$I$4:$I$387, '03_Base_Vendas'!$A$4:$A$387, H$59),0))</f>
        <v>1702.8739236474191</v>
      </c>
      <c r="I69" s="42">
        <f>(SUMIFS('04_Base_Despesas'!$D$4:$D$219, '04_Base_Despesas'!$A$4:$A$219, I$59, '04_Base_Despesas'!$B$4:$B$219, "marketing"))*(IFERROR(SUMIFS('03_Base_Vendas'!$I$4:$I$387, '03_Base_Vendas'!$A$4:$A$387, I$59, '03_Base_Vendas'!$B$4:$B$387, "franquia")/SUMIFS('03_Base_Vendas'!$I$4:$I$387, '03_Base_Vendas'!$A$4:$A$387, I$59),0))</f>
        <v>2617.0366546902155</v>
      </c>
      <c r="J69" s="42">
        <f>(SUMIFS('04_Base_Despesas'!$D$4:$D$219, '04_Base_Despesas'!$A$4:$A$219, J$59, '04_Base_Despesas'!$B$4:$B$219, "marketing"))*(IFERROR(SUMIFS('03_Base_Vendas'!$I$4:$I$387, '03_Base_Vendas'!$A$4:$A$387, J$59, '03_Base_Vendas'!$B$4:$B$387, "franquia")/SUMIFS('03_Base_Vendas'!$I$4:$I$387, '03_Base_Vendas'!$A$4:$A$387, J$59),0))</f>
        <v>2098.5901812480761</v>
      </c>
      <c r="K69" s="42">
        <f>(SUMIFS('04_Base_Despesas'!$D$4:$D$219, '04_Base_Despesas'!$A$4:$A$219, K$59, '04_Base_Despesas'!$B$4:$B$219, "marketing"))*(IFERROR(SUMIFS('03_Base_Vendas'!$I$4:$I$387, '03_Base_Vendas'!$A$4:$A$387, K$59, '03_Base_Vendas'!$B$4:$B$387, "franquia")/SUMIFS('03_Base_Vendas'!$I$4:$I$387, '03_Base_Vendas'!$A$4:$A$387, K$59),0))</f>
        <v>2850.3706866658604</v>
      </c>
      <c r="L69" s="42">
        <f>(SUMIFS('04_Base_Despesas'!$D$4:$D$219, '04_Base_Despesas'!$A$4:$A$219, L$59, '04_Base_Despesas'!$B$4:$B$219, "marketing"))*(IFERROR(SUMIFS('03_Base_Vendas'!$I$4:$I$387, '03_Base_Vendas'!$A$4:$A$387, L$59, '03_Base_Vendas'!$B$4:$B$387, "franquia")/SUMIFS('03_Base_Vendas'!$I$4:$I$387, '03_Base_Vendas'!$A$4:$A$387, L$59),0))</f>
        <v>2695.8890053549308</v>
      </c>
      <c r="M69" s="42">
        <f>(SUMIFS('04_Base_Despesas'!$D$4:$D$219, '04_Base_Despesas'!$A$4:$A$219, M$59, '04_Base_Despesas'!$B$4:$B$219, "marketing"))*(IFERROR(SUMIFS('03_Base_Vendas'!$I$4:$I$387, '03_Base_Vendas'!$A$4:$A$387, M$59, '03_Base_Vendas'!$B$4:$B$387, "franquia")/SUMIFS('03_Base_Vendas'!$I$4:$I$387, '03_Base_Vendas'!$A$4:$A$387, M$59),0))</f>
        <v>3123.6193084853567</v>
      </c>
      <c r="N69" s="42">
        <f>(SUMIFS('04_Base_Despesas'!$D$4:$D$219, '04_Base_Despesas'!$A$4:$A$219, N$59, '04_Base_Despesas'!$B$4:$B$219, "marketing"))*(IFERROR(SUMIFS('03_Base_Vendas'!$I$4:$I$387, '03_Base_Vendas'!$A$4:$A$387, N$59, '03_Base_Vendas'!$B$4:$B$387, "franquia")/SUMIFS('03_Base_Vendas'!$I$4:$I$387, '03_Base_Vendas'!$A$4:$A$387, N$59),0))</f>
        <v>2168.2649761793591</v>
      </c>
      <c r="O69" s="42">
        <f>(SUMIFS('04_Base_Despesas'!$D$4:$D$219, '04_Base_Despesas'!$A$4:$A$219, O$59, '04_Base_Despesas'!$B$4:$B$219, "marketing"))*(IFERROR(SUMIFS('03_Base_Vendas'!$I$4:$I$387, '03_Base_Vendas'!$A$4:$A$387, O$59, '03_Base_Vendas'!$B$4:$B$387, "franquia")/SUMIFS('03_Base_Vendas'!$I$4:$I$387, '03_Base_Vendas'!$A$4:$A$387, O$59),0))</f>
        <v>2144.3647410574663</v>
      </c>
      <c r="P69" s="42">
        <f>(SUMIFS('04_Base_Despesas'!$D$4:$D$219, '04_Base_Despesas'!$A$4:$A$219, P$59, '04_Base_Despesas'!$B$4:$B$219, "marketing"))*(IFERROR(SUMIFS('03_Base_Vendas'!$I$4:$I$387, '03_Base_Vendas'!$A$4:$A$387, P$59, '03_Base_Vendas'!$B$4:$B$387, "franquia")/SUMIFS('03_Base_Vendas'!$I$4:$I$387, '03_Base_Vendas'!$A$4:$A$387, P$59),0))</f>
        <v>2534.057046008646</v>
      </c>
      <c r="Q69" s="42">
        <f>(SUMIFS('04_Base_Despesas'!$D$4:$D$219, '04_Base_Despesas'!$A$4:$A$219, Q$59, '04_Base_Despesas'!$B$4:$B$219, "marketing"))*(IFERROR(SUMIFS('03_Base_Vendas'!$I$4:$I$387, '03_Base_Vendas'!$A$4:$A$387, Q$59, '03_Base_Vendas'!$B$4:$B$387, "franquia")/SUMIFS('03_Base_Vendas'!$I$4:$I$387, '03_Base_Vendas'!$A$4:$A$387, Q$59),0))</f>
        <v>1812.3215393696071</v>
      </c>
      <c r="R69" s="42">
        <f>(SUMIFS('04_Base_Despesas'!$D$4:$D$219, '04_Base_Despesas'!$A$4:$A$219, R$59, '04_Base_Despesas'!$B$4:$B$219, "marketing"))*(IFERROR(SUMIFS('03_Base_Vendas'!$I$4:$I$387, '03_Base_Vendas'!$A$4:$A$387, R$59, '03_Base_Vendas'!$B$4:$B$387, "franquia")/SUMIFS('03_Base_Vendas'!$I$4:$I$387, '03_Base_Vendas'!$A$4:$A$387, R$59),0))</f>
        <v>2941.3394460607815</v>
      </c>
      <c r="S69" s="42">
        <f>(SUMIFS('04_Base_Despesas'!$D$4:$D$219, '04_Base_Despesas'!$A$4:$A$219, S$59, '04_Base_Despesas'!$B$4:$B$219, "marketing"))*(IFERROR(SUMIFS('03_Base_Vendas'!$I$4:$I$387, '03_Base_Vendas'!$A$4:$A$387, S$59, '03_Base_Vendas'!$B$4:$B$387, "franquia")/SUMIFS('03_Base_Vendas'!$I$4:$I$387, '03_Base_Vendas'!$A$4:$A$387, S$59),0))</f>
        <v>2505.5976527154053</v>
      </c>
      <c r="T69" s="42">
        <f>(SUMIFS('04_Base_Despesas'!$D$4:$D$219, '04_Base_Despesas'!$A$4:$A$219, T$59, '04_Base_Despesas'!$B$4:$B$219, "marketing"))*(IFERROR(SUMIFS('03_Base_Vendas'!$I$4:$I$387, '03_Base_Vendas'!$A$4:$A$387, T$59, '03_Base_Vendas'!$B$4:$B$387, "franquia")/SUMIFS('03_Base_Vendas'!$I$4:$I$387, '03_Base_Vendas'!$A$4:$A$387, T$59),0))</f>
        <v>2268.8192979990145</v>
      </c>
      <c r="U69" s="42">
        <f>(SUMIFS('04_Base_Despesas'!$D$4:$D$219, '04_Base_Despesas'!$A$4:$A$219, U$59, '04_Base_Despesas'!$B$4:$B$219, "marketing"))*(IFERROR(SUMIFS('03_Base_Vendas'!$I$4:$I$387, '03_Base_Vendas'!$A$4:$A$387, U$59, '03_Base_Vendas'!$B$4:$B$387, "franquia")/SUMIFS('03_Base_Vendas'!$I$4:$I$387, '03_Base_Vendas'!$A$4:$A$387, U$59),0))</f>
        <v>2819.3598094302629</v>
      </c>
      <c r="V69" s="42">
        <f>(SUMIFS('04_Base_Despesas'!$D$4:$D$219, '04_Base_Despesas'!$A$4:$A$219, V$59, '04_Base_Despesas'!$B$4:$B$219, "marketing"))*(IFERROR(SUMIFS('03_Base_Vendas'!$I$4:$I$387, '03_Base_Vendas'!$A$4:$A$387, V$59, '03_Base_Vendas'!$B$4:$B$387, "franquia")/SUMIFS('03_Base_Vendas'!$I$4:$I$387, '03_Base_Vendas'!$A$4:$A$387, V$59),0))</f>
        <v>2020.7382765095599</v>
      </c>
      <c r="W69" s="42">
        <f>(SUMIFS('04_Base_Despesas'!$D$4:$D$219, '04_Base_Despesas'!$A$4:$A$219, W$59, '04_Base_Despesas'!$B$4:$B$219, "marketing"))*(IFERROR(SUMIFS('03_Base_Vendas'!$I$4:$I$387, '03_Base_Vendas'!$A$4:$A$387, W$59, '03_Base_Vendas'!$B$4:$B$387, "franquia")/SUMIFS('03_Base_Vendas'!$I$4:$I$387, '03_Base_Vendas'!$A$4:$A$387, W$59),0))</f>
        <v>2698.3808314090911</v>
      </c>
      <c r="X69" s="42">
        <f>(SUMIFS('04_Base_Despesas'!$D$4:$D$219, '04_Base_Despesas'!$A$4:$A$219, X$59, '04_Base_Despesas'!$B$4:$B$219, "marketing"))*(IFERROR(SUMIFS('03_Base_Vendas'!$I$4:$I$387, '03_Base_Vendas'!$A$4:$A$387, X$59, '03_Base_Vendas'!$B$4:$B$387, "franquia")/SUMIFS('03_Base_Vendas'!$I$4:$I$387, '03_Base_Vendas'!$A$4:$A$387, X$59),0))</f>
        <v>2719.4892005484444</v>
      </c>
      <c r="Y69" s="42">
        <f>(SUMIFS('04_Base_Despesas'!$D$4:$D$219, '04_Base_Despesas'!$A$4:$A$219, Y$59, '04_Base_Despesas'!$B$4:$B$219, "marketing"))*(IFERROR(SUMIFS('03_Base_Vendas'!$I$4:$I$387, '03_Base_Vendas'!$A$4:$A$387, Y$59, '03_Base_Vendas'!$B$4:$B$387, "franquia")/SUMIFS('03_Base_Vendas'!$I$4:$I$387, '03_Base_Vendas'!$A$4:$A$387, Y$59),0))</f>
        <v>2826.571213369878</v>
      </c>
      <c r="Z69" s="43">
        <f t="shared" si="26"/>
        <v>59494.213619621645</v>
      </c>
    </row>
    <row r="70" spans="1:26" x14ac:dyDescent="0.25">
      <c r="A70" s="41" t="s">
        <v>341</v>
      </c>
      <c r="B70" s="42">
        <f>(SUMIFS('04_Base_Despesas'!$D$4:$D$219, '04_Base_Despesas'!$A$4:$A$219, B$59, '04_Base_Despesas'!$B$4:$B$219, "logistica"))*(IFERROR(SUMIFS('03_Base_Vendas'!$I$4:$I$387, '03_Base_Vendas'!$A$4:$A$387, B$59, '03_Base_Vendas'!$B$4:$B$387, "franquia")/SUMIFS('03_Base_Vendas'!$I$4:$I$387, '03_Base_Vendas'!$A$4:$A$387, B$59),0))</f>
        <v>1933.1409730329819</v>
      </c>
      <c r="C70" s="42">
        <f>(SUMIFS('04_Base_Despesas'!$D$4:$D$219, '04_Base_Despesas'!$A$4:$A$219, C$59, '04_Base_Despesas'!$B$4:$B$219, "logistica"))*(IFERROR(SUMIFS('03_Base_Vendas'!$I$4:$I$387, '03_Base_Vendas'!$A$4:$A$387, C$59, '03_Base_Vendas'!$B$4:$B$387, "franquia")/SUMIFS('03_Base_Vendas'!$I$4:$I$387, '03_Base_Vendas'!$A$4:$A$387, C$59),0))</f>
        <v>1308.450922591742</v>
      </c>
      <c r="D70" s="42">
        <f>(SUMIFS('04_Base_Despesas'!$D$4:$D$219, '04_Base_Despesas'!$A$4:$A$219, D$59, '04_Base_Despesas'!$B$4:$B$219, "logistica"))*(IFERROR(SUMIFS('03_Base_Vendas'!$I$4:$I$387, '03_Base_Vendas'!$A$4:$A$387, D$59, '03_Base_Vendas'!$B$4:$B$387, "franquia")/SUMIFS('03_Base_Vendas'!$I$4:$I$387, '03_Base_Vendas'!$A$4:$A$387, D$59),0))</f>
        <v>1455.0538931689171</v>
      </c>
      <c r="E70" s="42">
        <f>(SUMIFS('04_Base_Despesas'!$D$4:$D$219, '04_Base_Despesas'!$A$4:$A$219, E$59, '04_Base_Despesas'!$B$4:$B$219, "logistica"))*(IFERROR(SUMIFS('03_Base_Vendas'!$I$4:$I$387, '03_Base_Vendas'!$A$4:$A$387, E$59, '03_Base_Vendas'!$B$4:$B$387, "franquia")/SUMIFS('03_Base_Vendas'!$I$4:$I$387, '03_Base_Vendas'!$A$4:$A$387, E$59),0))</f>
        <v>1708.7897869430831</v>
      </c>
      <c r="F70" s="42">
        <f>(SUMIFS('04_Base_Despesas'!$D$4:$D$219, '04_Base_Despesas'!$A$4:$A$219, F$59, '04_Base_Despesas'!$B$4:$B$219, "logistica"))*(IFERROR(SUMIFS('03_Base_Vendas'!$I$4:$I$387, '03_Base_Vendas'!$A$4:$A$387, F$59, '03_Base_Vendas'!$B$4:$B$387, "franquia")/SUMIFS('03_Base_Vendas'!$I$4:$I$387, '03_Base_Vendas'!$A$4:$A$387, F$59),0))</f>
        <v>1620.2540171886235</v>
      </c>
      <c r="G70" s="42">
        <f>(SUMIFS('04_Base_Despesas'!$D$4:$D$219, '04_Base_Despesas'!$A$4:$A$219, G$59, '04_Base_Despesas'!$B$4:$B$219, "logistica"))*(IFERROR(SUMIFS('03_Base_Vendas'!$I$4:$I$387, '03_Base_Vendas'!$A$4:$A$387, G$59, '03_Base_Vendas'!$B$4:$B$387, "franquia")/SUMIFS('03_Base_Vendas'!$I$4:$I$387, '03_Base_Vendas'!$A$4:$A$387, G$59),0))</f>
        <v>1585.7090683563683</v>
      </c>
      <c r="H70" s="42">
        <f>(SUMIFS('04_Base_Despesas'!$D$4:$D$219, '04_Base_Despesas'!$A$4:$A$219, H$59, '04_Base_Despesas'!$B$4:$B$219, "logistica"))*(IFERROR(SUMIFS('03_Base_Vendas'!$I$4:$I$387, '03_Base_Vendas'!$A$4:$A$387, H$59, '03_Base_Vendas'!$B$4:$B$387, "franquia")/SUMIFS('03_Base_Vendas'!$I$4:$I$387, '03_Base_Vendas'!$A$4:$A$387, H$59),0))</f>
        <v>1838.2738044155376</v>
      </c>
      <c r="I70" s="42">
        <f>(SUMIFS('04_Base_Despesas'!$D$4:$D$219, '04_Base_Despesas'!$A$4:$A$219, I$59, '04_Base_Despesas'!$B$4:$B$219, "logistica"))*(IFERROR(SUMIFS('03_Base_Vendas'!$I$4:$I$387, '03_Base_Vendas'!$A$4:$A$387, I$59, '03_Base_Vendas'!$B$4:$B$387, "franquia")/SUMIFS('03_Base_Vendas'!$I$4:$I$387, '03_Base_Vendas'!$A$4:$A$387, I$59),0))</f>
        <v>2190.9264852478245</v>
      </c>
      <c r="J70" s="42">
        <f>(SUMIFS('04_Base_Despesas'!$D$4:$D$219, '04_Base_Despesas'!$A$4:$A$219, J$59, '04_Base_Despesas'!$B$4:$B$219, "logistica"))*(IFERROR(SUMIFS('03_Base_Vendas'!$I$4:$I$387, '03_Base_Vendas'!$A$4:$A$387, J$59, '03_Base_Vendas'!$B$4:$B$387, "franquia")/SUMIFS('03_Base_Vendas'!$I$4:$I$387, '03_Base_Vendas'!$A$4:$A$387, J$59),0))</f>
        <v>1588.0300981778937</v>
      </c>
      <c r="K70" s="42">
        <f>(SUMIFS('04_Base_Despesas'!$D$4:$D$219, '04_Base_Despesas'!$A$4:$A$219, K$59, '04_Base_Despesas'!$B$4:$B$219, "logistica"))*(IFERROR(SUMIFS('03_Base_Vendas'!$I$4:$I$387, '03_Base_Vendas'!$A$4:$A$387, K$59, '03_Base_Vendas'!$B$4:$B$387, "franquia")/SUMIFS('03_Base_Vendas'!$I$4:$I$387, '03_Base_Vendas'!$A$4:$A$387, K$59),0))</f>
        <v>1998.2591226160239</v>
      </c>
      <c r="L70" s="42">
        <f>(SUMIFS('04_Base_Despesas'!$D$4:$D$219, '04_Base_Despesas'!$A$4:$A$219, L$59, '04_Base_Despesas'!$B$4:$B$219, "logistica"))*(IFERROR(SUMIFS('03_Base_Vendas'!$I$4:$I$387, '03_Base_Vendas'!$A$4:$A$387, L$59, '03_Base_Vendas'!$B$4:$B$387, "franquia")/SUMIFS('03_Base_Vendas'!$I$4:$I$387, '03_Base_Vendas'!$A$4:$A$387, L$59),0))</f>
        <v>1718.0335520743984</v>
      </c>
      <c r="M70" s="42">
        <f>(SUMIFS('04_Base_Despesas'!$D$4:$D$219, '04_Base_Despesas'!$A$4:$A$219, M$59, '04_Base_Despesas'!$B$4:$B$219, "logistica"))*(IFERROR(SUMIFS('03_Base_Vendas'!$I$4:$I$387, '03_Base_Vendas'!$A$4:$A$387, M$59, '03_Base_Vendas'!$B$4:$B$387, "franquia")/SUMIFS('03_Base_Vendas'!$I$4:$I$387, '03_Base_Vendas'!$A$4:$A$387, M$59),0))</f>
        <v>1703.9007379929137</v>
      </c>
      <c r="N70" s="42">
        <f>(SUMIFS('04_Base_Despesas'!$D$4:$D$219, '04_Base_Despesas'!$A$4:$A$219, N$59, '04_Base_Despesas'!$B$4:$B$219, "logistica"))*(IFERROR(SUMIFS('03_Base_Vendas'!$I$4:$I$387, '03_Base_Vendas'!$A$4:$A$387, N$59, '03_Base_Vendas'!$B$4:$B$387, "franquia")/SUMIFS('03_Base_Vendas'!$I$4:$I$387, '03_Base_Vendas'!$A$4:$A$387, N$59),0))</f>
        <v>1364.0351403902741</v>
      </c>
      <c r="O70" s="42">
        <f>(SUMIFS('04_Base_Despesas'!$D$4:$D$219, '04_Base_Despesas'!$A$4:$A$219, O$59, '04_Base_Despesas'!$B$4:$B$219, "logistica"))*(IFERROR(SUMIFS('03_Base_Vendas'!$I$4:$I$387, '03_Base_Vendas'!$A$4:$A$387, O$59, '03_Base_Vendas'!$B$4:$B$387, "franquia")/SUMIFS('03_Base_Vendas'!$I$4:$I$387, '03_Base_Vendas'!$A$4:$A$387, O$59),0))</f>
        <v>1838.5419290561454</v>
      </c>
      <c r="P70" s="42">
        <f>(SUMIFS('04_Base_Despesas'!$D$4:$D$219, '04_Base_Despesas'!$A$4:$A$219, P$59, '04_Base_Despesas'!$B$4:$B$219, "logistica"))*(IFERROR(SUMIFS('03_Base_Vendas'!$I$4:$I$387, '03_Base_Vendas'!$A$4:$A$387, P$59, '03_Base_Vendas'!$B$4:$B$387, "franquia")/SUMIFS('03_Base_Vendas'!$I$4:$I$387, '03_Base_Vendas'!$A$4:$A$387, P$59),0))</f>
        <v>1774.3475279078609</v>
      </c>
      <c r="Q70" s="42">
        <f>(SUMIFS('04_Base_Despesas'!$D$4:$D$219, '04_Base_Despesas'!$A$4:$A$219, Q$59, '04_Base_Despesas'!$B$4:$B$219, "logistica"))*(IFERROR(SUMIFS('03_Base_Vendas'!$I$4:$I$387, '03_Base_Vendas'!$A$4:$A$387, Q$59, '03_Base_Vendas'!$B$4:$B$387, "franquia")/SUMIFS('03_Base_Vendas'!$I$4:$I$387, '03_Base_Vendas'!$A$4:$A$387, Q$59),0))</f>
        <v>1416.3689274713458</v>
      </c>
      <c r="R70" s="42">
        <f>(SUMIFS('04_Base_Despesas'!$D$4:$D$219, '04_Base_Despesas'!$A$4:$A$219, R$59, '04_Base_Despesas'!$B$4:$B$219, "logistica"))*(IFERROR(SUMIFS('03_Base_Vendas'!$I$4:$I$387, '03_Base_Vendas'!$A$4:$A$387, R$59, '03_Base_Vendas'!$B$4:$B$387, "franquia")/SUMIFS('03_Base_Vendas'!$I$4:$I$387, '03_Base_Vendas'!$A$4:$A$387, R$59),0))</f>
        <v>1478.5460148965797</v>
      </c>
      <c r="S70" s="42">
        <f>(SUMIFS('04_Base_Despesas'!$D$4:$D$219, '04_Base_Despesas'!$A$4:$A$219, S$59, '04_Base_Despesas'!$B$4:$B$219, "logistica"))*(IFERROR(SUMIFS('03_Base_Vendas'!$I$4:$I$387, '03_Base_Vendas'!$A$4:$A$387, S$59, '03_Base_Vendas'!$B$4:$B$387, "franquia")/SUMIFS('03_Base_Vendas'!$I$4:$I$387, '03_Base_Vendas'!$A$4:$A$387, S$59),0))</f>
        <v>1625.0121782710241</v>
      </c>
      <c r="T70" s="42">
        <f>(SUMIFS('04_Base_Despesas'!$D$4:$D$219, '04_Base_Despesas'!$A$4:$A$219, T$59, '04_Base_Despesas'!$B$4:$B$219, "logistica"))*(IFERROR(SUMIFS('03_Base_Vendas'!$I$4:$I$387, '03_Base_Vendas'!$A$4:$A$387, T$59, '03_Base_Vendas'!$B$4:$B$387, "franquia")/SUMIFS('03_Base_Vendas'!$I$4:$I$387, '03_Base_Vendas'!$A$4:$A$387, T$59),0))</f>
        <v>1540.2061776617597</v>
      </c>
      <c r="U70" s="42">
        <f>(SUMIFS('04_Base_Despesas'!$D$4:$D$219, '04_Base_Despesas'!$A$4:$A$219, U$59, '04_Base_Despesas'!$B$4:$B$219, "logistica"))*(IFERROR(SUMIFS('03_Base_Vendas'!$I$4:$I$387, '03_Base_Vendas'!$A$4:$A$387, U$59, '03_Base_Vendas'!$B$4:$B$387, "franquia")/SUMIFS('03_Base_Vendas'!$I$4:$I$387, '03_Base_Vendas'!$A$4:$A$387, U$59),0))</f>
        <v>2134.4428266795649</v>
      </c>
      <c r="V70" s="42">
        <f>(SUMIFS('04_Base_Despesas'!$D$4:$D$219, '04_Base_Despesas'!$A$4:$A$219, V$59, '04_Base_Despesas'!$B$4:$B$219, "logistica"))*(IFERROR(SUMIFS('03_Base_Vendas'!$I$4:$I$387, '03_Base_Vendas'!$A$4:$A$387, V$59, '03_Base_Vendas'!$B$4:$B$387, "franquia")/SUMIFS('03_Base_Vendas'!$I$4:$I$387, '03_Base_Vendas'!$A$4:$A$387, V$59),0))</f>
        <v>1551.1195822422906</v>
      </c>
      <c r="W70" s="42">
        <f>(SUMIFS('04_Base_Despesas'!$D$4:$D$219, '04_Base_Despesas'!$A$4:$A$219, W$59, '04_Base_Despesas'!$B$4:$B$219, "logistica"))*(IFERROR(SUMIFS('03_Base_Vendas'!$I$4:$I$387, '03_Base_Vendas'!$A$4:$A$387, W$59, '03_Base_Vendas'!$B$4:$B$387, "franquia")/SUMIFS('03_Base_Vendas'!$I$4:$I$387, '03_Base_Vendas'!$A$4:$A$387, W$59),0))</f>
        <v>1705.8265023180907</v>
      </c>
      <c r="X70" s="42">
        <f>(SUMIFS('04_Base_Despesas'!$D$4:$D$219, '04_Base_Despesas'!$A$4:$A$219, X$59, '04_Base_Despesas'!$B$4:$B$219, "logistica"))*(IFERROR(SUMIFS('03_Base_Vendas'!$I$4:$I$387, '03_Base_Vendas'!$A$4:$A$387, X$59, '03_Base_Vendas'!$B$4:$B$387, "franquia")/SUMIFS('03_Base_Vendas'!$I$4:$I$387, '03_Base_Vendas'!$A$4:$A$387, X$59),0))</f>
        <v>1616.9870143611436</v>
      </c>
      <c r="Y70" s="42">
        <f>(SUMIFS('04_Base_Despesas'!$D$4:$D$219, '04_Base_Despesas'!$A$4:$A$219, Y$59, '04_Base_Despesas'!$B$4:$B$219, "logistica"))*(IFERROR(SUMIFS('03_Base_Vendas'!$I$4:$I$387, '03_Base_Vendas'!$A$4:$A$387, Y$59, '03_Base_Vendas'!$B$4:$B$387, "franquia")/SUMIFS('03_Base_Vendas'!$I$4:$I$387, '03_Base_Vendas'!$A$4:$A$387, Y$59),0))</f>
        <v>1860.8823396473315</v>
      </c>
      <c r="Z70" s="43">
        <f t="shared" si="26"/>
        <v>40555.13862270971</v>
      </c>
    </row>
    <row r="71" spans="1:26" x14ac:dyDescent="0.25">
      <c r="A71" s="41" t="s">
        <v>342</v>
      </c>
      <c r="B71" s="42">
        <f>(SUMIFS('04_Base_Despesas'!$D$4:$D$219, '04_Base_Despesas'!$A$4:$A$219, B$59, '04_Base_Despesas'!$B$4:$B$219, "tecnologia"))*(IFERROR(SUMIFS('03_Base_Vendas'!$I$4:$I$387, '03_Base_Vendas'!$A$4:$A$387, B$59, '03_Base_Vendas'!$B$4:$B$387, "franquia")/SUMIFS('03_Base_Vendas'!$I$4:$I$387, '03_Base_Vendas'!$A$4:$A$387, B$59),0))</f>
        <v>1443.3189300546617</v>
      </c>
      <c r="C71" s="42">
        <f>(SUMIFS('04_Base_Despesas'!$D$4:$D$219, '04_Base_Despesas'!$A$4:$A$219, C$59, '04_Base_Despesas'!$B$4:$B$219, "tecnologia"))*(IFERROR(SUMIFS('03_Base_Vendas'!$I$4:$I$387, '03_Base_Vendas'!$A$4:$A$387, C$59, '03_Base_Vendas'!$B$4:$B$387, "franquia")/SUMIFS('03_Base_Vendas'!$I$4:$I$387, '03_Base_Vendas'!$A$4:$A$387, C$59),0))</f>
        <v>945.15738669489201</v>
      </c>
      <c r="D71" s="42">
        <f>(SUMIFS('04_Base_Despesas'!$D$4:$D$219, '04_Base_Despesas'!$A$4:$A$219, D$59, '04_Base_Despesas'!$B$4:$B$219, "tecnologia"))*(IFERROR(SUMIFS('03_Base_Vendas'!$I$4:$I$387, '03_Base_Vendas'!$A$4:$A$387, D$59, '03_Base_Vendas'!$B$4:$B$387, "franquia")/SUMIFS('03_Base_Vendas'!$I$4:$I$387, '03_Base_Vendas'!$A$4:$A$387, D$59),0))</f>
        <v>991.44879184861713</v>
      </c>
      <c r="E71" s="42">
        <f>(SUMIFS('04_Base_Despesas'!$D$4:$D$219, '04_Base_Despesas'!$A$4:$A$219, E$59, '04_Base_Despesas'!$B$4:$B$219, "tecnologia"))*(IFERROR(SUMIFS('03_Base_Vendas'!$I$4:$I$387, '03_Base_Vendas'!$A$4:$A$387, E$59, '03_Base_Vendas'!$B$4:$B$387, "franquia")/SUMIFS('03_Base_Vendas'!$I$4:$I$387, '03_Base_Vendas'!$A$4:$A$387, E$59),0))</f>
        <v>1036.9003758220795</v>
      </c>
      <c r="F71" s="42">
        <f>(SUMIFS('04_Base_Despesas'!$D$4:$D$219, '04_Base_Despesas'!$A$4:$A$219, F$59, '04_Base_Despesas'!$B$4:$B$219, "tecnologia"))*(IFERROR(SUMIFS('03_Base_Vendas'!$I$4:$I$387, '03_Base_Vendas'!$A$4:$A$387, F$59, '03_Base_Vendas'!$B$4:$B$387, "franquia")/SUMIFS('03_Base_Vendas'!$I$4:$I$387, '03_Base_Vendas'!$A$4:$A$387, F$59),0))</f>
        <v>1082.1978945281999</v>
      </c>
      <c r="G71" s="42">
        <f>(SUMIFS('04_Base_Despesas'!$D$4:$D$219, '04_Base_Despesas'!$A$4:$A$219, G$59, '04_Base_Despesas'!$B$4:$B$219, "tecnologia"))*(IFERROR(SUMIFS('03_Base_Vendas'!$I$4:$I$387, '03_Base_Vendas'!$A$4:$A$387, G$59, '03_Base_Vendas'!$B$4:$B$387, "franquia")/SUMIFS('03_Base_Vendas'!$I$4:$I$387, '03_Base_Vendas'!$A$4:$A$387, G$59),0))</f>
        <v>1127.2025797865103</v>
      </c>
      <c r="H71" s="42">
        <f>(SUMIFS('04_Base_Despesas'!$D$4:$D$219, '04_Base_Despesas'!$A$4:$A$219, H$59, '04_Base_Despesas'!$B$4:$B$219, "tecnologia"))*(IFERROR(SUMIFS('03_Base_Vendas'!$I$4:$I$387, '03_Base_Vendas'!$A$4:$A$387, H$59, '03_Base_Vendas'!$B$4:$B$387, "franquia")/SUMIFS('03_Base_Vendas'!$I$4:$I$387, '03_Base_Vendas'!$A$4:$A$387, H$59),0))</f>
        <v>1133.87365355731</v>
      </c>
      <c r="I71" s="42">
        <f>(SUMIFS('04_Base_Despesas'!$D$4:$D$219, '04_Base_Despesas'!$A$4:$A$219, I$59, '04_Base_Despesas'!$B$4:$B$219, "tecnologia"))*(IFERROR(SUMIFS('03_Base_Vendas'!$I$4:$I$387, '03_Base_Vendas'!$A$4:$A$387, I$59, '03_Base_Vendas'!$B$4:$B$387, "franquia")/SUMIFS('03_Base_Vendas'!$I$4:$I$387, '03_Base_Vendas'!$A$4:$A$387, I$59),0))</f>
        <v>1383.8799303205228</v>
      </c>
      <c r="J71" s="42">
        <f>(SUMIFS('04_Base_Despesas'!$D$4:$D$219, '04_Base_Despesas'!$A$4:$A$219, J$59, '04_Base_Despesas'!$B$4:$B$219, "tecnologia"))*(IFERROR(SUMIFS('03_Base_Vendas'!$I$4:$I$387, '03_Base_Vendas'!$A$4:$A$387, J$59, '03_Base_Vendas'!$B$4:$B$387, "franquia")/SUMIFS('03_Base_Vendas'!$I$4:$I$387, '03_Base_Vendas'!$A$4:$A$387, J$59),0))</f>
        <v>997.69757652391502</v>
      </c>
      <c r="K71" s="42">
        <f>(SUMIFS('04_Base_Despesas'!$D$4:$D$219, '04_Base_Despesas'!$A$4:$A$219, K$59, '04_Base_Despesas'!$B$4:$B$219, "tecnologia"))*(IFERROR(SUMIFS('03_Base_Vendas'!$I$4:$I$387, '03_Base_Vendas'!$A$4:$A$387, K$59, '03_Base_Vendas'!$B$4:$B$387, "franquia")/SUMIFS('03_Base_Vendas'!$I$4:$I$387, '03_Base_Vendas'!$A$4:$A$387, K$59),0))</f>
        <v>1328.0975605822346</v>
      </c>
      <c r="L71" s="42">
        <f>(SUMIFS('04_Base_Despesas'!$D$4:$D$219, '04_Base_Despesas'!$A$4:$A$219, L$59, '04_Base_Despesas'!$B$4:$B$219, "tecnologia"))*(IFERROR(SUMIFS('03_Base_Vendas'!$I$4:$I$387, '03_Base_Vendas'!$A$4:$A$387, L$59, '03_Base_Vendas'!$B$4:$B$387, "franquia")/SUMIFS('03_Base_Vendas'!$I$4:$I$387, '03_Base_Vendas'!$A$4:$A$387, L$59),0))</f>
        <v>1091.6221566361041</v>
      </c>
      <c r="M71" s="42">
        <f>(SUMIFS('04_Base_Despesas'!$D$4:$D$219, '04_Base_Despesas'!$A$4:$A$219, M$59, '04_Base_Despesas'!$B$4:$B$219, "tecnologia"))*(IFERROR(SUMIFS('03_Base_Vendas'!$I$4:$I$387, '03_Base_Vendas'!$A$4:$A$387, M$59, '03_Base_Vendas'!$B$4:$B$387, "franquia")/SUMIFS('03_Base_Vendas'!$I$4:$I$387, '03_Base_Vendas'!$A$4:$A$387, M$59),0))</f>
        <v>1122.7667766451964</v>
      </c>
      <c r="N71" s="42">
        <f>(SUMIFS('04_Base_Despesas'!$D$4:$D$219, '04_Base_Despesas'!$A$4:$A$219, N$59, '04_Base_Despesas'!$B$4:$B$219, "tecnologia"))*(IFERROR(SUMIFS('03_Base_Vendas'!$I$4:$I$387, '03_Base_Vendas'!$A$4:$A$387, N$59, '03_Base_Vendas'!$B$4:$B$387, "franquia")/SUMIFS('03_Base_Vendas'!$I$4:$I$387, '03_Base_Vendas'!$A$4:$A$387, N$59),0))</f>
        <v>939.77351000296142</v>
      </c>
      <c r="O71" s="42">
        <f>(SUMIFS('04_Base_Despesas'!$D$4:$D$219, '04_Base_Despesas'!$A$4:$A$219, O$59, '04_Base_Despesas'!$B$4:$B$219, "tecnologia"))*(IFERROR(SUMIFS('03_Base_Vendas'!$I$4:$I$387, '03_Base_Vendas'!$A$4:$A$387, O$59, '03_Base_Vendas'!$B$4:$B$387, "franquia")/SUMIFS('03_Base_Vendas'!$I$4:$I$387, '03_Base_Vendas'!$A$4:$A$387, O$59),0))</f>
        <v>1183.3754617187944</v>
      </c>
      <c r="P71" s="42">
        <f>(SUMIFS('04_Base_Despesas'!$D$4:$D$219, '04_Base_Despesas'!$A$4:$A$219, P$59, '04_Base_Despesas'!$B$4:$B$219, "tecnologia"))*(IFERROR(SUMIFS('03_Base_Vendas'!$I$4:$I$387, '03_Base_Vendas'!$A$4:$A$387, P$59, '03_Base_Vendas'!$B$4:$B$387, "franquia")/SUMIFS('03_Base_Vendas'!$I$4:$I$387, '03_Base_Vendas'!$A$4:$A$387, P$59),0))</f>
        <v>1068.3999004297173</v>
      </c>
      <c r="Q71" s="42">
        <f>(SUMIFS('04_Base_Despesas'!$D$4:$D$219, '04_Base_Despesas'!$A$4:$A$219, Q$59, '04_Base_Despesas'!$B$4:$B$219, "tecnologia"))*(IFERROR(SUMIFS('03_Base_Vendas'!$I$4:$I$387, '03_Base_Vendas'!$A$4:$A$387, Q$59, '03_Base_Vendas'!$B$4:$B$387, "franquia")/SUMIFS('03_Base_Vendas'!$I$4:$I$387, '03_Base_Vendas'!$A$4:$A$387, Q$59),0))</f>
        <v>1007.4297142086244</v>
      </c>
      <c r="R71" s="42">
        <f>(SUMIFS('04_Base_Despesas'!$D$4:$D$219, '04_Base_Despesas'!$A$4:$A$219, R$59, '04_Base_Despesas'!$B$4:$B$219, "tecnologia"))*(IFERROR(SUMIFS('03_Base_Vendas'!$I$4:$I$387, '03_Base_Vendas'!$A$4:$A$387, R$59, '03_Base_Vendas'!$B$4:$B$387, "franquia")/SUMIFS('03_Base_Vendas'!$I$4:$I$387, '03_Base_Vendas'!$A$4:$A$387, R$59),0))</f>
        <v>929.31935399179019</v>
      </c>
      <c r="S71" s="42">
        <f>(SUMIFS('04_Base_Despesas'!$D$4:$D$219, '04_Base_Despesas'!$A$4:$A$219, S$59, '04_Base_Despesas'!$B$4:$B$219, "tecnologia"))*(IFERROR(SUMIFS('03_Base_Vendas'!$I$4:$I$387, '03_Base_Vendas'!$A$4:$A$387, S$59, '03_Base_Vendas'!$B$4:$B$387, "franquia")/SUMIFS('03_Base_Vendas'!$I$4:$I$387, '03_Base_Vendas'!$A$4:$A$387, S$59),0))</f>
        <v>1118.185553515691</v>
      </c>
      <c r="T71" s="42">
        <f>(SUMIFS('04_Base_Despesas'!$D$4:$D$219, '04_Base_Despesas'!$A$4:$A$219, T$59, '04_Base_Despesas'!$B$4:$B$219, "tecnologia"))*(IFERROR(SUMIFS('03_Base_Vendas'!$I$4:$I$387, '03_Base_Vendas'!$A$4:$A$387, T$59, '03_Base_Vendas'!$B$4:$B$387, "franquia")/SUMIFS('03_Base_Vendas'!$I$4:$I$387, '03_Base_Vendas'!$A$4:$A$387, T$59),0))</f>
        <v>1119.4333300479632</v>
      </c>
      <c r="U71" s="42">
        <f>(SUMIFS('04_Base_Despesas'!$D$4:$D$219, '04_Base_Despesas'!$A$4:$A$219, U$59, '04_Base_Despesas'!$B$4:$B$219, "tecnologia"))*(IFERROR(SUMIFS('03_Base_Vendas'!$I$4:$I$387, '03_Base_Vendas'!$A$4:$A$387, U$59, '03_Base_Vendas'!$B$4:$B$387, "franquia")/SUMIFS('03_Base_Vendas'!$I$4:$I$387, '03_Base_Vendas'!$A$4:$A$387, U$59),0))</f>
        <v>1491.0938360695982</v>
      </c>
      <c r="V71" s="42">
        <f>(SUMIFS('04_Base_Despesas'!$D$4:$D$219, '04_Base_Despesas'!$A$4:$A$219, V$59, '04_Base_Despesas'!$B$4:$B$219, "tecnologia"))*(IFERROR(SUMIFS('03_Base_Vendas'!$I$4:$I$387, '03_Base_Vendas'!$A$4:$A$387, V$59, '03_Base_Vendas'!$B$4:$B$387, "franquia")/SUMIFS('03_Base_Vendas'!$I$4:$I$387, '03_Base_Vendas'!$A$4:$A$387, V$59),0))</f>
        <v>1148.7295249497208</v>
      </c>
      <c r="W71" s="42">
        <f>(SUMIFS('04_Base_Despesas'!$D$4:$D$219, '04_Base_Despesas'!$A$4:$A$219, W$59, '04_Base_Despesas'!$B$4:$B$219, "tecnologia"))*(IFERROR(SUMIFS('03_Base_Vendas'!$I$4:$I$387, '03_Base_Vendas'!$A$4:$A$387, W$59, '03_Base_Vendas'!$B$4:$B$387, "franquia")/SUMIFS('03_Base_Vendas'!$I$4:$I$387, '03_Base_Vendas'!$A$4:$A$387, W$59),0))</f>
        <v>1188.5089474257361</v>
      </c>
      <c r="X71" s="42">
        <f>(SUMIFS('04_Base_Despesas'!$D$4:$D$219, '04_Base_Despesas'!$A$4:$A$219, X$59, '04_Base_Despesas'!$B$4:$B$219, "tecnologia"))*(IFERROR(SUMIFS('03_Base_Vendas'!$I$4:$I$387, '03_Base_Vendas'!$A$4:$A$387, X$59, '03_Base_Vendas'!$B$4:$B$387, "franquia")/SUMIFS('03_Base_Vendas'!$I$4:$I$387, '03_Base_Vendas'!$A$4:$A$387, X$59),0))</f>
        <v>1071.8214322266726</v>
      </c>
      <c r="Y71" s="42">
        <f>(SUMIFS('04_Base_Despesas'!$D$4:$D$219, '04_Base_Despesas'!$A$4:$A$219, Y$59, '04_Base_Despesas'!$B$4:$B$219, "tecnologia"))*(IFERROR(SUMIFS('03_Base_Vendas'!$I$4:$I$387, '03_Base_Vendas'!$A$4:$A$387, Y$59, '03_Base_Vendas'!$B$4:$B$387, "franquia")/SUMIFS('03_Base_Vendas'!$I$4:$I$387, '03_Base_Vendas'!$A$4:$A$387, Y$59),0))</f>
        <v>0</v>
      </c>
      <c r="Z71" s="43">
        <f t="shared" si="26"/>
        <v>25950.234177587517</v>
      </c>
    </row>
    <row r="72" spans="1:26" x14ac:dyDescent="0.25">
      <c r="A72" s="41" t="s">
        <v>343</v>
      </c>
      <c r="B72" s="42">
        <f>(SUMIFS('04_Base_Despesas'!$D$4:$D$219, '04_Base_Despesas'!$A$4:$A$219, B$59, '04_Base_Despesas'!$B$4:$B$219, "administrativo"))*(IFERROR(SUMIFS('03_Base_Vendas'!$I$4:$I$387, '03_Base_Vendas'!$A$4:$A$387, B$59, '03_Base_Vendas'!$B$4:$B$387, "franquia")/SUMIFS('03_Base_Vendas'!$I$4:$I$387, '03_Base_Vendas'!$A$4:$A$387, B$59),0))</f>
        <v>883.19928850839676</v>
      </c>
      <c r="C72" s="42">
        <f>(SUMIFS('04_Base_Despesas'!$D$4:$D$219, '04_Base_Despesas'!$A$4:$A$219, C$59, '04_Base_Despesas'!$B$4:$B$219, "administrativo"))*(IFERROR(SUMIFS('03_Base_Vendas'!$I$4:$I$387, '03_Base_Vendas'!$A$4:$A$387, C$59, '03_Base_Vendas'!$B$4:$B$387, "franquia")/SUMIFS('03_Base_Vendas'!$I$4:$I$387, '03_Base_Vendas'!$A$4:$A$387, C$59),0))</f>
        <v>357.08735762139025</v>
      </c>
      <c r="D72" s="42">
        <f>(SUMIFS('04_Base_Despesas'!$D$4:$D$219, '04_Base_Despesas'!$A$4:$A$219, D$59, '04_Base_Despesas'!$B$4:$B$219, "administrativo"))*(IFERROR(SUMIFS('03_Base_Vendas'!$I$4:$I$387, '03_Base_Vendas'!$A$4:$A$387, D$59, '03_Base_Vendas'!$B$4:$B$387, "franquia")/SUMIFS('03_Base_Vendas'!$I$4:$I$387, '03_Base_Vendas'!$A$4:$A$387, D$59),0))</f>
        <v>372.55311902949205</v>
      </c>
      <c r="E72" s="42">
        <f>(SUMIFS('04_Base_Despesas'!$D$4:$D$219, '04_Base_Despesas'!$A$4:$A$219, E$59, '04_Base_Despesas'!$B$4:$B$219, "administrativo"))*(IFERROR(SUMIFS('03_Base_Vendas'!$I$4:$I$387, '03_Base_Vendas'!$A$4:$A$387, E$59, '03_Base_Vendas'!$B$4:$B$387, "franquia")/SUMIFS('03_Base_Vendas'!$I$4:$I$387, '03_Base_Vendas'!$A$4:$A$387, E$59),0))</f>
        <v>717.19906579039218</v>
      </c>
      <c r="F72" s="42">
        <f>(SUMIFS('04_Base_Despesas'!$D$4:$D$219, '04_Base_Despesas'!$A$4:$A$219, F$59, '04_Base_Despesas'!$B$4:$B$219, "administrativo"))*(IFERROR(SUMIFS('03_Base_Vendas'!$I$4:$I$387, '03_Base_Vendas'!$A$4:$A$387, F$59, '03_Base_Vendas'!$B$4:$B$387, "franquia")/SUMIFS('03_Base_Vendas'!$I$4:$I$387, '03_Base_Vendas'!$A$4:$A$387, F$59),0))</f>
        <v>410.52679488346502</v>
      </c>
      <c r="G72" s="42">
        <f>(SUMIFS('04_Base_Despesas'!$D$4:$D$219, '04_Base_Despesas'!$A$4:$A$219, G$59, '04_Base_Despesas'!$B$4:$B$219, "administrativo"))*(IFERROR(SUMIFS('03_Base_Vendas'!$I$4:$I$387, '03_Base_Vendas'!$A$4:$A$387, G$59, '03_Base_Vendas'!$B$4:$B$387, "franquia")/SUMIFS('03_Base_Vendas'!$I$4:$I$387, '03_Base_Vendas'!$A$4:$A$387, G$59),0))</f>
        <v>420.57098566305081</v>
      </c>
      <c r="H72" s="42">
        <f>(SUMIFS('04_Base_Despesas'!$D$4:$D$219, '04_Base_Despesas'!$A$4:$A$219, H$59, '04_Base_Despesas'!$B$4:$B$219, "administrativo"))*(IFERROR(SUMIFS('03_Base_Vendas'!$I$4:$I$387, '03_Base_Vendas'!$A$4:$A$387, H$59, '03_Base_Vendas'!$B$4:$B$387, "franquia")/SUMIFS('03_Base_Vendas'!$I$4:$I$387, '03_Base_Vendas'!$A$4:$A$387, H$59),0))</f>
        <v>727.93932333364785</v>
      </c>
      <c r="I72" s="42">
        <f>(SUMIFS('04_Base_Despesas'!$D$4:$D$219, '04_Base_Despesas'!$A$4:$A$219, I$59, '04_Base_Despesas'!$B$4:$B$219, "administrativo"))*(IFERROR(SUMIFS('03_Base_Vendas'!$I$4:$I$387, '03_Base_Vendas'!$A$4:$A$387, I$59, '03_Base_Vendas'!$B$4:$B$387, "franquia")/SUMIFS('03_Base_Vendas'!$I$4:$I$387, '03_Base_Vendas'!$A$4:$A$387, I$59),0))</f>
        <v>509.17249726646406</v>
      </c>
      <c r="J72" s="42">
        <f>(SUMIFS('04_Base_Despesas'!$D$4:$D$219, '04_Base_Despesas'!$A$4:$A$219, J$59, '04_Base_Despesas'!$B$4:$B$219, "administrativo"))*(IFERROR(SUMIFS('03_Base_Vendas'!$I$4:$I$387, '03_Base_Vendas'!$A$4:$A$387, J$59, '03_Base_Vendas'!$B$4:$B$387, "franquia")/SUMIFS('03_Base_Vendas'!$I$4:$I$387, '03_Base_Vendas'!$A$4:$A$387, J$59),0))</f>
        <v>367.76937454608515</v>
      </c>
      <c r="K72" s="42">
        <f>(SUMIFS('04_Base_Despesas'!$D$4:$D$219, '04_Base_Despesas'!$A$4:$A$219, K$59, '04_Base_Despesas'!$B$4:$B$219, "administrativo"))*(IFERROR(SUMIFS('03_Base_Vendas'!$I$4:$I$387, '03_Base_Vendas'!$A$4:$A$387, K$59, '03_Base_Vendas'!$B$4:$B$387, "franquia")/SUMIFS('03_Base_Vendas'!$I$4:$I$387, '03_Base_Vendas'!$A$4:$A$387, K$59),0))</f>
        <v>891.0051933389783</v>
      </c>
      <c r="L72" s="42">
        <f>(SUMIFS('04_Base_Despesas'!$D$4:$D$219, '04_Base_Despesas'!$A$4:$A$219, L$59, '04_Base_Despesas'!$B$4:$B$219, "administrativo"))*(IFERROR(SUMIFS('03_Base_Vendas'!$I$4:$I$387, '03_Base_Vendas'!$A$4:$A$387, L$59, '03_Base_Vendas'!$B$4:$B$387, "franquia")/SUMIFS('03_Base_Vendas'!$I$4:$I$387, '03_Base_Vendas'!$A$4:$A$387, L$59),0))</f>
        <v>418.89444068063375</v>
      </c>
      <c r="M72" s="42">
        <f>(SUMIFS('04_Base_Despesas'!$D$4:$D$219, '04_Base_Despesas'!$A$4:$A$219, M$59, '04_Base_Despesas'!$B$4:$B$219, "administrativo"))*(IFERROR(SUMIFS('03_Base_Vendas'!$I$4:$I$387, '03_Base_Vendas'!$A$4:$A$387, M$59, '03_Base_Vendas'!$B$4:$B$387, "franquia")/SUMIFS('03_Base_Vendas'!$I$4:$I$387, '03_Base_Vendas'!$A$4:$A$387, M$59),0))</f>
        <v>429.49099780627063</v>
      </c>
      <c r="N72" s="42">
        <f>(SUMIFS('04_Base_Despesas'!$D$4:$D$219, '04_Base_Despesas'!$A$4:$A$219, N$59, '04_Base_Despesas'!$B$4:$B$219, "administrativo"))*(IFERROR(SUMIFS('03_Base_Vendas'!$I$4:$I$387, '03_Base_Vendas'!$A$4:$A$387, N$59, '03_Base_Vendas'!$B$4:$B$387, "franquia")/SUMIFS('03_Base_Vendas'!$I$4:$I$387, '03_Base_Vendas'!$A$4:$A$387, N$59),0))</f>
        <v>656.12004787173328</v>
      </c>
      <c r="O72" s="42">
        <f>(SUMIFS('04_Base_Despesas'!$D$4:$D$219, '04_Base_Despesas'!$A$4:$A$219, O$59, '04_Base_Despesas'!$B$4:$B$219, "administrativo"))*(IFERROR(SUMIFS('03_Base_Vendas'!$I$4:$I$387, '03_Base_Vendas'!$A$4:$A$387, O$59, '03_Base_Vendas'!$B$4:$B$387, "franquia")/SUMIFS('03_Base_Vendas'!$I$4:$I$387, '03_Base_Vendas'!$A$4:$A$387, O$59),0))</f>
        <v>442.44509425537996</v>
      </c>
      <c r="P72" s="42">
        <f>(SUMIFS('04_Base_Despesas'!$D$4:$D$219, '04_Base_Despesas'!$A$4:$A$219, P$59, '04_Base_Despesas'!$B$4:$B$219, "administrativo"))*(IFERROR(SUMIFS('03_Base_Vendas'!$I$4:$I$387, '03_Base_Vendas'!$A$4:$A$387, P$59, '03_Base_Vendas'!$B$4:$B$387, "franquia")/SUMIFS('03_Base_Vendas'!$I$4:$I$387, '03_Base_Vendas'!$A$4:$A$387, P$59),0))</f>
        <v>397.55302459951378</v>
      </c>
      <c r="Q72" s="42">
        <f>(SUMIFS('04_Base_Despesas'!$D$4:$D$219, '04_Base_Despesas'!$A$4:$A$219, Q$59, '04_Base_Despesas'!$B$4:$B$219, "administrativo"))*(IFERROR(SUMIFS('03_Base_Vendas'!$I$4:$I$387, '03_Base_Vendas'!$A$4:$A$387, Q$59, '03_Base_Vendas'!$B$4:$B$387, "franquia")/SUMIFS('03_Base_Vendas'!$I$4:$I$387, '03_Base_Vendas'!$A$4:$A$387, Q$59),0))</f>
        <v>672.24371825721994</v>
      </c>
      <c r="R72" s="42">
        <f>(SUMIFS('04_Base_Despesas'!$D$4:$D$219, '04_Base_Despesas'!$A$4:$A$219, R$59, '04_Base_Despesas'!$B$4:$B$219, "administrativo"))*(IFERROR(SUMIFS('03_Base_Vendas'!$I$4:$I$387, '03_Base_Vendas'!$A$4:$A$387, R$59, '03_Base_Vendas'!$B$4:$B$387, "franquia")/SUMIFS('03_Base_Vendas'!$I$4:$I$387, '03_Base_Vendas'!$A$4:$A$387, R$59),0))</f>
        <v>352.05883966661395</v>
      </c>
      <c r="S72" s="42">
        <f>(SUMIFS('04_Base_Despesas'!$D$4:$D$219, '04_Base_Despesas'!$A$4:$A$219, S$59, '04_Base_Despesas'!$B$4:$B$219, "administrativo"))*(IFERROR(SUMIFS('03_Base_Vendas'!$I$4:$I$387, '03_Base_Vendas'!$A$4:$A$387, S$59, '03_Base_Vendas'!$B$4:$B$387, "franquia")/SUMIFS('03_Base_Vendas'!$I$4:$I$387, '03_Base_Vendas'!$A$4:$A$387, S$59),0))</f>
        <v>416.57455356753479</v>
      </c>
      <c r="T72" s="42">
        <f>(SUMIFS('04_Base_Despesas'!$D$4:$D$219, '04_Base_Despesas'!$A$4:$A$219, T$59, '04_Base_Despesas'!$B$4:$B$219, "administrativo"))*(IFERROR(SUMIFS('03_Base_Vendas'!$I$4:$I$387, '03_Base_Vendas'!$A$4:$A$387, T$59, '03_Base_Vendas'!$B$4:$B$387, "franquia")/SUMIFS('03_Base_Vendas'!$I$4:$I$387, '03_Base_Vendas'!$A$4:$A$387, T$59),0))</f>
        <v>682.62935461212305</v>
      </c>
      <c r="U72" s="42">
        <f>(SUMIFS('04_Base_Despesas'!$D$4:$D$219, '04_Base_Despesas'!$A$4:$A$219, U$59, '04_Base_Despesas'!$B$4:$B$219, "administrativo"))*(IFERROR(SUMIFS('03_Base_Vendas'!$I$4:$I$387, '03_Base_Vendas'!$A$4:$A$387, U$59, '03_Base_Vendas'!$B$4:$B$387, "franquia")/SUMIFS('03_Base_Vendas'!$I$4:$I$387, '03_Base_Vendas'!$A$4:$A$387, U$59),0))</f>
        <v>542.54975645728143</v>
      </c>
      <c r="V72" s="42">
        <f>(SUMIFS('04_Base_Despesas'!$D$4:$D$219, '04_Base_Despesas'!$A$4:$A$219, V$59, '04_Base_Despesas'!$B$4:$B$219, "administrativo"))*(IFERROR(SUMIFS('03_Base_Vendas'!$I$4:$I$387, '03_Base_Vendas'!$A$4:$A$387, V$59, '03_Base_Vendas'!$B$4:$B$387, "franquia")/SUMIFS('03_Base_Vendas'!$I$4:$I$387, '03_Base_Vendas'!$A$4:$A$387, V$59),0))</f>
        <v>427.5978029734614</v>
      </c>
      <c r="W72" s="42">
        <f>(SUMIFS('04_Base_Despesas'!$D$4:$D$219, '04_Base_Despesas'!$A$4:$A$219, W$59, '04_Base_Despesas'!$B$4:$B$219, "administrativo"))*(IFERROR(SUMIFS('03_Base_Vendas'!$I$4:$I$387, '03_Base_Vendas'!$A$4:$A$387, W$59, '03_Base_Vendas'!$B$4:$B$387, "franquia")/SUMIFS('03_Base_Vendas'!$I$4:$I$387, '03_Base_Vendas'!$A$4:$A$387, W$59),0))</f>
        <v>797.73312779438834</v>
      </c>
      <c r="X72" s="42">
        <f>(SUMIFS('04_Base_Despesas'!$D$4:$D$219, '04_Base_Despesas'!$A$4:$A$219, X$59, '04_Base_Despesas'!$B$4:$B$219, "administrativo"))*(IFERROR(SUMIFS('03_Base_Vendas'!$I$4:$I$387, '03_Base_Vendas'!$A$4:$A$387, X$59, '03_Base_Vendas'!$B$4:$B$387, "franquia")/SUMIFS('03_Base_Vendas'!$I$4:$I$387, '03_Base_Vendas'!$A$4:$A$387, X$59),0))</f>
        <v>396.86389455979008</v>
      </c>
      <c r="Y72" s="42">
        <f>(SUMIFS('04_Base_Despesas'!$D$4:$D$219, '04_Base_Despesas'!$A$4:$A$219, Y$59, '04_Base_Despesas'!$B$4:$B$219, "administrativo"))*(IFERROR(SUMIFS('03_Base_Vendas'!$I$4:$I$387, '03_Base_Vendas'!$A$4:$A$387, Y$59, '03_Base_Vendas'!$B$4:$B$387, "franquia")/SUMIFS('03_Base_Vendas'!$I$4:$I$387, '03_Base_Vendas'!$A$4:$A$387, Y$59),0))</f>
        <v>500.06673522233052</v>
      </c>
      <c r="Z72" s="43">
        <f t="shared" si="26"/>
        <v>12789.844388305637</v>
      </c>
    </row>
    <row r="73" spans="1:26" x14ac:dyDescent="0.25">
      <c r="A73" s="41" t="s">
        <v>344</v>
      </c>
      <c r="B73" s="42">
        <f>(SUMIFS('04_Base_Despesas'!$D$4:$D$219, '04_Base_Despesas'!$A$4:$A$219, B$59, '04_Base_Despesas'!$B$4:$B$219, "outros"))*(IFERROR(SUMIFS('03_Base_Vendas'!$I$4:$I$387, '03_Base_Vendas'!$A$4:$A$387, B$59, '03_Base_Vendas'!$B$4:$B$387, "franquia")/SUMIFS('03_Base_Vendas'!$I$4:$I$387, '03_Base_Vendas'!$A$4:$A$387, B$59),0))</f>
        <v>170.10832396082841</v>
      </c>
      <c r="C73" s="42">
        <f>(SUMIFS('04_Base_Despesas'!$D$4:$D$219, '04_Base_Despesas'!$A$4:$A$219, C$59, '04_Base_Despesas'!$B$4:$B$219, "outros"))*(IFERROR(SUMIFS('03_Base_Vendas'!$I$4:$I$387, '03_Base_Vendas'!$A$4:$A$387, C$59, '03_Base_Vendas'!$B$4:$B$387, "franquia")/SUMIFS('03_Base_Vendas'!$I$4:$I$387, '03_Base_Vendas'!$A$4:$A$387, C$59),0))</f>
        <v>125.50477940847477</v>
      </c>
      <c r="D73" s="42">
        <f>(SUMIFS('04_Base_Despesas'!$D$4:$D$219, '04_Base_Despesas'!$A$4:$A$219, D$59, '04_Base_Despesas'!$B$4:$B$219, "outros"))*(IFERROR(SUMIFS('03_Base_Vendas'!$I$4:$I$387, '03_Base_Vendas'!$A$4:$A$387, D$59, '03_Base_Vendas'!$B$4:$B$387, "franquia")/SUMIFS('03_Base_Vendas'!$I$4:$I$387, '03_Base_Vendas'!$A$4:$A$387, D$59),0))</f>
        <v>128.87506514715801</v>
      </c>
      <c r="E73" s="42">
        <f>(SUMIFS('04_Base_Despesas'!$D$4:$D$219, '04_Base_Despesas'!$A$4:$A$219, E$59, '04_Base_Despesas'!$B$4:$B$219, "outros"))*(IFERROR(SUMIFS('03_Base_Vendas'!$I$4:$I$387, '03_Base_Vendas'!$A$4:$A$387, E$59, '03_Base_Vendas'!$B$4:$B$387, "franquia")/SUMIFS('03_Base_Vendas'!$I$4:$I$387, '03_Base_Vendas'!$A$4:$A$387, E$59),0))</f>
        <v>108.36012199162099</v>
      </c>
      <c r="F73" s="42">
        <f>(SUMIFS('04_Base_Despesas'!$D$4:$D$219, '04_Base_Despesas'!$A$4:$A$219, F$59, '04_Base_Despesas'!$B$4:$B$219, "outros"))*(IFERROR(SUMIFS('03_Base_Vendas'!$I$4:$I$387, '03_Base_Vendas'!$A$4:$A$387, F$59, '03_Base_Vendas'!$B$4:$B$387, "franquia")/SUMIFS('03_Base_Vendas'!$I$4:$I$387, '03_Base_Vendas'!$A$4:$A$387, F$59),0))</f>
        <v>127.05311669489383</v>
      </c>
      <c r="G73" s="42">
        <f>(SUMIFS('04_Base_Despesas'!$D$4:$D$219, '04_Base_Despesas'!$A$4:$A$219, G$59, '04_Base_Despesas'!$B$4:$B$219, "outros"))*(IFERROR(SUMIFS('03_Base_Vendas'!$I$4:$I$387, '03_Base_Vendas'!$A$4:$A$387, G$59, '03_Base_Vendas'!$B$4:$B$387, "franquia")/SUMIFS('03_Base_Vendas'!$I$4:$I$387, '03_Base_Vendas'!$A$4:$A$387, G$59),0))</f>
        <v>129.67381086751715</v>
      </c>
      <c r="H73" s="42">
        <f>(SUMIFS('04_Base_Despesas'!$D$4:$D$219, '04_Base_Despesas'!$A$4:$A$219, H$59, '04_Base_Despesas'!$B$4:$B$219, "outros"))*(IFERROR(SUMIFS('03_Base_Vendas'!$I$4:$I$387, '03_Base_Vendas'!$A$4:$A$387, H$59, '03_Base_Vendas'!$B$4:$B$387, "franquia")/SUMIFS('03_Base_Vendas'!$I$4:$I$387, '03_Base_Vendas'!$A$4:$A$387, H$59),0))</f>
        <v>168.52623365619334</v>
      </c>
      <c r="I73" s="42">
        <f>(SUMIFS('04_Base_Despesas'!$D$4:$D$219, '04_Base_Despesas'!$A$4:$A$219, I$59, '04_Base_Despesas'!$B$4:$B$219, "outros"))*(IFERROR(SUMIFS('03_Base_Vendas'!$I$4:$I$387, '03_Base_Vendas'!$A$4:$A$387, I$59, '03_Base_Vendas'!$B$4:$B$387, "franquia")/SUMIFS('03_Base_Vendas'!$I$4:$I$387, '03_Base_Vendas'!$A$4:$A$387, I$59),0))</f>
        <v>177.96800793456359</v>
      </c>
      <c r="J73" s="42">
        <f>(SUMIFS('04_Base_Despesas'!$D$4:$D$219, '04_Base_Despesas'!$A$4:$A$219, J$59, '04_Base_Despesas'!$B$4:$B$219, "outros"))*(IFERROR(SUMIFS('03_Base_Vendas'!$I$4:$I$387, '03_Base_Vendas'!$A$4:$A$387, J$59, '03_Base_Vendas'!$B$4:$B$387, "franquia")/SUMIFS('03_Base_Vendas'!$I$4:$I$387, '03_Base_Vendas'!$A$4:$A$387, J$59),0))</f>
        <v>154.50788766585194</v>
      </c>
      <c r="K73" s="42">
        <f>(SUMIFS('04_Base_Despesas'!$D$4:$D$219, '04_Base_Despesas'!$A$4:$A$219, K$59, '04_Base_Despesas'!$B$4:$B$219, "outros"))*(IFERROR(SUMIFS('03_Base_Vendas'!$I$4:$I$387, '03_Base_Vendas'!$A$4:$A$387, K$59, '03_Base_Vendas'!$B$4:$B$387, "franquia")/SUMIFS('03_Base_Vendas'!$I$4:$I$387, '03_Base_Vendas'!$A$4:$A$387, K$59),0))</f>
        <v>222.29279061328174</v>
      </c>
      <c r="L73" s="42">
        <f>(SUMIFS('04_Base_Despesas'!$D$4:$D$219, '04_Base_Despesas'!$A$4:$A$219, L$59, '04_Base_Despesas'!$B$4:$B$219, "outros"))*(IFERROR(SUMIFS('03_Base_Vendas'!$I$4:$I$387, '03_Base_Vendas'!$A$4:$A$387, L$59, '03_Base_Vendas'!$B$4:$B$387, "franquia")/SUMIFS('03_Base_Vendas'!$I$4:$I$387, '03_Base_Vendas'!$A$4:$A$387, L$59),0))</f>
        <v>133.56868135542686</v>
      </c>
      <c r="M73" s="42">
        <f>(SUMIFS('04_Base_Despesas'!$D$4:$D$219, '04_Base_Despesas'!$A$4:$A$219, M$59, '04_Base_Despesas'!$B$4:$B$219, "outros"))*(IFERROR(SUMIFS('03_Base_Vendas'!$I$4:$I$387, '03_Base_Vendas'!$A$4:$A$387, M$59, '03_Base_Vendas'!$B$4:$B$387, "franquia")/SUMIFS('03_Base_Vendas'!$I$4:$I$387, '03_Base_Vendas'!$A$4:$A$387, M$59),0))</f>
        <v>131.79017165884974</v>
      </c>
      <c r="N73" s="42">
        <f>(SUMIFS('04_Base_Despesas'!$D$4:$D$219, '04_Base_Despesas'!$A$4:$A$219, N$59, '04_Base_Despesas'!$B$4:$B$219, "outros"))*(IFERROR(SUMIFS('03_Base_Vendas'!$I$4:$I$387, '03_Base_Vendas'!$A$4:$A$387, N$59, '03_Base_Vendas'!$B$4:$B$387, "franquia")/SUMIFS('03_Base_Vendas'!$I$4:$I$387, '03_Base_Vendas'!$A$4:$A$387, N$59),0))</f>
        <v>85.024121094489047</v>
      </c>
      <c r="O73" s="42">
        <f>(SUMIFS('04_Base_Despesas'!$D$4:$D$219, '04_Base_Despesas'!$A$4:$A$219, O$59, '04_Base_Despesas'!$B$4:$B$219, "outros"))*(IFERROR(SUMIFS('03_Base_Vendas'!$I$4:$I$387, '03_Base_Vendas'!$A$4:$A$387, O$59, '03_Base_Vendas'!$B$4:$B$387, "franquia")/SUMIFS('03_Base_Vendas'!$I$4:$I$387, '03_Base_Vendas'!$A$4:$A$387, O$59),0))</f>
        <v>112.00276895125972</v>
      </c>
      <c r="P73" s="42">
        <f>(SUMIFS('04_Base_Despesas'!$D$4:$D$219, '04_Base_Despesas'!$A$4:$A$219, P$59, '04_Base_Despesas'!$B$4:$B$219, "outros"))*(IFERROR(SUMIFS('03_Base_Vendas'!$I$4:$I$387, '03_Base_Vendas'!$A$4:$A$387, P$59, '03_Base_Vendas'!$B$4:$B$387, "franquia")/SUMIFS('03_Base_Vendas'!$I$4:$I$387, '03_Base_Vendas'!$A$4:$A$387, P$59),0))</f>
        <v>146.65094992636705</v>
      </c>
      <c r="Q73" s="42">
        <f>(SUMIFS('04_Base_Despesas'!$D$4:$D$219, '04_Base_Despesas'!$A$4:$A$219, Q$59, '04_Base_Despesas'!$B$4:$B$219, "outros"))*(IFERROR(SUMIFS('03_Base_Vendas'!$I$4:$I$387, '03_Base_Vendas'!$A$4:$A$387, Q$59, '03_Base_Vendas'!$B$4:$B$387, "franquia")/SUMIFS('03_Base_Vendas'!$I$4:$I$387, '03_Base_Vendas'!$A$4:$A$387, Q$59),0))</f>
        <v>132.30165755450886</v>
      </c>
      <c r="R73" s="42">
        <f>(SUMIFS('04_Base_Despesas'!$D$4:$D$219, '04_Base_Despesas'!$A$4:$A$219, R$59, '04_Base_Despesas'!$B$4:$B$219, "outros"))*(IFERROR(SUMIFS('03_Base_Vendas'!$I$4:$I$387, '03_Base_Vendas'!$A$4:$A$387, R$59, '03_Base_Vendas'!$B$4:$B$387, "franquia")/SUMIFS('03_Base_Vendas'!$I$4:$I$387, '03_Base_Vendas'!$A$4:$A$387, R$59),0))</f>
        <v>121.61850851918655</v>
      </c>
      <c r="S73" s="42">
        <f>(SUMIFS('04_Base_Despesas'!$D$4:$D$219, '04_Base_Despesas'!$A$4:$A$219, S$59, '04_Base_Despesas'!$B$4:$B$219, "outros"))*(IFERROR(SUMIFS('03_Base_Vendas'!$I$4:$I$387, '03_Base_Vendas'!$A$4:$A$387, S$59, '03_Base_Vendas'!$B$4:$B$387, "franquia")/SUMIFS('03_Base_Vendas'!$I$4:$I$387, '03_Base_Vendas'!$A$4:$A$387, S$59),0))</f>
        <v>166.62382272944777</v>
      </c>
      <c r="T73" s="42">
        <f>(SUMIFS('04_Base_Despesas'!$D$4:$D$219, '04_Base_Despesas'!$A$4:$A$219, T$59, '04_Base_Despesas'!$B$4:$B$219, "outros"))*(IFERROR(SUMIFS('03_Base_Vendas'!$I$4:$I$387, '03_Base_Vendas'!$A$4:$A$387, T$59, '03_Base_Vendas'!$B$4:$B$387, "franquia")/SUMIFS('03_Base_Vendas'!$I$4:$I$387, '03_Base_Vendas'!$A$4:$A$387, T$59),0))</f>
        <v>134.16808214336251</v>
      </c>
      <c r="U73" s="42">
        <f>(SUMIFS('04_Base_Despesas'!$D$4:$D$219, '04_Base_Despesas'!$A$4:$A$219, U$59, '04_Base_Despesas'!$B$4:$B$219, "outros"))*(IFERROR(SUMIFS('03_Base_Vendas'!$I$4:$I$387, '03_Base_Vendas'!$A$4:$A$387, U$59, '03_Base_Vendas'!$B$4:$B$387, "franquia")/SUMIFS('03_Base_Vendas'!$I$4:$I$387, '03_Base_Vendas'!$A$4:$A$387, U$59),0))</f>
        <v>229.65263111226392</v>
      </c>
      <c r="V73" s="42">
        <f>(SUMIFS('04_Base_Despesas'!$D$4:$D$219, '04_Base_Despesas'!$A$4:$A$219, V$59, '04_Base_Despesas'!$B$4:$B$219, "outros"))*(IFERROR(SUMIFS('03_Base_Vendas'!$I$4:$I$387, '03_Base_Vendas'!$A$4:$A$387, V$59, '03_Base_Vendas'!$B$4:$B$387, "franquia")/SUMIFS('03_Base_Vendas'!$I$4:$I$387, '03_Base_Vendas'!$A$4:$A$387, V$59),0))</f>
        <v>153.34341371113081</v>
      </c>
      <c r="W73" s="42">
        <f>(SUMIFS('04_Base_Despesas'!$D$4:$D$219, '04_Base_Despesas'!$A$4:$A$219, W$59, '04_Base_Despesas'!$B$4:$B$219, "outros"))*(IFERROR(SUMIFS('03_Base_Vendas'!$I$4:$I$387, '03_Base_Vendas'!$A$4:$A$387, W$59, '03_Base_Vendas'!$B$4:$B$387, "franquia")/SUMIFS('03_Base_Vendas'!$I$4:$I$387, '03_Base_Vendas'!$A$4:$A$387, W$59),0))</f>
        <v>151.90817884692353</v>
      </c>
      <c r="X73" s="42">
        <f>(SUMIFS('04_Base_Despesas'!$D$4:$D$219, '04_Base_Despesas'!$A$4:$A$219, X$59, '04_Base_Despesas'!$B$4:$B$219, "outros"))*(IFERROR(SUMIFS('03_Base_Vendas'!$I$4:$I$387, '03_Base_Vendas'!$A$4:$A$387, X$59, '03_Base_Vendas'!$B$4:$B$387, "franquia")/SUMIFS('03_Base_Vendas'!$I$4:$I$387, '03_Base_Vendas'!$A$4:$A$387, X$59),0))</f>
        <v>141.27243427423758</v>
      </c>
      <c r="Y73" s="42">
        <f>(SUMIFS('04_Base_Despesas'!$D$4:$D$219, '04_Base_Despesas'!$A$4:$A$219, Y$59, '04_Base_Despesas'!$B$4:$B$219, "outros"))*(IFERROR(SUMIFS('03_Base_Vendas'!$I$4:$I$387, '03_Base_Vendas'!$A$4:$A$387, Y$59, '03_Base_Vendas'!$B$4:$B$387, "franquia")/SUMIFS('03_Base_Vendas'!$I$4:$I$387, '03_Base_Vendas'!$A$4:$A$387, Y$59),0))</f>
        <v>129.71131031584986</v>
      </c>
      <c r="Z73" s="43">
        <f t="shared" si="26"/>
        <v>3482.5068701336872</v>
      </c>
    </row>
    <row r="74" spans="1:26" x14ac:dyDescent="0.25">
      <c r="A74" s="44" t="s">
        <v>345</v>
      </c>
      <c r="B74" s="45">
        <f t="shared" ref="B74:Y74" si="27">B67+B68+B69+B70+B71+B72+B73</f>
        <v>21194.648590581452</v>
      </c>
      <c r="C74" s="45">
        <f t="shared" si="27"/>
        <v>13273.46985712465</v>
      </c>
      <c r="D74" s="45">
        <f t="shared" si="27"/>
        <v>13471.189956936734</v>
      </c>
      <c r="E74" s="45">
        <f t="shared" si="27"/>
        <v>14798.890815236236</v>
      </c>
      <c r="F74" s="45">
        <f t="shared" si="27"/>
        <v>16144.928483599468</v>
      </c>
      <c r="G74" s="45">
        <f t="shared" si="27"/>
        <v>16353.115468622569</v>
      </c>
      <c r="H74" s="45">
        <f t="shared" si="27"/>
        <v>16078.357129615006</v>
      </c>
      <c r="I74" s="45">
        <f t="shared" si="27"/>
        <v>19385.176618819027</v>
      </c>
      <c r="J74" s="45">
        <f t="shared" si="27"/>
        <v>14266.927059087026</v>
      </c>
      <c r="K74" s="45">
        <f t="shared" si="27"/>
        <v>19456.505161082216</v>
      </c>
      <c r="L74" s="45">
        <f t="shared" si="27"/>
        <v>16133.479775194539</v>
      </c>
      <c r="M74" s="45">
        <f t="shared" si="27"/>
        <v>17062.263458478352</v>
      </c>
      <c r="N74" s="45">
        <f t="shared" si="27"/>
        <v>14023.690654143651</v>
      </c>
      <c r="O74" s="45">
        <f t="shared" si="27"/>
        <v>16551.197412685826</v>
      </c>
      <c r="P74" s="45">
        <f t="shared" si="27"/>
        <v>15727.603157241854</v>
      </c>
      <c r="Q74" s="45">
        <f t="shared" si="27"/>
        <v>14253.242682043783</v>
      </c>
      <c r="R74" s="45">
        <f t="shared" si="27"/>
        <v>14518.418226204902</v>
      </c>
      <c r="S74" s="45">
        <f t="shared" si="27"/>
        <v>15816.800865103834</v>
      </c>
      <c r="T74" s="45">
        <f t="shared" si="27"/>
        <v>15570.777103134928</v>
      </c>
      <c r="U74" s="45">
        <f t="shared" si="27"/>
        <v>20390.265541905461</v>
      </c>
      <c r="V74" s="45">
        <f t="shared" si="27"/>
        <v>15689.892365067941</v>
      </c>
      <c r="W74" s="45">
        <f t="shared" si="27"/>
        <v>17365.315896478831</v>
      </c>
      <c r="X74" s="45">
        <f t="shared" si="27"/>
        <v>15587.834318216779</v>
      </c>
      <c r="Y74" s="45">
        <f t="shared" si="27"/>
        <v>17440.715509400532</v>
      </c>
      <c r="Z74" s="43">
        <f t="shared" si="26"/>
        <v>390554.7061060057</v>
      </c>
    </row>
    <row r="75" spans="1:26" x14ac:dyDescent="0.25">
      <c r="A75" s="44" t="s">
        <v>115</v>
      </c>
      <c r="B75" s="45">
        <f t="shared" ref="B75:Y75" si="28">B65-B74</f>
        <v>-7789.3185905814498</v>
      </c>
      <c r="C75" s="45">
        <f t="shared" si="28"/>
        <v>-5987.5698571246485</v>
      </c>
      <c r="D75" s="45">
        <f t="shared" si="28"/>
        <v>-4469.2399569367317</v>
      </c>
      <c r="E75" s="45">
        <f t="shared" si="28"/>
        <v>-5283.1708152362371</v>
      </c>
      <c r="F75" s="45">
        <f t="shared" si="28"/>
        <v>-2169.8584835994607</v>
      </c>
      <c r="G75" s="45">
        <f t="shared" si="28"/>
        <v>-3915.4154686225684</v>
      </c>
      <c r="H75" s="45">
        <f t="shared" si="28"/>
        <v>-6267.1671296150053</v>
      </c>
      <c r="I75" s="45">
        <f t="shared" si="28"/>
        <v>-7568.7766188190308</v>
      </c>
      <c r="J75" s="45">
        <f t="shared" si="28"/>
        <v>-5093.7070590870226</v>
      </c>
      <c r="K75" s="45">
        <f t="shared" si="28"/>
        <v>-7158.3951610822114</v>
      </c>
      <c r="L75" s="45">
        <f t="shared" si="28"/>
        <v>-1927.0997751945379</v>
      </c>
      <c r="M75" s="45">
        <f t="shared" si="28"/>
        <v>-3103.2134584783525</v>
      </c>
      <c r="N75" s="45">
        <f t="shared" si="28"/>
        <v>-4070.1006541436473</v>
      </c>
      <c r="O75" s="45">
        <f t="shared" si="28"/>
        <v>-6026.3674126858295</v>
      </c>
      <c r="P75" s="45">
        <f t="shared" si="28"/>
        <v>-4514.0931572418558</v>
      </c>
      <c r="Q75" s="45">
        <f t="shared" si="28"/>
        <v>-5241.0026820437815</v>
      </c>
      <c r="R75" s="45">
        <f t="shared" si="28"/>
        <v>-2584.6282262048971</v>
      </c>
      <c r="S75" s="45">
        <f t="shared" si="28"/>
        <v>-2573.5508651038381</v>
      </c>
      <c r="T75" s="45">
        <f t="shared" si="28"/>
        <v>-4888.0971031349309</v>
      </c>
      <c r="U75" s="45">
        <f t="shared" si="28"/>
        <v>-6341.2855419054576</v>
      </c>
      <c r="V75" s="45">
        <f t="shared" si="28"/>
        <v>-4343.7723650679363</v>
      </c>
      <c r="W75" s="45">
        <f t="shared" si="28"/>
        <v>-4954.165896478833</v>
      </c>
      <c r="X75" s="45">
        <f t="shared" si="28"/>
        <v>1522.1456817832168</v>
      </c>
      <c r="Y75" s="45">
        <f t="shared" si="28"/>
        <v>-160.37550940052824</v>
      </c>
      <c r="Z75" s="43">
        <f t="shared" si="26"/>
        <v>-104908.22610600556</v>
      </c>
    </row>
    <row r="76" spans="1:26" x14ac:dyDescent="0.25">
      <c r="A76" s="41" t="s">
        <v>346</v>
      </c>
      <c r="B76" s="46">
        <f t="shared" ref="B76:Y76" si="29">IFERROR(B75/B63,0)</f>
        <v>-0.24156333965199586</v>
      </c>
      <c r="C76" s="46">
        <f t="shared" si="29"/>
        <v>-0.33613181811226356</v>
      </c>
      <c r="D76" s="46">
        <f t="shared" si="29"/>
        <v>-0.19717467074333514</v>
      </c>
      <c r="E76" s="46">
        <f t="shared" si="29"/>
        <v>-0.24010614753830928</v>
      </c>
      <c r="F76" s="46">
        <f t="shared" si="29"/>
        <v>-6.7765067970905354E-2</v>
      </c>
      <c r="G76" s="46">
        <f t="shared" si="29"/>
        <v>-0.13713226338167542</v>
      </c>
      <c r="H76" s="46">
        <f t="shared" si="29"/>
        <v>-0.28337014422757834</v>
      </c>
      <c r="I76" s="46">
        <f t="shared" si="29"/>
        <v>-0.28820215866014337</v>
      </c>
      <c r="J76" s="46">
        <f t="shared" si="29"/>
        <v>-0.25657877603207979</v>
      </c>
      <c r="K76" s="46">
        <f t="shared" si="29"/>
        <v>-0.24580206303977703</v>
      </c>
      <c r="L76" s="46">
        <f t="shared" si="29"/>
        <v>-5.6639074799812776E-2</v>
      </c>
      <c r="M76" s="46">
        <f t="shared" si="29"/>
        <v>-9.175029842602303E-2</v>
      </c>
      <c r="N76" s="46">
        <f t="shared" si="29"/>
        <v>-0.16069379524656793</v>
      </c>
      <c r="O76" s="46">
        <f t="shared" si="29"/>
        <v>-0.2346211956264008</v>
      </c>
      <c r="P76" s="46">
        <f t="shared" si="29"/>
        <v>-0.16614597714350593</v>
      </c>
      <c r="Q76" s="46">
        <f t="shared" si="29"/>
        <v>-0.24114314408186352</v>
      </c>
      <c r="R76" s="46">
        <f t="shared" si="29"/>
        <v>-8.7811302760351997E-2</v>
      </c>
      <c r="S76" s="46">
        <f t="shared" si="29"/>
        <v>-8.366876682782938E-2</v>
      </c>
      <c r="T76" s="46">
        <f t="shared" si="29"/>
        <v>-0.19400259338907747</v>
      </c>
      <c r="U76" s="46">
        <f t="shared" si="29"/>
        <v>-0.19333771177561326</v>
      </c>
      <c r="V76" s="46">
        <f t="shared" si="29"/>
        <v>-0.16246169159265067</v>
      </c>
      <c r="W76" s="46">
        <f t="shared" si="29"/>
        <v>-0.1651573057817734</v>
      </c>
      <c r="X76" s="46">
        <f t="shared" si="29"/>
        <v>3.8613175923595262E-2</v>
      </c>
      <c r="Y76" s="46">
        <f t="shared" si="29"/>
        <v>-4.1269830209581422E-3</v>
      </c>
      <c r="Z76" s="47">
        <f>IFERROR($Z$75/$Z$63,0)</f>
        <v>-0.15573786705792189</v>
      </c>
    </row>
    <row r="77" spans="1:26" x14ac:dyDescent="0.25">
      <c r="A77" s="41" t="s">
        <v>347</v>
      </c>
      <c r="B77" s="42">
        <f>(SUMIFS('04_Base_Despesas'!$D$4:$D$219, '04_Base_Despesas'!$A$4:$A$219, B$59, '04_Base_Despesas'!$B$4:$B$219, "depreciacao"))*(IFERROR(SUMIFS('03_Base_Vendas'!$I$4:$I$387, '03_Base_Vendas'!$A$4:$A$387, B$59, '03_Base_Vendas'!$B$4:$B$387, "franquia")/SUMIFS('03_Base_Vendas'!$I$4:$I$387, '03_Base_Vendas'!$A$4:$A$387, B$59),0))</f>
        <v>472.86129111934457</v>
      </c>
      <c r="C77" s="42">
        <f>(SUMIFS('04_Base_Despesas'!$D$4:$D$219, '04_Base_Despesas'!$A$4:$A$219, C$59, '04_Base_Despesas'!$B$4:$B$219, "depreciacao"))*(IFERROR(SUMIFS('03_Base_Vendas'!$I$4:$I$387, '03_Base_Vendas'!$A$4:$A$387, C$59, '03_Base_Vendas'!$B$4:$B$387, "franquia")/SUMIFS('03_Base_Vendas'!$I$4:$I$387, '03_Base_Vendas'!$A$4:$A$387, C$59),0))</f>
        <v>314.23687470682341</v>
      </c>
      <c r="D77" s="42">
        <f>(SUMIFS('04_Base_Despesas'!$D$4:$D$219, '04_Base_Despesas'!$A$4:$A$219, D$59, '04_Base_Despesas'!$B$4:$B$219, "depreciacao"))*(IFERROR(SUMIFS('03_Base_Vendas'!$I$4:$I$387, '03_Base_Vendas'!$A$4:$A$387, D$59, '03_Base_Vendas'!$B$4:$B$387, "franquia")/SUMIFS('03_Base_Vendas'!$I$4:$I$387, '03_Base_Vendas'!$A$4:$A$387, D$59),0))</f>
        <v>327.84525453347686</v>
      </c>
      <c r="E77" s="42">
        <f>(SUMIFS('04_Base_Despesas'!$D$4:$D$219, '04_Base_Despesas'!$A$4:$A$219, E$59, '04_Base_Despesas'!$B$4:$B$219, "depreciacao"))*(IFERROR(SUMIFS('03_Base_Vendas'!$I$4:$I$387, '03_Base_Vendas'!$A$4:$A$387, E$59, '03_Base_Vendas'!$B$4:$B$387, "franquia")/SUMIFS('03_Base_Vendas'!$I$4:$I$387, '03_Base_Vendas'!$A$4:$A$387, E$59),0))</f>
        <v>346.22203874859667</v>
      </c>
      <c r="F77" s="42">
        <f>(SUMIFS('04_Base_Despesas'!$D$4:$D$219, '04_Base_Despesas'!$A$4:$A$219, F$59, '04_Base_Despesas'!$B$4:$B$219, "depreciacao"))*(IFERROR(SUMIFS('03_Base_Vendas'!$I$4:$I$387, '03_Base_Vendas'!$A$4:$A$387, F$59, '03_Base_Vendas'!$B$4:$B$387, "franquia")/SUMIFS('03_Base_Vendas'!$I$4:$I$387, '03_Base_Vendas'!$A$4:$A$387, F$59),0))</f>
        <v>361.26193739026968</v>
      </c>
      <c r="G77" s="42">
        <f>(SUMIFS('04_Base_Despesas'!$D$4:$D$219, '04_Base_Despesas'!$A$4:$A$219, G$59, '04_Base_Despesas'!$B$4:$B$219, "depreciacao"))*(IFERROR(SUMIFS('03_Base_Vendas'!$I$4:$I$387, '03_Base_Vendas'!$A$4:$A$387, G$59, '03_Base_Vendas'!$B$4:$B$387, "franquia")/SUMIFS('03_Base_Vendas'!$I$4:$I$387, '03_Base_Vendas'!$A$4:$A$387, G$59),0))</f>
        <v>370.10078509954201</v>
      </c>
      <c r="H77" s="42">
        <f>(SUMIFS('04_Base_Despesas'!$D$4:$D$219, '04_Base_Despesas'!$A$4:$A$219, H$59, '04_Base_Despesas'!$B$4:$B$219, "depreciacao"))*(IFERROR(SUMIFS('03_Base_Vendas'!$I$4:$I$387, '03_Base_Vendas'!$A$4:$A$387, H$59, '03_Base_Vendas'!$B$4:$B$387, "franquia")/SUMIFS('03_Base_Vendas'!$I$4:$I$387, '03_Base_Vendas'!$A$4:$A$387, H$59),0))</f>
        <v>376.57027380889815</v>
      </c>
      <c r="I77" s="42">
        <f>(SUMIFS('04_Base_Despesas'!$D$4:$D$219, '04_Base_Despesas'!$A$4:$A$219, I$59, '04_Base_Despesas'!$B$4:$B$219, "depreciacao"))*(IFERROR(SUMIFS('03_Base_Vendas'!$I$4:$I$387, '03_Base_Vendas'!$A$4:$A$387, I$59, '03_Base_Vendas'!$B$4:$B$387, "franquia")/SUMIFS('03_Base_Vendas'!$I$4:$I$387, '03_Base_Vendas'!$A$4:$A$387, I$59),0))</f>
        <v>448.07179759448837</v>
      </c>
      <c r="J77" s="42">
        <f>(SUMIFS('04_Base_Despesas'!$D$4:$D$219, '04_Base_Despesas'!$A$4:$A$219, J$59, '04_Base_Despesas'!$B$4:$B$219, "depreciacao"))*(IFERROR(SUMIFS('03_Base_Vendas'!$I$4:$I$387, '03_Base_Vendas'!$A$4:$A$387, J$59, '03_Base_Vendas'!$B$4:$B$387, "franquia")/SUMIFS('03_Base_Vendas'!$I$4:$I$387, '03_Base_Vendas'!$A$4:$A$387, J$59),0))</f>
        <v>323.63687307054897</v>
      </c>
      <c r="K77" s="42">
        <f>(SUMIFS('04_Base_Despesas'!$D$4:$D$219, '04_Base_Despesas'!$A$4:$A$219, K$59, '04_Base_Despesas'!$B$4:$B$219, "depreciacao"))*(IFERROR(SUMIFS('03_Base_Vendas'!$I$4:$I$387, '03_Base_Vendas'!$A$4:$A$387, K$59, '03_Base_Vendas'!$B$4:$B$387, "franquia")/SUMIFS('03_Base_Vendas'!$I$4:$I$387, '03_Base_Vendas'!$A$4:$A$387, K$59),0))</f>
        <v>431.99870972944643</v>
      </c>
      <c r="L77" s="42">
        <f>(SUMIFS('04_Base_Despesas'!$D$4:$D$219, '04_Base_Despesas'!$A$4:$A$219, L$59, '04_Base_Despesas'!$B$4:$B$219, "depreciacao"))*(IFERROR(SUMIFS('03_Base_Vendas'!$I$4:$I$387, '03_Base_Vendas'!$A$4:$A$387, L$59, '03_Base_Vendas'!$B$4:$B$387, "franquia")/SUMIFS('03_Base_Vendas'!$I$4:$I$387, '03_Base_Vendas'!$A$4:$A$387, L$59),0))</f>
        <v>368.6271077989577</v>
      </c>
      <c r="M77" s="42">
        <f>(SUMIFS('04_Base_Despesas'!$D$4:$D$219, '04_Base_Despesas'!$A$4:$A$219, M$59, '04_Base_Despesas'!$B$4:$B$219, "depreciacao"))*(IFERROR(SUMIFS('03_Base_Vendas'!$I$4:$I$387, '03_Base_Vendas'!$A$4:$A$387, M$59, '03_Base_Vendas'!$B$4:$B$387, "franquia")/SUMIFS('03_Base_Vendas'!$I$4:$I$387, '03_Base_Vendas'!$A$4:$A$387, M$59),0))</f>
        <v>377.95207806951811</v>
      </c>
      <c r="N77" s="42">
        <f>(SUMIFS('04_Base_Despesas'!$D$4:$D$219, '04_Base_Despesas'!$A$4:$A$219, N$59, '04_Base_Despesas'!$B$4:$B$219, "depreciacao"))*(IFERROR(SUMIFS('03_Base_Vendas'!$I$4:$I$387, '03_Base_Vendas'!$A$4:$A$387, N$59, '03_Base_Vendas'!$B$4:$B$387, "franquia")/SUMIFS('03_Base_Vendas'!$I$4:$I$387, '03_Base_Vendas'!$A$4:$A$387, N$59),0))</f>
        <v>317.07134014963532</v>
      </c>
      <c r="O77" s="42">
        <f>(SUMIFS('04_Base_Despesas'!$D$4:$D$219, '04_Base_Despesas'!$A$4:$A$219, O$59, '04_Base_Despesas'!$B$4:$B$219, "depreciacao"))*(IFERROR(SUMIFS('03_Base_Vendas'!$I$4:$I$387, '03_Base_Vendas'!$A$4:$A$387, O$59, '03_Base_Vendas'!$B$4:$B$387, "franquia")/SUMIFS('03_Base_Vendas'!$I$4:$I$387, '03_Base_Vendas'!$A$4:$A$387, O$59),0))</f>
        <v>389.35324035769582</v>
      </c>
      <c r="P77" s="42">
        <f>(SUMIFS('04_Base_Despesas'!$D$4:$D$219, '04_Base_Despesas'!$A$4:$A$219, P$59, '04_Base_Despesas'!$B$4:$B$219, "depreciacao"))*(IFERROR(SUMIFS('03_Base_Vendas'!$I$4:$I$387, '03_Base_Vendas'!$A$4:$A$387, P$59, '03_Base_Vendas'!$B$4:$B$387, "franquia")/SUMIFS('03_Base_Vendas'!$I$4:$I$387, '03_Base_Vendas'!$A$4:$A$387, P$59),0))</f>
        <v>349.84666164757209</v>
      </c>
      <c r="Q77" s="42">
        <f>(SUMIFS('04_Base_Despesas'!$D$4:$D$219, '04_Base_Despesas'!$A$4:$A$219, Q$59, '04_Base_Despesas'!$B$4:$B$219, "depreciacao"))*(IFERROR(SUMIFS('03_Base_Vendas'!$I$4:$I$387, '03_Base_Vendas'!$A$4:$A$387, Q$59, '03_Base_Vendas'!$B$4:$B$387, "franquia")/SUMIFS('03_Base_Vendas'!$I$4:$I$387, '03_Base_Vendas'!$A$4:$A$387, Q$59),0))</f>
        <v>329.95176119427703</v>
      </c>
      <c r="R77" s="42">
        <f>(SUMIFS('04_Base_Despesas'!$D$4:$D$219, '04_Base_Despesas'!$A$4:$A$219, R$59, '04_Base_Despesas'!$B$4:$B$219, "depreciacao"))*(IFERROR(SUMIFS('03_Base_Vendas'!$I$4:$I$387, '03_Base_Vendas'!$A$4:$A$387, R$59, '03_Base_Vendas'!$B$4:$B$387, "franquia")/SUMIFS('03_Base_Vendas'!$I$4:$I$387, '03_Base_Vendas'!$A$4:$A$387, R$59),0))</f>
        <v>309.81160991770128</v>
      </c>
      <c r="S77" s="42">
        <f>(SUMIFS('04_Base_Despesas'!$D$4:$D$219, '04_Base_Despesas'!$A$4:$A$219, S$59, '04_Base_Despesas'!$B$4:$B$219, "depreciacao"))*(IFERROR(SUMIFS('03_Base_Vendas'!$I$4:$I$387, '03_Base_Vendas'!$A$4:$A$387, S$59, '03_Base_Vendas'!$B$4:$B$387, "franquia")/SUMIFS('03_Base_Vendas'!$I$4:$I$387, '03_Base_Vendas'!$A$4:$A$387, S$59),0))</f>
        <v>366.58707348772464</v>
      </c>
      <c r="T77" s="42">
        <f>(SUMIFS('04_Base_Despesas'!$D$4:$D$219, '04_Base_Despesas'!$A$4:$A$219, T$59, '04_Base_Despesas'!$B$4:$B$219, "depreciacao"))*(IFERROR(SUMIFS('03_Base_Vendas'!$I$4:$I$387, '03_Base_Vendas'!$A$4:$A$387, T$59, '03_Base_Vendas'!$B$4:$B$387, "franquia")/SUMIFS('03_Base_Vendas'!$I$4:$I$387, '03_Base_Vendas'!$A$4:$A$387, T$59),0))</f>
        <v>360.61841726478298</v>
      </c>
      <c r="U77" s="42">
        <f>(SUMIFS('04_Base_Despesas'!$D$4:$D$219, '04_Base_Despesas'!$A$4:$A$219, U$59, '04_Base_Despesas'!$B$4:$B$219, "depreciacao"))*(IFERROR(SUMIFS('03_Base_Vendas'!$I$4:$I$387, '03_Base_Vendas'!$A$4:$A$387, U$59, '03_Base_Vendas'!$B$4:$B$387, "franquia")/SUMIFS('03_Base_Vendas'!$I$4:$I$387, '03_Base_Vendas'!$A$4:$A$387, U$59),0))</f>
        <v>477.44378568240762</v>
      </c>
      <c r="V77" s="42">
        <f>(SUMIFS('04_Base_Despesas'!$D$4:$D$219, '04_Base_Despesas'!$A$4:$A$219, V$59, '04_Base_Despesas'!$B$4:$B$219, "depreciacao"))*(IFERROR(SUMIFS('03_Base_Vendas'!$I$4:$I$387, '03_Base_Vendas'!$A$4:$A$387, V$59, '03_Base_Vendas'!$B$4:$B$387, "franquia")/SUMIFS('03_Base_Vendas'!$I$4:$I$387, '03_Base_Vendas'!$A$4:$A$387, V$59),0))</f>
        <v>376.286066616646</v>
      </c>
      <c r="W77" s="42">
        <f>(SUMIFS('04_Base_Despesas'!$D$4:$D$219, '04_Base_Despesas'!$A$4:$A$219, W$59, '04_Base_Despesas'!$B$4:$B$219, "depreciacao"))*(IFERROR(SUMIFS('03_Base_Vendas'!$I$4:$I$387, '03_Base_Vendas'!$A$4:$A$387, W$59, '03_Base_Vendas'!$B$4:$B$387, "franquia")/SUMIFS('03_Base_Vendas'!$I$4:$I$387, '03_Base_Vendas'!$A$4:$A$387, W$59),0))</f>
        <v>392.06071536167252</v>
      </c>
      <c r="X77" s="42">
        <f>(SUMIFS('04_Base_Despesas'!$D$4:$D$219, '04_Base_Despesas'!$A$4:$A$219, X$59, '04_Base_Despesas'!$B$4:$B$219, "depreciacao"))*(IFERROR(SUMIFS('03_Base_Vendas'!$I$4:$I$387, '03_Base_Vendas'!$A$4:$A$387, X$59, '03_Base_Vendas'!$B$4:$B$387, "franquia")/SUMIFS('03_Base_Vendas'!$I$4:$I$387, '03_Base_Vendas'!$A$4:$A$387, X$59),0))</f>
        <v>349.24022721261525</v>
      </c>
      <c r="Y77" s="42">
        <f>(SUMIFS('04_Base_Despesas'!$D$4:$D$219, '04_Base_Despesas'!$A$4:$A$219, Y$59, '04_Base_Despesas'!$B$4:$B$219, "depreciacao"))*(IFERROR(SUMIFS('03_Base_Vendas'!$I$4:$I$387, '03_Base_Vendas'!$A$4:$A$387, Y$59, '03_Base_Vendas'!$B$4:$B$387, "franquia")/SUMIFS('03_Base_Vendas'!$I$4:$I$387, '03_Base_Vendas'!$A$4:$A$387, Y$59),0))</f>
        <v>440.05872699565083</v>
      </c>
      <c r="Z77" s="43">
        <f>SUM(B77:Y77)</f>
        <v>8977.7146475582922</v>
      </c>
    </row>
    <row r="78" spans="1:26" x14ac:dyDescent="0.25">
      <c r="A78" s="44" t="s">
        <v>117</v>
      </c>
      <c r="B78" s="45">
        <f t="shared" ref="B78:Y78" si="30">B75-B77</f>
        <v>-8262.1798817007948</v>
      </c>
      <c r="C78" s="45">
        <f t="shared" si="30"/>
        <v>-6301.8067318314716</v>
      </c>
      <c r="D78" s="45">
        <f t="shared" si="30"/>
        <v>-4797.0852114702084</v>
      </c>
      <c r="E78" s="45">
        <f t="shared" si="30"/>
        <v>-5629.3928539848339</v>
      </c>
      <c r="F78" s="45">
        <f t="shared" si="30"/>
        <v>-2531.1204209897305</v>
      </c>
      <c r="G78" s="45">
        <f t="shared" si="30"/>
        <v>-4285.5162537221104</v>
      </c>
      <c r="H78" s="45">
        <f t="shared" si="30"/>
        <v>-6643.7374034239037</v>
      </c>
      <c r="I78" s="45">
        <f t="shared" si="30"/>
        <v>-8016.8484164135189</v>
      </c>
      <c r="J78" s="45">
        <f t="shared" si="30"/>
        <v>-5417.3439321575715</v>
      </c>
      <c r="K78" s="45">
        <f t="shared" si="30"/>
        <v>-7590.3938708116575</v>
      </c>
      <c r="L78" s="45">
        <f t="shared" si="30"/>
        <v>-2295.7268829934956</v>
      </c>
      <c r="M78" s="45">
        <f t="shared" si="30"/>
        <v>-3481.1655365478705</v>
      </c>
      <c r="N78" s="45">
        <f t="shared" si="30"/>
        <v>-4387.1719942932823</v>
      </c>
      <c r="O78" s="45">
        <f t="shared" si="30"/>
        <v>-6415.7206530435251</v>
      </c>
      <c r="P78" s="45">
        <f t="shared" si="30"/>
        <v>-4863.9398188894284</v>
      </c>
      <c r="Q78" s="45">
        <f t="shared" si="30"/>
        <v>-5570.954443238059</v>
      </c>
      <c r="R78" s="45">
        <f t="shared" si="30"/>
        <v>-2894.4398361225985</v>
      </c>
      <c r="S78" s="45">
        <f t="shared" si="30"/>
        <v>-2940.1379385915625</v>
      </c>
      <c r="T78" s="45">
        <f t="shared" si="30"/>
        <v>-5248.7155203997136</v>
      </c>
      <c r="U78" s="45">
        <f t="shared" si="30"/>
        <v>-6818.7293275878656</v>
      </c>
      <c r="V78" s="45">
        <f t="shared" si="30"/>
        <v>-4720.0584316845825</v>
      </c>
      <c r="W78" s="45">
        <f t="shared" si="30"/>
        <v>-5346.2266118405059</v>
      </c>
      <c r="X78" s="45">
        <f t="shared" si="30"/>
        <v>1172.9054545706015</v>
      </c>
      <c r="Y78" s="45">
        <f t="shared" si="30"/>
        <v>-600.43423639617913</v>
      </c>
      <c r="Z78" s="43">
        <f>SUM(B78:Y78)</f>
        <v>-113885.94075356386</v>
      </c>
    </row>
    <row r="79" spans="1:26" x14ac:dyDescent="0.25">
      <c r="A79" s="41" t="s">
        <v>348</v>
      </c>
      <c r="B79" s="42">
        <f>(SUMIFS('04_Base_Despesas'!$D$4:$D$219, '04_Base_Despesas'!$A$4:$A$219, B$59, '04_Base_Despesas'!$B$4:$B$219, "financeiro"))*(IFERROR(SUMIFS('03_Base_Vendas'!$I$4:$I$387, '03_Base_Vendas'!$A$4:$A$387, B$59, '03_Base_Vendas'!$B$4:$B$387, "franquia")/SUMIFS('03_Base_Vendas'!$I$4:$I$387, '03_Base_Vendas'!$A$4:$A$387, B$59),0))</f>
        <v>293.48484372474326</v>
      </c>
      <c r="C79" s="42">
        <f>(SUMIFS('04_Base_Despesas'!$D$4:$D$219, '04_Base_Despesas'!$A$4:$A$219, C$59, '04_Base_Despesas'!$B$4:$B$219, "financeiro"))*(IFERROR(SUMIFS('03_Base_Vendas'!$I$4:$I$387, '03_Base_Vendas'!$A$4:$A$387, C$59, '03_Base_Vendas'!$B$4:$B$387, "franquia")/SUMIFS('03_Base_Vendas'!$I$4:$I$387, '03_Base_Vendas'!$A$4:$A$387, C$59),0))</f>
        <v>193.05142397613696</v>
      </c>
      <c r="D79" s="42">
        <f>(SUMIFS('04_Base_Despesas'!$D$4:$D$219, '04_Base_Despesas'!$A$4:$A$219, D$59, '04_Base_Despesas'!$B$4:$B$219, "financeiro"))*(IFERROR(SUMIFS('03_Base_Vendas'!$I$4:$I$387, '03_Base_Vendas'!$A$4:$A$387, D$59, '03_Base_Vendas'!$B$4:$B$387, "franquia")/SUMIFS('03_Base_Vendas'!$I$4:$I$387, '03_Base_Vendas'!$A$4:$A$387, D$59),0))</f>
        <v>200.55428524843228</v>
      </c>
      <c r="E79" s="42">
        <f>(SUMIFS('04_Base_Despesas'!$D$4:$D$219, '04_Base_Despesas'!$A$4:$A$219, E$59, '04_Base_Despesas'!$B$4:$B$219, "financeiro"))*(IFERROR(SUMIFS('03_Base_Vendas'!$I$4:$I$387, '03_Base_Vendas'!$A$4:$A$387, E$59, '03_Base_Vendas'!$B$4:$B$387, "franquia")/SUMIFS('03_Base_Vendas'!$I$4:$I$387, '03_Base_Vendas'!$A$4:$A$387, E$59),0))</f>
        <v>204.28766880738249</v>
      </c>
      <c r="F79" s="42">
        <f>(SUMIFS('04_Base_Despesas'!$D$4:$D$219, '04_Base_Despesas'!$A$4:$A$219, F$59, '04_Base_Despesas'!$B$4:$B$219, "financeiro"))*(IFERROR(SUMIFS('03_Base_Vendas'!$I$4:$I$387, '03_Base_Vendas'!$A$4:$A$387, F$59, '03_Base_Vendas'!$B$4:$B$387, "franquia")/SUMIFS('03_Base_Vendas'!$I$4:$I$387, '03_Base_Vendas'!$A$4:$A$387, F$59),0))</f>
        <v>222.18202771246987</v>
      </c>
      <c r="G79" s="42">
        <f>(SUMIFS('04_Base_Despesas'!$D$4:$D$219, '04_Base_Despesas'!$A$4:$A$219, G$59, '04_Base_Despesas'!$B$4:$B$219, "financeiro"))*(IFERROR(SUMIFS('03_Base_Vendas'!$I$4:$I$387, '03_Base_Vendas'!$A$4:$A$387, G$59, '03_Base_Vendas'!$B$4:$B$387, "franquia")/SUMIFS('03_Base_Vendas'!$I$4:$I$387, '03_Base_Vendas'!$A$4:$A$387, G$59),0))</f>
        <v>215.07495521625623</v>
      </c>
      <c r="H79" s="42">
        <f>(SUMIFS('04_Base_Despesas'!$D$4:$D$219, '04_Base_Despesas'!$A$4:$A$219, H$59, '04_Base_Despesas'!$B$4:$B$219, "financeiro"))*(IFERROR(SUMIFS('03_Base_Vendas'!$I$4:$I$387, '03_Base_Vendas'!$A$4:$A$387, H$59, '03_Base_Vendas'!$B$4:$B$387, "franquia")/SUMIFS('03_Base_Vendas'!$I$4:$I$387, '03_Base_Vendas'!$A$4:$A$387, H$59),0))</f>
        <v>932.18512150533479</v>
      </c>
      <c r="I79" s="42">
        <f>(SUMIFS('04_Base_Despesas'!$D$4:$D$219, '04_Base_Despesas'!$A$4:$A$219, I$59, '04_Base_Despesas'!$B$4:$B$219, "financeiro"))*(IFERROR(SUMIFS('03_Base_Vendas'!$I$4:$I$387, '03_Base_Vendas'!$A$4:$A$387, I$59, '03_Base_Vendas'!$B$4:$B$387, "franquia")/SUMIFS('03_Base_Vendas'!$I$4:$I$387, '03_Base_Vendas'!$A$4:$A$387, I$59),0))</f>
        <v>267.55589048360343</v>
      </c>
      <c r="J79" s="42">
        <f>(SUMIFS('04_Base_Despesas'!$D$4:$D$219, '04_Base_Despesas'!$A$4:$A$219, J$59, '04_Base_Despesas'!$B$4:$B$219, "financeiro"))*(IFERROR(SUMIFS('03_Base_Vendas'!$I$4:$I$387, '03_Base_Vendas'!$A$4:$A$387, J$59, '03_Base_Vendas'!$B$4:$B$387, "franquia")/SUMIFS('03_Base_Vendas'!$I$4:$I$387, '03_Base_Vendas'!$A$4:$A$387, J$59),0))</f>
        <v>191.42031189999037</v>
      </c>
      <c r="K79" s="42">
        <f>(SUMIFS('04_Base_Despesas'!$D$4:$D$219, '04_Base_Despesas'!$A$4:$A$219, K$59, '04_Base_Despesas'!$B$4:$B$219, "financeiro"))*(IFERROR(SUMIFS('03_Base_Vendas'!$I$4:$I$387, '03_Base_Vendas'!$A$4:$A$387, K$59, '03_Base_Vendas'!$B$4:$B$387, "franquia")/SUMIFS('03_Base_Vendas'!$I$4:$I$387, '03_Base_Vendas'!$A$4:$A$387, K$59),0))</f>
        <v>231.47669045603001</v>
      </c>
      <c r="L79" s="42">
        <f>(SUMIFS('04_Base_Despesas'!$D$4:$D$219, '04_Base_Despesas'!$A$4:$A$219, L$59, '04_Base_Despesas'!$B$4:$B$219, "financeiro"))*(IFERROR(SUMIFS('03_Base_Vendas'!$I$4:$I$387, '03_Base_Vendas'!$A$4:$A$387, L$59, '03_Base_Vendas'!$B$4:$B$387, "franquia")/SUMIFS('03_Base_Vendas'!$I$4:$I$387, '03_Base_Vendas'!$A$4:$A$387, L$59),0))</f>
        <v>216.51480734348053</v>
      </c>
      <c r="M79" s="42">
        <f>(SUMIFS('04_Base_Despesas'!$D$4:$D$219, '04_Base_Despesas'!$A$4:$A$219, M$59, '04_Base_Despesas'!$B$4:$B$219, "financeiro"))*(IFERROR(SUMIFS('03_Base_Vendas'!$I$4:$I$387, '03_Base_Vendas'!$A$4:$A$387, M$59, '03_Base_Vendas'!$B$4:$B$387, "franquia")/SUMIFS('03_Base_Vendas'!$I$4:$I$387, '03_Base_Vendas'!$A$4:$A$387, M$59),0))</f>
        <v>222.91613564540179</v>
      </c>
      <c r="N79" s="42">
        <f>(SUMIFS('04_Base_Despesas'!$D$4:$D$219, '04_Base_Despesas'!$A$4:$A$219, N$59, '04_Base_Despesas'!$B$4:$B$219, "financeiro"))*(IFERROR(SUMIFS('03_Base_Vendas'!$I$4:$I$387, '03_Base_Vendas'!$A$4:$A$387, N$59, '03_Base_Vendas'!$B$4:$B$387, "franquia")/SUMIFS('03_Base_Vendas'!$I$4:$I$387, '03_Base_Vendas'!$A$4:$A$387, N$59),0))</f>
        <v>174.34311761464133</v>
      </c>
      <c r="O79" s="42">
        <f>(SUMIFS('04_Base_Despesas'!$D$4:$D$219, '04_Base_Despesas'!$A$4:$A$219, O$59, '04_Base_Despesas'!$B$4:$B$219, "financeiro"))*(IFERROR(SUMIFS('03_Base_Vendas'!$I$4:$I$387, '03_Base_Vendas'!$A$4:$A$387, O$59, '03_Base_Vendas'!$B$4:$B$387, "franquia")/SUMIFS('03_Base_Vendas'!$I$4:$I$387, '03_Base_Vendas'!$A$4:$A$387, O$59),0))</f>
        <v>225.03378441455499</v>
      </c>
      <c r="P79" s="42">
        <f>(SUMIFS('04_Base_Despesas'!$D$4:$D$219, '04_Base_Despesas'!$A$4:$A$219, P$59, '04_Base_Despesas'!$B$4:$B$219, "financeiro"))*(IFERROR(SUMIFS('03_Base_Vendas'!$I$4:$I$387, '03_Base_Vendas'!$A$4:$A$387, P$59, '03_Base_Vendas'!$B$4:$B$387, "franquia")/SUMIFS('03_Base_Vendas'!$I$4:$I$387, '03_Base_Vendas'!$A$4:$A$387, P$59),0))</f>
        <v>208.93478718432365</v>
      </c>
      <c r="Q79" s="42">
        <f>(SUMIFS('04_Base_Despesas'!$D$4:$D$219, '04_Base_Despesas'!$A$4:$A$219, Q$59, '04_Base_Despesas'!$B$4:$B$219, "financeiro"))*(IFERROR(SUMIFS('03_Base_Vendas'!$I$4:$I$387, '03_Base_Vendas'!$A$4:$A$387, Q$59, '03_Base_Vendas'!$B$4:$B$387, "franquia")/SUMIFS('03_Base_Vendas'!$I$4:$I$387, '03_Base_Vendas'!$A$4:$A$387, Q$59),0))</f>
        <v>209.1939159393697</v>
      </c>
      <c r="R79" s="42">
        <f>(SUMIFS('04_Base_Despesas'!$D$4:$D$219, '04_Base_Despesas'!$A$4:$A$219, R$59, '04_Base_Despesas'!$B$4:$B$219, "financeiro"))*(IFERROR(SUMIFS('03_Base_Vendas'!$I$4:$I$387, '03_Base_Vendas'!$A$4:$A$387, R$59, '03_Base_Vendas'!$B$4:$B$387, "franquia")/SUMIFS('03_Base_Vendas'!$I$4:$I$387, '03_Base_Vendas'!$A$4:$A$387, R$59),0))</f>
        <v>189.35771669859315</v>
      </c>
      <c r="S79" s="42">
        <f>(SUMIFS('04_Base_Despesas'!$D$4:$D$219, '04_Base_Despesas'!$A$4:$A$219, S$59, '04_Base_Despesas'!$B$4:$B$219, "financeiro"))*(IFERROR(SUMIFS('03_Base_Vendas'!$I$4:$I$387, '03_Base_Vendas'!$A$4:$A$387, S$59, '03_Base_Vendas'!$B$4:$B$387, "franquia")/SUMIFS('03_Base_Vendas'!$I$4:$I$387, '03_Base_Vendas'!$A$4:$A$387, S$59),0))</f>
        <v>226.30419829324933</v>
      </c>
      <c r="T79" s="42">
        <f>(SUMIFS('04_Base_Despesas'!$D$4:$D$219, '04_Base_Despesas'!$A$4:$A$219, T$59, '04_Base_Despesas'!$B$4:$B$219, "financeiro"))*(IFERROR(SUMIFS('03_Base_Vendas'!$I$4:$I$387, '03_Base_Vendas'!$A$4:$A$387, T$59, '03_Base_Vendas'!$B$4:$B$387, "franquia")/SUMIFS('03_Base_Vendas'!$I$4:$I$387, '03_Base_Vendas'!$A$4:$A$387, T$59),0))</f>
        <v>215.00561789713541</v>
      </c>
      <c r="U79" s="42">
        <f>(SUMIFS('04_Base_Despesas'!$D$4:$D$219, '04_Base_Despesas'!$A$4:$A$219, U$59, '04_Base_Despesas'!$B$4:$B$219, "financeiro"))*(IFERROR(SUMIFS('03_Base_Vendas'!$I$4:$I$387, '03_Base_Vendas'!$A$4:$A$387, U$59, '03_Base_Vendas'!$B$4:$B$387, "franquia")/SUMIFS('03_Base_Vendas'!$I$4:$I$387, '03_Base_Vendas'!$A$4:$A$387, U$59),0))</f>
        <v>296.12799747243582</v>
      </c>
      <c r="V79" s="42">
        <f>(SUMIFS('04_Base_Despesas'!$D$4:$D$219, '04_Base_Despesas'!$A$4:$A$219, V$59, '04_Base_Despesas'!$B$4:$B$219, "financeiro"))*(IFERROR(SUMIFS('03_Base_Vendas'!$I$4:$I$387, '03_Base_Vendas'!$A$4:$A$387, V$59, '03_Base_Vendas'!$B$4:$B$387, "franquia")/SUMIFS('03_Base_Vendas'!$I$4:$I$387, '03_Base_Vendas'!$A$4:$A$387, V$59),0))</f>
        <v>206.90260412037472</v>
      </c>
      <c r="W79" s="42">
        <f>(SUMIFS('04_Base_Despesas'!$D$4:$D$219, '04_Base_Despesas'!$A$4:$A$219, W$59, '04_Base_Despesas'!$B$4:$B$219, "financeiro"))*(IFERROR(SUMIFS('03_Base_Vendas'!$I$4:$I$387, '03_Base_Vendas'!$A$4:$A$387, W$59, '03_Base_Vendas'!$B$4:$B$387, "franquia")/SUMIFS('03_Base_Vendas'!$I$4:$I$387, '03_Base_Vendas'!$A$4:$A$387, W$59),0))</f>
        <v>238.02470641487662</v>
      </c>
      <c r="X79" s="42">
        <f>(SUMIFS('04_Base_Despesas'!$D$4:$D$219, '04_Base_Despesas'!$A$4:$A$219, X$59, '04_Base_Despesas'!$B$4:$B$219, "financeiro"))*(IFERROR(SUMIFS('03_Base_Vendas'!$I$4:$I$387, '03_Base_Vendas'!$A$4:$A$387, X$59, '03_Base_Vendas'!$B$4:$B$387, "franquia")/SUMIFS('03_Base_Vendas'!$I$4:$I$387, '03_Base_Vendas'!$A$4:$A$387, X$59),0))</f>
        <v>207.7407867906895</v>
      </c>
      <c r="Y79" s="42">
        <f>(SUMIFS('04_Base_Despesas'!$D$4:$D$219, '04_Base_Despesas'!$A$4:$A$219, Y$59, '04_Base_Despesas'!$B$4:$B$219, "financeiro"))*(IFERROR(SUMIFS('03_Base_Vendas'!$I$4:$I$387, '03_Base_Vendas'!$A$4:$A$387, Y$59, '03_Base_Vendas'!$B$4:$B$387, "franquia")/SUMIFS('03_Base_Vendas'!$I$4:$I$387, '03_Base_Vendas'!$A$4:$A$387, Y$59),0))</f>
        <v>276.80894088190968</v>
      </c>
      <c r="Z79" s="43">
        <f>SUM(B79:Y79)</f>
        <v>6064.4823357414161</v>
      </c>
    </row>
    <row r="80" spans="1:26" x14ac:dyDescent="0.25">
      <c r="A80" s="44" t="s">
        <v>119</v>
      </c>
      <c r="B80" s="45">
        <f t="shared" ref="B80:Y80" si="31">B78-B79</f>
        <v>-8555.6647254255386</v>
      </c>
      <c r="C80" s="45">
        <f t="shared" si="31"/>
        <v>-6494.8581558076085</v>
      </c>
      <c r="D80" s="45">
        <f t="shared" si="31"/>
        <v>-4997.6394967186407</v>
      </c>
      <c r="E80" s="45">
        <f t="shared" si="31"/>
        <v>-5833.6805227922159</v>
      </c>
      <c r="F80" s="45">
        <f t="shared" si="31"/>
        <v>-2753.3024487022003</v>
      </c>
      <c r="G80" s="45">
        <f t="shared" si="31"/>
        <v>-4500.5912089383664</v>
      </c>
      <c r="H80" s="45">
        <f t="shared" si="31"/>
        <v>-7575.9225249292385</v>
      </c>
      <c r="I80" s="45">
        <f t="shared" si="31"/>
        <v>-8284.4043068971223</v>
      </c>
      <c r="J80" s="45">
        <f t="shared" si="31"/>
        <v>-5608.7642440575619</v>
      </c>
      <c r="K80" s="45">
        <f t="shared" si="31"/>
        <v>-7821.8705612676877</v>
      </c>
      <c r="L80" s="45">
        <f t="shared" si="31"/>
        <v>-2512.2416903369763</v>
      </c>
      <c r="M80" s="45">
        <f t="shared" si="31"/>
        <v>-3704.0816721932724</v>
      </c>
      <c r="N80" s="45">
        <f t="shared" si="31"/>
        <v>-4561.5151119079237</v>
      </c>
      <c r="O80" s="45">
        <f t="shared" si="31"/>
        <v>-6640.7544374580802</v>
      </c>
      <c r="P80" s="45">
        <f t="shared" si="31"/>
        <v>-5072.8746060737521</v>
      </c>
      <c r="Q80" s="45">
        <f t="shared" si="31"/>
        <v>-5780.1483591774286</v>
      </c>
      <c r="R80" s="45">
        <f t="shared" si="31"/>
        <v>-3083.7975528211919</v>
      </c>
      <c r="S80" s="45">
        <f t="shared" si="31"/>
        <v>-3166.4421368848116</v>
      </c>
      <c r="T80" s="45">
        <f t="shared" si="31"/>
        <v>-5463.7211382968489</v>
      </c>
      <c r="U80" s="45">
        <f t="shared" si="31"/>
        <v>-7114.8573250603013</v>
      </c>
      <c r="V80" s="45">
        <f t="shared" si="31"/>
        <v>-4926.9610358049576</v>
      </c>
      <c r="W80" s="45">
        <f t="shared" si="31"/>
        <v>-5584.251318255383</v>
      </c>
      <c r="X80" s="45">
        <f t="shared" si="31"/>
        <v>965.16466777991195</v>
      </c>
      <c r="Y80" s="45">
        <f t="shared" si="31"/>
        <v>-877.24317727808875</v>
      </c>
      <c r="Z80" s="43">
        <f>SUM(B80:Y80)</f>
        <v>-119950.42308930529</v>
      </c>
    </row>
    <row r="81" spans="1:26" x14ac:dyDescent="0.25">
      <c r="A81" s="41" t="s">
        <v>349</v>
      </c>
      <c r="B81" s="46">
        <f t="shared" ref="B81:Y81" si="32">IFERROR(B80/B63,0)</f>
        <v>-0.26532936353580239</v>
      </c>
      <c r="C81" s="46">
        <f t="shared" si="32"/>
        <v>-0.36461010600071009</v>
      </c>
      <c r="D81" s="46">
        <f t="shared" si="32"/>
        <v>-0.22048668940452124</v>
      </c>
      <c r="E81" s="46">
        <f t="shared" si="32"/>
        <v>-0.26512535847930491</v>
      </c>
      <c r="F81" s="46">
        <f t="shared" si="32"/>
        <v>-8.5986127201835336E-2</v>
      </c>
      <c r="G81" s="46">
        <f t="shared" si="32"/>
        <v>-0.15762727199280074</v>
      </c>
      <c r="H81" s="46">
        <f t="shared" si="32"/>
        <v>-0.34254555752976001</v>
      </c>
      <c r="I81" s="46">
        <f t="shared" si="32"/>
        <v>-0.31545166738368852</v>
      </c>
      <c r="J81" s="46">
        <f t="shared" si="32"/>
        <v>-0.28252309135553622</v>
      </c>
      <c r="K81" s="46">
        <f t="shared" si="32"/>
        <v>-0.26858421161804535</v>
      </c>
      <c r="L81" s="46">
        <f t="shared" si="32"/>
        <v>-7.3836885274837422E-2</v>
      </c>
      <c r="M81" s="46">
        <f t="shared" si="32"/>
        <v>-0.10951570150277043</v>
      </c>
      <c r="N81" s="46">
        <f t="shared" si="32"/>
        <v>-0.18009558919895624</v>
      </c>
      <c r="O81" s="46">
        <f t="shared" si="32"/>
        <v>-0.25854078241196132</v>
      </c>
      <c r="P81" s="46">
        <f t="shared" si="32"/>
        <v>-0.18671251987798618</v>
      </c>
      <c r="Q81" s="46">
        <f t="shared" si="32"/>
        <v>-0.2659497109908226</v>
      </c>
      <c r="R81" s="46">
        <f t="shared" si="32"/>
        <v>-0.1047703022883211</v>
      </c>
      <c r="S81" s="46">
        <f t="shared" si="32"/>
        <v>-0.10294426755545769</v>
      </c>
      <c r="T81" s="46">
        <f t="shared" si="32"/>
        <v>-0.21684840706304839</v>
      </c>
      <c r="U81" s="46">
        <f t="shared" si="32"/>
        <v>-0.21692292923049508</v>
      </c>
      <c r="V81" s="46">
        <f t="shared" si="32"/>
        <v>-0.18427356615761167</v>
      </c>
      <c r="W81" s="46">
        <f t="shared" si="32"/>
        <v>-0.18616249875420701</v>
      </c>
      <c r="X81" s="46">
        <f t="shared" si="32"/>
        <v>2.4483906867944469E-2</v>
      </c>
      <c r="Y81" s="46">
        <f t="shared" si="32"/>
        <v>-2.2574317683608375E-2</v>
      </c>
      <c r="Z81" s="47">
        <f>IFERROR($Z$80/$Z$63,0)</f>
        <v>-0.17806823866936314</v>
      </c>
    </row>
    <row r="84" spans="1:26" ht="21.75" customHeight="1" x14ac:dyDescent="0.25">
      <c r="A84" s="4" t="s">
        <v>356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38" t="s">
        <v>329</v>
      </c>
      <c r="B85" s="39" t="s">
        <v>135</v>
      </c>
      <c r="C85" s="39" t="s">
        <v>144</v>
      </c>
      <c r="D85" s="39" t="s">
        <v>145</v>
      </c>
      <c r="E85" s="39" t="s">
        <v>146</v>
      </c>
      <c r="F85" s="39" t="s">
        <v>147</v>
      </c>
      <c r="G85" s="39" t="s">
        <v>148</v>
      </c>
      <c r="H85" s="39" t="s">
        <v>149</v>
      </c>
      <c r="I85" s="39" t="s">
        <v>150</v>
      </c>
      <c r="J85" s="39" t="s">
        <v>151</v>
      </c>
      <c r="K85" s="39" t="s">
        <v>152</v>
      </c>
      <c r="L85" s="39" t="s">
        <v>153</v>
      </c>
      <c r="M85" s="39" t="s">
        <v>154</v>
      </c>
      <c r="N85" s="39" t="s">
        <v>155</v>
      </c>
      <c r="O85" s="39" t="s">
        <v>156</v>
      </c>
      <c r="P85" s="39" t="s">
        <v>157</v>
      </c>
      <c r="Q85" s="39" t="s">
        <v>158</v>
      </c>
      <c r="R85" s="39" t="s">
        <v>159</v>
      </c>
      <c r="S85" s="39" t="s">
        <v>160</v>
      </c>
      <c r="T85" s="39" t="s">
        <v>161</v>
      </c>
      <c r="U85" s="39" t="s">
        <v>162</v>
      </c>
      <c r="V85" s="39" t="s">
        <v>163</v>
      </c>
      <c r="W85" s="39" t="s">
        <v>164</v>
      </c>
      <c r="X85" s="39" t="s">
        <v>165</v>
      </c>
      <c r="Y85" s="39" t="s">
        <v>166</v>
      </c>
      <c r="Z85" s="40" t="s">
        <v>330</v>
      </c>
    </row>
    <row r="86" spans="1:26" x14ac:dyDescent="0.25">
      <c r="A86" s="41" t="s">
        <v>331</v>
      </c>
      <c r="B86" s="42">
        <f>SUMIFS('03_Base_Vendas'!$F$4:$F$387, '03_Base_Vendas'!$A$4:$A$387, B$85, '03_Base_Vendas'!$B$4:$B$387, "loja_propria")</f>
        <v>15287.18</v>
      </c>
      <c r="C86" s="42">
        <f>SUMIFS('03_Base_Vendas'!$F$4:$F$387, '03_Base_Vendas'!$A$4:$A$387, C$85, '03_Base_Vendas'!$B$4:$B$387, "loja_propria")</f>
        <v>17549.150000000001</v>
      </c>
      <c r="D86" s="42">
        <f>SUMIFS('03_Base_Vendas'!$F$4:$F$387, '03_Base_Vendas'!$A$4:$A$387, D$85, '03_Base_Vendas'!$B$4:$B$387, "loja_propria")</f>
        <v>22291.129999999997</v>
      </c>
      <c r="E86" s="42">
        <f>SUMIFS('03_Base_Vendas'!$F$4:$F$387, '03_Base_Vendas'!$A$4:$A$387, E$85, '03_Base_Vendas'!$B$4:$B$387, "loja_propria")</f>
        <v>23821.55</v>
      </c>
      <c r="F86" s="42">
        <f>SUMIFS('03_Base_Vendas'!$F$4:$F$387, '03_Base_Vendas'!$A$4:$A$387, F$85, '03_Base_Vendas'!$B$4:$B$387, "loja_propria")</f>
        <v>24128.79</v>
      </c>
      <c r="G86" s="42">
        <f>SUMIFS('03_Base_Vendas'!$F$4:$F$387, '03_Base_Vendas'!$A$4:$A$387, G$85, '03_Base_Vendas'!$B$4:$B$387, "loja_propria")</f>
        <v>24537.920000000002</v>
      </c>
      <c r="H86" s="42">
        <f>SUMIFS('03_Base_Vendas'!$F$4:$F$387, '03_Base_Vendas'!$A$4:$A$387, H$85, '03_Base_Vendas'!$B$4:$B$387, "loja_propria")</f>
        <v>16767.530000000002</v>
      </c>
      <c r="I86" s="42">
        <f>SUMIFS('03_Base_Vendas'!$F$4:$F$387, '03_Base_Vendas'!$A$4:$A$387, I$85, '03_Base_Vendas'!$B$4:$B$387, "loja_propria")</f>
        <v>18498.78</v>
      </c>
      <c r="J86" s="42">
        <f>SUMIFS('03_Base_Vendas'!$F$4:$F$387, '03_Base_Vendas'!$A$4:$A$387, J$85, '03_Base_Vendas'!$B$4:$B$387, "loja_propria")</f>
        <v>18747.739999999998</v>
      </c>
      <c r="K86" s="42">
        <f>SUMIFS('03_Base_Vendas'!$F$4:$F$387, '03_Base_Vendas'!$A$4:$A$387, K$85, '03_Base_Vendas'!$B$4:$B$387, "loja_propria")</f>
        <v>15633.96</v>
      </c>
      <c r="L86" s="42">
        <f>SUMIFS('03_Base_Vendas'!$F$4:$F$387, '03_Base_Vendas'!$A$4:$A$387, L$85, '03_Base_Vendas'!$B$4:$B$387, "loja_propria")</f>
        <v>22721.010000000002</v>
      </c>
      <c r="M86" s="42">
        <f>SUMIFS('03_Base_Vendas'!$F$4:$F$387, '03_Base_Vendas'!$A$4:$A$387, M$85, '03_Base_Vendas'!$B$4:$B$387, "loja_propria")</f>
        <v>22830.62</v>
      </c>
      <c r="N86" s="42">
        <f>SUMIFS('03_Base_Vendas'!$F$4:$F$387, '03_Base_Vendas'!$A$4:$A$387, N$85, '03_Base_Vendas'!$B$4:$B$387, "loja_propria")</f>
        <v>22155.8</v>
      </c>
      <c r="O86" s="42">
        <f>SUMIFS('03_Base_Vendas'!$F$4:$F$387, '03_Base_Vendas'!$A$4:$A$387, O$85, '03_Base_Vendas'!$B$4:$B$387, "loja_propria")</f>
        <v>16005.380000000001</v>
      </c>
      <c r="P86" s="42">
        <f>SUMIFS('03_Base_Vendas'!$F$4:$F$387, '03_Base_Vendas'!$A$4:$A$387, P$85, '03_Base_Vendas'!$B$4:$B$387, "loja_propria")</f>
        <v>24547.769999999997</v>
      </c>
      <c r="Q86" s="42">
        <f>SUMIFS('03_Base_Vendas'!$F$4:$F$387, '03_Base_Vendas'!$A$4:$A$387, Q$85, '03_Base_Vendas'!$B$4:$B$387, "loja_propria")</f>
        <v>19129.36</v>
      </c>
      <c r="R86" s="42">
        <f>SUMIFS('03_Base_Vendas'!$F$4:$F$387, '03_Base_Vendas'!$A$4:$A$387, R$85, '03_Base_Vendas'!$B$4:$B$387, "loja_propria")</f>
        <v>28644.97</v>
      </c>
      <c r="S86" s="42">
        <f>SUMIFS('03_Base_Vendas'!$F$4:$F$387, '03_Base_Vendas'!$A$4:$A$387, S$85, '03_Base_Vendas'!$B$4:$B$387, "loja_propria")</f>
        <v>26581.46</v>
      </c>
      <c r="T86" s="42">
        <f>SUMIFS('03_Base_Vendas'!$F$4:$F$387, '03_Base_Vendas'!$A$4:$A$387, T$85, '03_Base_Vendas'!$B$4:$B$387, "loja_propria")</f>
        <v>20196.3</v>
      </c>
      <c r="U86" s="42">
        <f>SUMIFS('03_Base_Vendas'!$F$4:$F$387, '03_Base_Vendas'!$A$4:$A$387, U$85, '03_Base_Vendas'!$B$4:$B$387, "loja_propria")</f>
        <v>25755.769999999997</v>
      </c>
      <c r="V86" s="42">
        <f>SUMIFS('03_Base_Vendas'!$F$4:$F$387, '03_Base_Vendas'!$A$4:$A$387, V$85, '03_Base_Vendas'!$B$4:$B$387, "loja_propria")</f>
        <v>17192.419999999998</v>
      </c>
      <c r="W86" s="42">
        <f>SUMIFS('03_Base_Vendas'!$F$4:$F$387, '03_Base_Vendas'!$A$4:$A$387, W$85, '03_Base_Vendas'!$B$4:$B$387, "loja_propria")</f>
        <v>21979.579999999998</v>
      </c>
      <c r="X86" s="42">
        <f>SUMIFS('03_Base_Vendas'!$F$4:$F$387, '03_Base_Vendas'!$A$4:$A$387, X$85, '03_Base_Vendas'!$B$4:$B$387, "loja_propria")</f>
        <v>36068.1</v>
      </c>
      <c r="Y86" s="42">
        <f>SUMIFS('03_Base_Vendas'!$F$4:$F$387, '03_Base_Vendas'!$A$4:$A$387, Y$85, '03_Base_Vendas'!$B$4:$B$387, "loja_propria")</f>
        <v>24790.080000000002</v>
      </c>
      <c r="Z86" s="43">
        <f t="shared" ref="Z86:Z91" si="33">SUM(B86:Y86)</f>
        <v>525862.35</v>
      </c>
    </row>
    <row r="87" spans="1:26" x14ac:dyDescent="0.25">
      <c r="A87" s="41" t="s">
        <v>332</v>
      </c>
      <c r="B87" s="42">
        <f>SUMIFS('03_Base_Vendas'!$G$4:$G$387, '03_Base_Vendas'!$A$4:$A$387, B$85, '03_Base_Vendas'!$B$4:$B$387, "loja_propria")</f>
        <v>0</v>
      </c>
      <c r="C87" s="42">
        <f>SUMIFS('03_Base_Vendas'!$G$4:$G$387, '03_Base_Vendas'!$A$4:$A$387, C$85, '03_Base_Vendas'!$B$4:$B$387, "loja_propria")</f>
        <v>974.25</v>
      </c>
      <c r="D87" s="42">
        <f>SUMIFS('03_Base_Vendas'!$G$4:$G$387, '03_Base_Vendas'!$A$4:$A$387, D$85, '03_Base_Vendas'!$B$4:$B$387, "loja_propria")</f>
        <v>156.94</v>
      </c>
      <c r="E87" s="42">
        <f>SUMIFS('03_Base_Vendas'!$G$4:$G$387, '03_Base_Vendas'!$A$4:$A$387, E$85, '03_Base_Vendas'!$B$4:$B$387, "loja_propria")</f>
        <v>472.79</v>
      </c>
      <c r="F87" s="42">
        <f>SUMIFS('03_Base_Vendas'!$G$4:$G$387, '03_Base_Vendas'!$A$4:$A$387, F$85, '03_Base_Vendas'!$B$4:$B$387, "loja_propria")</f>
        <v>227.72</v>
      </c>
      <c r="G87" s="42">
        <f>SUMIFS('03_Base_Vendas'!$G$4:$G$387, '03_Base_Vendas'!$A$4:$A$387, G$85, '03_Base_Vendas'!$B$4:$B$387, "loja_propria")</f>
        <v>0</v>
      </c>
      <c r="H87" s="42">
        <f>SUMIFS('03_Base_Vendas'!$G$4:$G$387, '03_Base_Vendas'!$A$4:$A$387, H$85, '03_Base_Vendas'!$B$4:$B$387, "loja_propria")</f>
        <v>498.07</v>
      </c>
      <c r="I87" s="42">
        <f>SUMIFS('03_Base_Vendas'!$G$4:$G$387, '03_Base_Vendas'!$A$4:$A$387, I$85, '03_Base_Vendas'!$B$4:$B$387, "loja_propria")</f>
        <v>1312.5300000000002</v>
      </c>
      <c r="J87" s="42">
        <f>SUMIFS('03_Base_Vendas'!$G$4:$G$387, '03_Base_Vendas'!$A$4:$A$387, J$85, '03_Base_Vendas'!$B$4:$B$387, "loja_propria")</f>
        <v>899.68</v>
      </c>
      <c r="K87" s="42">
        <f>SUMIFS('03_Base_Vendas'!$G$4:$G$387, '03_Base_Vendas'!$A$4:$A$387, K$85, '03_Base_Vendas'!$B$4:$B$387, "loja_propria")</f>
        <v>1189.45</v>
      </c>
      <c r="L87" s="42">
        <f>SUMIFS('03_Base_Vendas'!$G$4:$G$387, '03_Base_Vendas'!$A$4:$A$387, L$85, '03_Base_Vendas'!$B$4:$B$387, "loja_propria")</f>
        <v>442.26</v>
      </c>
      <c r="M87" s="42">
        <f>SUMIFS('03_Base_Vendas'!$G$4:$G$387, '03_Base_Vendas'!$A$4:$A$387, M$85, '03_Base_Vendas'!$B$4:$B$387, "loja_propria")</f>
        <v>0</v>
      </c>
      <c r="N87" s="42">
        <f>SUMIFS('03_Base_Vendas'!$G$4:$G$387, '03_Base_Vendas'!$A$4:$A$387, N$85, '03_Base_Vendas'!$B$4:$B$387, "loja_propria")</f>
        <v>236.36</v>
      </c>
      <c r="O87" s="42">
        <f>SUMIFS('03_Base_Vendas'!$G$4:$G$387, '03_Base_Vendas'!$A$4:$A$387, O$85, '03_Base_Vendas'!$B$4:$B$387, "loja_propria")</f>
        <v>131.32</v>
      </c>
      <c r="P87" s="42">
        <f>SUMIFS('03_Base_Vendas'!$G$4:$G$387, '03_Base_Vendas'!$A$4:$A$387, P$85, '03_Base_Vendas'!$B$4:$B$387, "loja_propria")</f>
        <v>135.58000000000001</v>
      </c>
      <c r="Q87" s="42">
        <f>SUMIFS('03_Base_Vendas'!$G$4:$G$387, '03_Base_Vendas'!$A$4:$A$387, Q$85, '03_Base_Vendas'!$B$4:$B$387, "loja_propria")</f>
        <v>549.48</v>
      </c>
      <c r="R87" s="42">
        <f>SUMIFS('03_Base_Vendas'!$G$4:$G$387, '03_Base_Vendas'!$A$4:$A$387, R$85, '03_Base_Vendas'!$B$4:$B$387, "loja_propria")</f>
        <v>235.49</v>
      </c>
      <c r="S87" s="42">
        <f>SUMIFS('03_Base_Vendas'!$G$4:$G$387, '03_Base_Vendas'!$A$4:$A$387, S$85, '03_Base_Vendas'!$B$4:$B$387, "loja_propria")</f>
        <v>855.70999999999992</v>
      </c>
      <c r="T87" s="42">
        <f>SUMIFS('03_Base_Vendas'!$G$4:$G$387, '03_Base_Vendas'!$A$4:$A$387, T$85, '03_Base_Vendas'!$B$4:$B$387, "loja_propria")</f>
        <v>396.96</v>
      </c>
      <c r="U87" s="42">
        <f>SUMIFS('03_Base_Vendas'!$G$4:$G$387, '03_Base_Vendas'!$A$4:$A$387, U$85, '03_Base_Vendas'!$B$4:$B$387, "loja_propria")</f>
        <v>0</v>
      </c>
      <c r="V87" s="42">
        <f>SUMIFS('03_Base_Vendas'!$G$4:$G$387, '03_Base_Vendas'!$A$4:$A$387, V$85, '03_Base_Vendas'!$B$4:$B$387, "loja_propria")</f>
        <v>184.08</v>
      </c>
      <c r="W87" s="42">
        <f>SUMIFS('03_Base_Vendas'!$G$4:$G$387, '03_Base_Vendas'!$A$4:$A$387, W$85, '03_Base_Vendas'!$B$4:$B$387, "loja_propria")</f>
        <v>180.44</v>
      </c>
      <c r="X87" s="42">
        <f>SUMIFS('03_Base_Vendas'!$G$4:$G$387, '03_Base_Vendas'!$A$4:$A$387, X$85, '03_Base_Vendas'!$B$4:$B$387, "loja_propria")</f>
        <v>0</v>
      </c>
      <c r="Y87" s="42">
        <f>SUMIFS('03_Base_Vendas'!$G$4:$G$387, '03_Base_Vendas'!$A$4:$A$387, Y$85, '03_Base_Vendas'!$B$4:$B$387, "loja_propria")</f>
        <v>650.33000000000004</v>
      </c>
      <c r="Z87" s="43">
        <f t="shared" si="33"/>
        <v>9729.4399999999987</v>
      </c>
    </row>
    <row r="88" spans="1:26" x14ac:dyDescent="0.25">
      <c r="A88" s="41" t="s">
        <v>333</v>
      </c>
      <c r="B88" s="42">
        <f>SUMIFS('03_Base_Vendas'!$H$4:$H$387, '03_Base_Vendas'!$A$4:$A$387, B$85, '03_Base_Vendas'!$B$4:$B$387, "loja_propria")</f>
        <v>4.16</v>
      </c>
      <c r="C88" s="42">
        <f>SUMIFS('03_Base_Vendas'!$H$4:$H$387, '03_Base_Vendas'!$A$4:$A$387, C$85, '03_Base_Vendas'!$B$4:$B$387, "loja_propria")</f>
        <v>-11.55</v>
      </c>
      <c r="D88" s="42">
        <f>SUMIFS('03_Base_Vendas'!$H$4:$H$387, '03_Base_Vendas'!$A$4:$A$387, D$85, '03_Base_Vendas'!$B$4:$B$387, "loja_propria")</f>
        <v>6.32</v>
      </c>
      <c r="E88" s="42">
        <f>SUMIFS('03_Base_Vendas'!$H$4:$H$387, '03_Base_Vendas'!$A$4:$A$387, E$85, '03_Base_Vendas'!$B$4:$B$387, "loja_propria")</f>
        <v>47.8</v>
      </c>
      <c r="F88" s="42">
        <f>SUMIFS('03_Base_Vendas'!$H$4:$H$387, '03_Base_Vendas'!$A$4:$A$387, F$85, '03_Base_Vendas'!$B$4:$B$387, "loja_propria")</f>
        <v>15.830000000000002</v>
      </c>
      <c r="G88" s="42">
        <f>SUMIFS('03_Base_Vendas'!$H$4:$H$387, '03_Base_Vendas'!$A$4:$A$387, G$85, '03_Base_Vendas'!$B$4:$B$387, "loja_propria")</f>
        <v>-9.9999999999997868E-2</v>
      </c>
      <c r="H88" s="42">
        <f>SUMIFS('03_Base_Vendas'!$H$4:$H$387, '03_Base_Vendas'!$A$4:$A$387, H$85, '03_Base_Vendas'!$B$4:$B$387, "loja_propria")</f>
        <v>-4.1999999999999993</v>
      </c>
      <c r="I88" s="42">
        <f>SUMIFS('03_Base_Vendas'!$H$4:$H$387, '03_Base_Vendas'!$A$4:$A$387, I$85, '03_Base_Vendas'!$B$4:$B$387, "loja_propria")</f>
        <v>-25.1</v>
      </c>
      <c r="J88" s="42">
        <f>SUMIFS('03_Base_Vendas'!$H$4:$H$387, '03_Base_Vendas'!$A$4:$A$387, J$85, '03_Base_Vendas'!$B$4:$B$387, "loja_propria")</f>
        <v>11.55</v>
      </c>
      <c r="K88" s="42">
        <f>SUMIFS('03_Base_Vendas'!$H$4:$H$387, '03_Base_Vendas'!$A$4:$A$387, K$85, '03_Base_Vendas'!$B$4:$B$387, "loja_propria")</f>
        <v>-15.91</v>
      </c>
      <c r="L88" s="42">
        <f>SUMIFS('03_Base_Vendas'!$H$4:$H$387, '03_Base_Vendas'!$A$4:$A$387, L$85, '03_Base_Vendas'!$B$4:$B$387, "loja_propria")</f>
        <v>3.5499999999999989</v>
      </c>
      <c r="M88" s="42">
        <f>SUMIFS('03_Base_Vendas'!$H$4:$H$387, '03_Base_Vendas'!$A$4:$A$387, M$85, '03_Base_Vendas'!$B$4:$B$387, "loja_propria")</f>
        <v>-23.56</v>
      </c>
      <c r="N88" s="42">
        <f>SUMIFS('03_Base_Vendas'!$H$4:$H$387, '03_Base_Vendas'!$A$4:$A$387, N$85, '03_Base_Vendas'!$B$4:$B$387, "loja_propria")</f>
        <v>23.68</v>
      </c>
      <c r="O88" s="42">
        <f>SUMIFS('03_Base_Vendas'!$H$4:$H$387, '03_Base_Vendas'!$A$4:$A$387, O$85, '03_Base_Vendas'!$B$4:$B$387, "loja_propria")</f>
        <v>12.26</v>
      </c>
      <c r="P88" s="42">
        <f>SUMIFS('03_Base_Vendas'!$H$4:$H$387, '03_Base_Vendas'!$A$4:$A$387, P$85, '03_Base_Vendas'!$B$4:$B$387, "loja_propria")</f>
        <v>-8.2200000000000006</v>
      </c>
      <c r="Q88" s="42">
        <f>SUMIFS('03_Base_Vendas'!$H$4:$H$387, '03_Base_Vendas'!$A$4:$A$387, Q$85, '03_Base_Vendas'!$B$4:$B$387, "loja_propria")</f>
        <v>20.849999999999998</v>
      </c>
      <c r="R88" s="42">
        <f>SUMIFS('03_Base_Vendas'!$H$4:$H$387, '03_Base_Vendas'!$A$4:$A$387, R$85, '03_Base_Vendas'!$B$4:$B$387, "loja_propria")</f>
        <v>-4.6300000000000008</v>
      </c>
      <c r="S88" s="42">
        <f>SUMIFS('03_Base_Vendas'!$H$4:$H$387, '03_Base_Vendas'!$A$4:$A$387, S$85, '03_Base_Vendas'!$B$4:$B$387, "loja_propria")</f>
        <v>-24.169999999999998</v>
      </c>
      <c r="T88" s="42">
        <f>SUMIFS('03_Base_Vendas'!$H$4:$H$387, '03_Base_Vendas'!$A$4:$A$387, T$85, '03_Base_Vendas'!$B$4:$B$387, "loja_propria")</f>
        <v>-28.2</v>
      </c>
      <c r="U88" s="42">
        <f>SUMIFS('03_Base_Vendas'!$H$4:$H$387, '03_Base_Vendas'!$A$4:$A$387, U$85, '03_Base_Vendas'!$B$4:$B$387, "loja_propria")</f>
        <v>45.06</v>
      </c>
      <c r="V88" s="42">
        <f>SUMIFS('03_Base_Vendas'!$H$4:$H$387, '03_Base_Vendas'!$A$4:$A$387, V$85, '03_Base_Vendas'!$B$4:$B$387, "loja_propria")</f>
        <v>-3.5099999999999993</v>
      </c>
      <c r="W88" s="42">
        <f>SUMIFS('03_Base_Vendas'!$H$4:$H$387, '03_Base_Vendas'!$A$4:$A$387, W$85, '03_Base_Vendas'!$B$4:$B$387, "loja_propria")</f>
        <v>-13.37</v>
      </c>
      <c r="X88" s="42">
        <f>SUMIFS('03_Base_Vendas'!$H$4:$H$387, '03_Base_Vendas'!$A$4:$A$387, X$85, '03_Base_Vendas'!$B$4:$B$387, "loja_propria")</f>
        <v>-35.580000000000005</v>
      </c>
      <c r="Y88" s="42">
        <f>SUMIFS('03_Base_Vendas'!$H$4:$H$387, '03_Base_Vendas'!$A$4:$A$387, Y$85, '03_Base_Vendas'!$B$4:$B$387, "loja_propria")</f>
        <v>-33.090000000000003</v>
      </c>
      <c r="Z88" s="43">
        <f t="shared" si="33"/>
        <v>-40.129999999999988</v>
      </c>
    </row>
    <row r="89" spans="1:26" x14ac:dyDescent="0.25">
      <c r="A89" s="44" t="s">
        <v>334</v>
      </c>
      <c r="B89" s="45">
        <f t="shared" ref="B89:Y89" si="34">B86-B87-B88</f>
        <v>15283.02</v>
      </c>
      <c r="C89" s="45">
        <f t="shared" si="34"/>
        <v>16586.45</v>
      </c>
      <c r="D89" s="45">
        <f t="shared" si="34"/>
        <v>22127.87</v>
      </c>
      <c r="E89" s="45">
        <f t="shared" si="34"/>
        <v>23300.959999999999</v>
      </c>
      <c r="F89" s="45">
        <f t="shared" si="34"/>
        <v>23885.239999999998</v>
      </c>
      <c r="G89" s="45">
        <f t="shared" si="34"/>
        <v>24538.02</v>
      </c>
      <c r="H89" s="45">
        <f t="shared" si="34"/>
        <v>16273.660000000003</v>
      </c>
      <c r="I89" s="45">
        <f t="shared" si="34"/>
        <v>17211.349999999999</v>
      </c>
      <c r="J89" s="45">
        <f t="shared" si="34"/>
        <v>17836.509999999998</v>
      </c>
      <c r="K89" s="45">
        <f t="shared" si="34"/>
        <v>14460.419999999998</v>
      </c>
      <c r="L89" s="45">
        <f t="shared" si="34"/>
        <v>22275.200000000004</v>
      </c>
      <c r="M89" s="45">
        <f t="shared" si="34"/>
        <v>22854.18</v>
      </c>
      <c r="N89" s="45">
        <f t="shared" si="34"/>
        <v>21895.759999999998</v>
      </c>
      <c r="O89" s="45">
        <f t="shared" si="34"/>
        <v>15861.800000000001</v>
      </c>
      <c r="P89" s="45">
        <f t="shared" si="34"/>
        <v>24420.409999999996</v>
      </c>
      <c r="Q89" s="45">
        <f t="shared" si="34"/>
        <v>18559.030000000002</v>
      </c>
      <c r="R89" s="45">
        <f t="shared" si="34"/>
        <v>28414.11</v>
      </c>
      <c r="S89" s="45">
        <f t="shared" si="34"/>
        <v>25749.919999999998</v>
      </c>
      <c r="T89" s="45">
        <f t="shared" si="34"/>
        <v>19827.54</v>
      </c>
      <c r="U89" s="45">
        <f t="shared" si="34"/>
        <v>25710.709999999995</v>
      </c>
      <c r="V89" s="45">
        <f t="shared" si="34"/>
        <v>17011.849999999995</v>
      </c>
      <c r="W89" s="45">
        <f t="shared" si="34"/>
        <v>21812.51</v>
      </c>
      <c r="X89" s="45">
        <f t="shared" si="34"/>
        <v>36103.68</v>
      </c>
      <c r="Y89" s="45">
        <f t="shared" si="34"/>
        <v>24172.84</v>
      </c>
      <c r="Z89" s="43">
        <f t="shared" si="33"/>
        <v>516173.04</v>
      </c>
    </row>
    <row r="90" spans="1:26" x14ac:dyDescent="0.25">
      <c r="A90" s="41" t="s">
        <v>335</v>
      </c>
      <c r="B90" s="42">
        <f>SUMIFS('03_Base_Vendas'!$J$4:$J$387, '03_Base_Vendas'!$A$4:$A$387, B$85, '03_Base_Vendas'!$B$4:$B$387, "loja_propria")</f>
        <v>7130.35</v>
      </c>
      <c r="C90" s="42">
        <f>SUMIFS('03_Base_Vendas'!$J$4:$J$387, '03_Base_Vendas'!$A$4:$A$387, C$85, '03_Base_Vendas'!$B$4:$B$387, "loja_propria")</f>
        <v>8306.869999999999</v>
      </c>
      <c r="D90" s="42">
        <f>SUMIFS('03_Base_Vendas'!$J$4:$J$387, '03_Base_Vendas'!$A$4:$A$387, D$85, '03_Base_Vendas'!$B$4:$B$387, "loja_propria")</f>
        <v>10699.91</v>
      </c>
      <c r="E90" s="42">
        <f>SUMIFS('03_Base_Vendas'!$J$4:$J$387, '03_Base_Vendas'!$A$4:$A$387, E$85, '03_Base_Vendas'!$B$4:$B$387, "loja_propria")</f>
        <v>11453.61</v>
      </c>
      <c r="F90" s="42">
        <f>SUMIFS('03_Base_Vendas'!$J$4:$J$387, '03_Base_Vendas'!$A$4:$A$387, F$85, '03_Base_Vendas'!$B$4:$B$387, "loja_propria")</f>
        <v>10881.1</v>
      </c>
      <c r="G90" s="42">
        <f>SUMIFS('03_Base_Vendas'!$J$4:$J$387, '03_Base_Vendas'!$A$4:$A$387, G$85, '03_Base_Vendas'!$B$4:$B$387, "loja_propria")</f>
        <v>11867.970000000001</v>
      </c>
      <c r="H90" s="42">
        <f>SUMIFS('03_Base_Vendas'!$J$4:$J$387, '03_Base_Vendas'!$A$4:$A$387, H$85, '03_Base_Vendas'!$B$4:$B$387, "loja_propria")</f>
        <v>8144.6600000000008</v>
      </c>
      <c r="I90" s="42">
        <f>SUMIFS('03_Base_Vendas'!$J$4:$J$387, '03_Base_Vendas'!$A$4:$A$387, I$85, '03_Base_Vendas'!$B$4:$B$387, "loja_propria")</f>
        <v>8622.33</v>
      </c>
      <c r="J90" s="42">
        <f>SUMIFS('03_Base_Vendas'!$J$4:$J$387, '03_Base_Vendas'!$A$4:$A$387, J$85, '03_Base_Vendas'!$B$4:$B$387, "loja_propria")</f>
        <v>9056.43</v>
      </c>
      <c r="K90" s="42">
        <f>SUMIFS('03_Base_Vendas'!$J$4:$J$387, '03_Base_Vendas'!$A$4:$A$387, K$85, '03_Base_Vendas'!$B$4:$B$387, "loja_propria")</f>
        <v>7240.7300000000014</v>
      </c>
      <c r="L90" s="42">
        <f>SUMIFS('03_Base_Vendas'!$J$4:$J$387, '03_Base_Vendas'!$A$4:$A$387, L$85, '03_Base_Vendas'!$B$4:$B$387, "loja_propria")</f>
        <v>11351.98</v>
      </c>
      <c r="M90" s="42">
        <f>SUMIFS('03_Base_Vendas'!$J$4:$J$387, '03_Base_Vendas'!$A$4:$A$387, M$85, '03_Base_Vendas'!$B$4:$B$387, "loja_propria")</f>
        <v>10916.27</v>
      </c>
      <c r="N90" s="42">
        <f>SUMIFS('03_Base_Vendas'!$J$4:$J$387, '03_Base_Vendas'!$A$4:$A$387, N$85, '03_Base_Vendas'!$B$4:$B$387, "loja_propria")</f>
        <v>11289.32</v>
      </c>
      <c r="O90" s="42">
        <f>SUMIFS('03_Base_Vendas'!$J$4:$J$387, '03_Base_Vendas'!$A$4:$A$387, O$85, '03_Base_Vendas'!$B$4:$B$387, "loja_propria")</f>
        <v>7665.869999999999</v>
      </c>
      <c r="P90" s="42">
        <f>SUMIFS('03_Base_Vendas'!$J$4:$J$387, '03_Base_Vendas'!$A$4:$A$387, P$85, '03_Base_Vendas'!$B$4:$B$387, "loja_propria")</f>
        <v>12376.5</v>
      </c>
      <c r="Q90" s="42">
        <f>SUMIFS('03_Base_Vendas'!$J$4:$J$387, '03_Base_Vendas'!$A$4:$A$387, Q$85, '03_Base_Vendas'!$B$4:$B$387, "loja_propria")</f>
        <v>9121.69</v>
      </c>
      <c r="R90" s="42">
        <f>SUMIFS('03_Base_Vendas'!$J$4:$J$387, '03_Base_Vendas'!$A$4:$A$387, R$85, '03_Base_Vendas'!$B$4:$B$387, "loja_propria")</f>
        <v>14093.51</v>
      </c>
      <c r="S90" s="42">
        <f>SUMIFS('03_Base_Vendas'!$J$4:$J$387, '03_Base_Vendas'!$A$4:$A$387, S$85, '03_Base_Vendas'!$B$4:$B$387, "loja_propria")</f>
        <v>12544.119999999999</v>
      </c>
      <c r="T90" s="42">
        <f>SUMIFS('03_Base_Vendas'!$J$4:$J$387, '03_Base_Vendas'!$A$4:$A$387, T$85, '03_Base_Vendas'!$B$4:$B$387, "loja_propria")</f>
        <v>9870.9500000000007</v>
      </c>
      <c r="U90" s="42">
        <f>SUMIFS('03_Base_Vendas'!$J$4:$J$387, '03_Base_Vendas'!$A$4:$A$387, U$85, '03_Base_Vendas'!$B$4:$B$387, "loja_propria")</f>
        <v>12431.19</v>
      </c>
      <c r="V90" s="42">
        <f>SUMIFS('03_Base_Vendas'!$J$4:$J$387, '03_Base_Vendas'!$A$4:$A$387, V$85, '03_Base_Vendas'!$B$4:$B$387, "loja_propria")</f>
        <v>8336.5400000000009</v>
      </c>
      <c r="W90" s="42">
        <f>SUMIFS('03_Base_Vendas'!$J$4:$J$387, '03_Base_Vendas'!$A$4:$A$387, W$85, '03_Base_Vendas'!$B$4:$B$387, "loja_propria")</f>
        <v>10480.129999999999</v>
      </c>
      <c r="X90" s="42">
        <f>SUMIFS('03_Base_Vendas'!$J$4:$J$387, '03_Base_Vendas'!$A$4:$A$387, X$85, '03_Base_Vendas'!$B$4:$B$387, "loja_propria")</f>
        <v>17427.47</v>
      </c>
      <c r="Y90" s="42">
        <f>SUMIFS('03_Base_Vendas'!$J$4:$J$387, '03_Base_Vendas'!$A$4:$A$387, Y$85, '03_Base_Vendas'!$B$4:$B$387, "loja_propria")</f>
        <v>11700.830000000002</v>
      </c>
      <c r="Z90" s="43">
        <f t="shared" si="33"/>
        <v>253010.33000000002</v>
      </c>
    </row>
    <row r="91" spans="1:26" x14ac:dyDescent="0.25">
      <c r="A91" s="44" t="s">
        <v>336</v>
      </c>
      <c r="B91" s="45">
        <f t="shared" ref="B91:Y91" si="35">B89-B90</f>
        <v>8152.67</v>
      </c>
      <c r="C91" s="45">
        <f t="shared" si="35"/>
        <v>8279.5800000000017</v>
      </c>
      <c r="D91" s="45">
        <f t="shared" si="35"/>
        <v>11427.96</v>
      </c>
      <c r="E91" s="45">
        <f t="shared" si="35"/>
        <v>11847.349999999999</v>
      </c>
      <c r="F91" s="45">
        <f t="shared" si="35"/>
        <v>13004.139999999998</v>
      </c>
      <c r="G91" s="45">
        <f t="shared" si="35"/>
        <v>12670.05</v>
      </c>
      <c r="H91" s="45">
        <f t="shared" si="35"/>
        <v>8129.0000000000027</v>
      </c>
      <c r="I91" s="45">
        <f t="shared" si="35"/>
        <v>8589.0199999999986</v>
      </c>
      <c r="J91" s="45">
        <f t="shared" si="35"/>
        <v>8780.0799999999981</v>
      </c>
      <c r="K91" s="45">
        <f t="shared" si="35"/>
        <v>7219.6899999999969</v>
      </c>
      <c r="L91" s="45">
        <f t="shared" si="35"/>
        <v>10923.220000000005</v>
      </c>
      <c r="M91" s="45">
        <f t="shared" si="35"/>
        <v>11937.91</v>
      </c>
      <c r="N91" s="45">
        <f t="shared" si="35"/>
        <v>10606.439999999999</v>
      </c>
      <c r="O91" s="45">
        <f t="shared" si="35"/>
        <v>8195.9300000000021</v>
      </c>
      <c r="P91" s="45">
        <f t="shared" si="35"/>
        <v>12043.909999999996</v>
      </c>
      <c r="Q91" s="45">
        <f t="shared" si="35"/>
        <v>9437.340000000002</v>
      </c>
      <c r="R91" s="45">
        <f t="shared" si="35"/>
        <v>14320.6</v>
      </c>
      <c r="S91" s="45">
        <f t="shared" si="35"/>
        <v>13205.8</v>
      </c>
      <c r="T91" s="45">
        <f t="shared" si="35"/>
        <v>9956.59</v>
      </c>
      <c r="U91" s="45">
        <f t="shared" si="35"/>
        <v>13279.519999999995</v>
      </c>
      <c r="V91" s="45">
        <f t="shared" si="35"/>
        <v>8675.309999999994</v>
      </c>
      <c r="W91" s="45">
        <f t="shared" si="35"/>
        <v>11332.38</v>
      </c>
      <c r="X91" s="45">
        <f t="shared" si="35"/>
        <v>18676.21</v>
      </c>
      <c r="Y91" s="45">
        <f t="shared" si="35"/>
        <v>12472.009999999998</v>
      </c>
      <c r="Z91" s="43">
        <f t="shared" si="33"/>
        <v>263162.70999999996</v>
      </c>
    </row>
    <row r="92" spans="1:26" x14ac:dyDescent="0.25">
      <c r="A92" s="41" t="s">
        <v>337</v>
      </c>
      <c r="B92" s="46">
        <f t="shared" ref="B92:Y92" si="36">IFERROR(B91/B89,0)</f>
        <v>0.53344626912743687</v>
      </c>
      <c r="C92" s="46">
        <f t="shared" si="36"/>
        <v>0.49917734054001922</v>
      </c>
      <c r="D92" s="46">
        <f t="shared" si="36"/>
        <v>0.51645097336526291</v>
      </c>
      <c r="E92" s="46">
        <f t="shared" si="36"/>
        <v>0.50844900810953708</v>
      </c>
      <c r="F92" s="46">
        <f t="shared" si="36"/>
        <v>0.54444250926513604</v>
      </c>
      <c r="G92" s="46">
        <f t="shared" si="36"/>
        <v>0.5163436169666501</v>
      </c>
      <c r="H92" s="46">
        <f t="shared" si="36"/>
        <v>0.499518854394156</v>
      </c>
      <c r="I92" s="46">
        <f t="shared" si="36"/>
        <v>0.49903232459975533</v>
      </c>
      <c r="J92" s="46">
        <f t="shared" si="36"/>
        <v>0.49225324909413326</v>
      </c>
      <c r="K92" s="46">
        <f t="shared" si="36"/>
        <v>0.49927249692609188</v>
      </c>
      <c r="L92" s="46">
        <f t="shared" si="36"/>
        <v>0.49037584398793288</v>
      </c>
      <c r="M92" s="46">
        <f t="shared" si="36"/>
        <v>0.52235127228366973</v>
      </c>
      <c r="N92" s="46">
        <f t="shared" si="36"/>
        <v>0.48440611332970401</v>
      </c>
      <c r="O92" s="46">
        <f t="shared" si="36"/>
        <v>0.51670869636485151</v>
      </c>
      <c r="P92" s="46">
        <f t="shared" si="36"/>
        <v>0.49319032727132744</v>
      </c>
      <c r="Q92" s="46">
        <f t="shared" si="36"/>
        <v>0.5085039465963469</v>
      </c>
      <c r="R92" s="46">
        <f t="shared" si="36"/>
        <v>0.50399607800490676</v>
      </c>
      <c r="S92" s="46">
        <f t="shared" si="36"/>
        <v>0.51284819525652892</v>
      </c>
      <c r="T92" s="46">
        <f t="shared" si="36"/>
        <v>0.50215962242416357</v>
      </c>
      <c r="U92" s="46">
        <f t="shared" si="36"/>
        <v>0.51649759963843855</v>
      </c>
      <c r="V92" s="46">
        <f t="shared" si="36"/>
        <v>0.50995688299626418</v>
      </c>
      <c r="W92" s="46">
        <f t="shared" si="36"/>
        <v>0.51953580766266694</v>
      </c>
      <c r="X92" s="46">
        <f t="shared" si="36"/>
        <v>0.51729380495284694</v>
      </c>
      <c r="Y92" s="46">
        <f t="shared" si="36"/>
        <v>0.51595137352499743</v>
      </c>
      <c r="Z92" s="47">
        <f>IFERROR($Z$91/$Z$89,0)</f>
        <v>0.50983427960514938</v>
      </c>
    </row>
    <row r="93" spans="1:26" x14ac:dyDescent="0.25">
      <c r="A93" s="41" t="s">
        <v>338</v>
      </c>
      <c r="B93" s="42">
        <f>(SUMIFS('04_Base_Despesas'!$D$4:$D$219, '04_Base_Despesas'!$A$4:$A$219, B$85, '04_Base_Despesas'!$B$4:$B$219, "pessoal"))*(IFERROR(SUMIFS('03_Base_Vendas'!$I$4:$I$387, '03_Base_Vendas'!$A$4:$A$387, B$85, '03_Base_Vendas'!$B$4:$B$387, "loja_propria")/SUMIFS('03_Base_Vendas'!$I$4:$I$387, '03_Base_Vendas'!$A$4:$A$387, B$85),0))</f>
        <v>5160.0398126290011</v>
      </c>
      <c r="C93" s="42">
        <f>(SUMIFS('04_Base_Despesas'!$D$4:$D$219, '04_Base_Despesas'!$A$4:$A$219, C$85, '04_Base_Despesas'!$B$4:$B$219, "pessoal"))*(IFERROR(SUMIFS('03_Base_Vendas'!$I$4:$I$387, '03_Base_Vendas'!$A$4:$A$387, C$85, '03_Base_Vendas'!$B$4:$B$387, "loja_propria")/SUMIFS('03_Base_Vendas'!$I$4:$I$387, '03_Base_Vendas'!$A$4:$A$387, C$85),0))</f>
        <v>6932.4329366096963</v>
      </c>
      <c r="D93" s="42">
        <f>(SUMIFS('04_Base_Despesas'!$D$4:$D$219, '04_Base_Despesas'!$A$4:$A$219, D$85, '04_Base_Despesas'!$B$4:$B$219, "pessoal"))*(IFERROR(SUMIFS('03_Base_Vendas'!$I$4:$I$387, '03_Base_Vendas'!$A$4:$A$387, D$85, '03_Base_Vendas'!$B$4:$B$387, "loja_propria")/SUMIFS('03_Base_Vendas'!$I$4:$I$387, '03_Base_Vendas'!$A$4:$A$387, D$85),0))</f>
        <v>7292.1816295566514</v>
      </c>
      <c r="E93" s="42">
        <f>(SUMIFS('04_Base_Despesas'!$D$4:$D$219, '04_Base_Despesas'!$A$4:$A$219, E$85, '04_Base_Despesas'!$B$4:$B$219, "pessoal"))*(IFERROR(SUMIFS('03_Base_Vendas'!$I$4:$I$387, '03_Base_Vendas'!$A$4:$A$387, E$85, '03_Base_Vendas'!$B$4:$B$387, "loja_propria")/SUMIFS('03_Base_Vendas'!$I$4:$I$387, '03_Base_Vendas'!$A$4:$A$387, E$85),0))</f>
        <v>8244.8583405294503</v>
      </c>
      <c r="F93" s="42">
        <f>(SUMIFS('04_Base_Despesas'!$D$4:$D$219, '04_Base_Despesas'!$A$4:$A$219, F$85, '04_Base_Despesas'!$B$4:$B$219, "pessoal"))*(IFERROR(SUMIFS('03_Base_Vendas'!$I$4:$I$387, '03_Base_Vendas'!$A$4:$A$387, F$85, '03_Base_Vendas'!$B$4:$B$387, "loja_propria")/SUMIFS('03_Base_Vendas'!$I$4:$I$387, '03_Base_Vendas'!$A$4:$A$387, F$85),0))</f>
        <v>6367.7004192214927</v>
      </c>
      <c r="G93" s="42">
        <f>(SUMIFS('04_Base_Despesas'!$D$4:$D$219, '04_Base_Despesas'!$A$4:$A$219, G$85, '04_Base_Despesas'!$B$4:$B$219, "pessoal"))*(IFERROR(SUMIFS('03_Base_Vendas'!$I$4:$I$387, '03_Base_Vendas'!$A$4:$A$387, G$85, '03_Base_Vendas'!$B$4:$B$387, "loja_propria")/SUMIFS('03_Base_Vendas'!$I$4:$I$387, '03_Base_Vendas'!$A$4:$A$387, G$85),0))</f>
        <v>7313.1402588640394</v>
      </c>
      <c r="H93" s="42">
        <f>(SUMIFS('04_Base_Despesas'!$D$4:$D$219, '04_Base_Despesas'!$A$4:$A$219, H$85, '04_Base_Despesas'!$B$4:$B$219, "pessoal"))*(IFERROR(SUMIFS('03_Base_Vendas'!$I$4:$I$387, '03_Base_Vendas'!$A$4:$A$387, H$85, '03_Base_Vendas'!$B$4:$B$387, "loja_propria")/SUMIFS('03_Base_Vendas'!$I$4:$I$387, '03_Base_Vendas'!$A$4:$A$387, H$85),0))</f>
        <v>6534.5904958852234</v>
      </c>
      <c r="I93" s="42">
        <f>(SUMIFS('04_Base_Despesas'!$D$4:$D$219, '04_Base_Despesas'!$A$4:$A$219, I$85, '04_Base_Despesas'!$B$4:$B$219, "pessoal"))*(IFERROR(SUMIFS('03_Base_Vendas'!$I$4:$I$387, '03_Base_Vendas'!$A$4:$A$387, I$85, '03_Base_Vendas'!$B$4:$B$387, "loja_propria")/SUMIFS('03_Base_Vendas'!$I$4:$I$387, '03_Base_Vendas'!$A$4:$A$387, I$85),0))</f>
        <v>6928.1362226880028</v>
      </c>
      <c r="J93" s="42">
        <f>(SUMIFS('04_Base_Despesas'!$D$4:$D$219, '04_Base_Despesas'!$A$4:$A$219, J$85, '04_Base_Despesas'!$B$4:$B$219, "pessoal"))*(IFERROR(SUMIFS('03_Base_Vendas'!$I$4:$I$387, '03_Base_Vendas'!$A$4:$A$387, J$85, '03_Base_Vendas'!$B$4:$B$387, "loja_propria")/SUMIFS('03_Base_Vendas'!$I$4:$I$387, '03_Base_Vendas'!$A$4:$A$387, J$85),0))</f>
        <v>6884.6884321688722</v>
      </c>
      <c r="K93" s="42">
        <f>(SUMIFS('04_Base_Despesas'!$D$4:$D$219, '04_Base_Despesas'!$A$4:$A$219, K$85, '04_Base_Despesas'!$B$4:$B$219, "pessoal"))*(IFERROR(SUMIFS('03_Base_Vendas'!$I$4:$I$387, '03_Base_Vendas'!$A$4:$A$387, K$85, '03_Base_Vendas'!$B$4:$B$387, "loja_propria")/SUMIFS('03_Base_Vendas'!$I$4:$I$387, '03_Base_Vendas'!$A$4:$A$387, K$85),0))</f>
        <v>5114.8328886983873</v>
      </c>
      <c r="L93" s="42">
        <f>(SUMIFS('04_Base_Despesas'!$D$4:$D$219, '04_Base_Despesas'!$A$4:$A$219, L$85, '04_Base_Despesas'!$B$4:$B$219, "pessoal"))*(IFERROR(SUMIFS('03_Base_Vendas'!$I$4:$I$387, '03_Base_Vendas'!$A$4:$A$387, L$85, '03_Base_Vendas'!$B$4:$B$387, "loja_propria")/SUMIFS('03_Base_Vendas'!$I$4:$I$387, '03_Base_Vendas'!$A$4:$A$387, L$85),0))</f>
        <v>5554.1484797589192</v>
      </c>
      <c r="M93" s="42">
        <f>(SUMIFS('04_Base_Despesas'!$D$4:$D$219, '04_Base_Despesas'!$A$4:$A$219, M$85, '04_Base_Despesas'!$B$4:$B$219, "pessoal"))*(IFERROR(SUMIFS('03_Base_Vendas'!$I$4:$I$387, '03_Base_Vendas'!$A$4:$A$387, M$85, '03_Base_Vendas'!$B$4:$B$387, "loja_propria")/SUMIFS('03_Base_Vendas'!$I$4:$I$387, '03_Base_Vendas'!$A$4:$A$387, M$85),0))</f>
        <v>6026.4229757959356</v>
      </c>
      <c r="N93" s="42">
        <f>(SUMIFS('04_Base_Despesas'!$D$4:$D$219, '04_Base_Despesas'!$A$4:$A$219, N$85, '04_Base_Despesas'!$B$4:$B$219, "pessoal"))*(IFERROR(SUMIFS('03_Base_Vendas'!$I$4:$I$387, '03_Base_Vendas'!$A$4:$A$387, N$85, '03_Base_Vendas'!$B$4:$B$387, "loja_propria")/SUMIFS('03_Base_Vendas'!$I$4:$I$387, '03_Base_Vendas'!$A$4:$A$387, N$85),0))</f>
        <v>6432.8404506031475</v>
      </c>
      <c r="O93" s="42">
        <f>(SUMIFS('04_Base_Despesas'!$D$4:$D$219, '04_Base_Despesas'!$A$4:$A$219, O$85, '04_Base_Despesas'!$B$4:$B$219, "pessoal"))*(IFERROR(SUMIFS('03_Base_Vendas'!$I$4:$I$387, '03_Base_Vendas'!$A$4:$A$387, O$85, '03_Base_Vendas'!$B$4:$B$387, "loja_propria")/SUMIFS('03_Base_Vendas'!$I$4:$I$387, '03_Base_Vendas'!$A$4:$A$387, O$85),0))</f>
        <v>5649.9652001028571</v>
      </c>
      <c r="P93" s="42">
        <f>(SUMIFS('04_Base_Despesas'!$D$4:$D$219, '04_Base_Despesas'!$A$4:$A$219, P$85, '04_Base_Despesas'!$B$4:$B$219, "pessoal"))*(IFERROR(SUMIFS('03_Base_Vendas'!$I$4:$I$387, '03_Base_Vendas'!$A$4:$A$387, P$85, '03_Base_Vendas'!$B$4:$B$387, "loja_propria")/SUMIFS('03_Base_Vendas'!$I$4:$I$387, '03_Base_Vendas'!$A$4:$A$387, P$85),0))</f>
        <v>7456.506782026825</v>
      </c>
      <c r="Q93" s="42">
        <f>(SUMIFS('04_Base_Despesas'!$D$4:$D$219, '04_Base_Despesas'!$A$4:$A$219, Q$85, '04_Base_Despesas'!$B$4:$B$219, "pessoal"))*(IFERROR(SUMIFS('03_Base_Vendas'!$I$4:$I$387, '03_Base_Vendas'!$A$4:$A$387, Q$85, '03_Base_Vendas'!$B$4:$B$387, "loja_propria")/SUMIFS('03_Base_Vendas'!$I$4:$I$387, '03_Base_Vendas'!$A$4:$A$387, Q$85),0))</f>
        <v>6650.1246854595929</v>
      </c>
      <c r="R93" s="42">
        <f>(SUMIFS('04_Base_Despesas'!$D$4:$D$219, '04_Base_Despesas'!$A$4:$A$219, R$85, '04_Base_Despesas'!$B$4:$B$219, "pessoal"))*(IFERROR(SUMIFS('03_Base_Vendas'!$I$4:$I$387, '03_Base_Vendas'!$A$4:$A$387, R$85, '03_Base_Vendas'!$B$4:$B$387, "loja_propria")/SUMIFS('03_Base_Vendas'!$I$4:$I$387, '03_Base_Vendas'!$A$4:$A$387, R$85),0))</f>
        <v>7102.7872792403914</v>
      </c>
      <c r="S93" s="42">
        <f>(SUMIFS('04_Base_Despesas'!$D$4:$D$219, '04_Base_Despesas'!$A$4:$A$219, S$85, '04_Base_Despesas'!$B$4:$B$219, "pessoal"))*(IFERROR(SUMIFS('03_Base_Vendas'!$I$4:$I$387, '03_Base_Vendas'!$A$4:$A$387, S$85, '03_Base_Vendas'!$B$4:$B$387, "loja_propria")/SUMIFS('03_Base_Vendas'!$I$4:$I$387, '03_Base_Vendas'!$A$4:$A$387, S$85),0))</f>
        <v>7033.6321562842586</v>
      </c>
      <c r="T93" s="42">
        <f>(SUMIFS('04_Base_Despesas'!$D$4:$D$219, '04_Base_Despesas'!$A$4:$A$219, T$85, '04_Base_Despesas'!$B$4:$B$219, "pessoal"))*(IFERROR(SUMIFS('03_Base_Vendas'!$I$4:$I$387, '03_Base_Vendas'!$A$4:$A$387, T$85, '03_Base_Vendas'!$B$4:$B$387, "loja_propria")/SUMIFS('03_Base_Vendas'!$I$4:$I$387, '03_Base_Vendas'!$A$4:$A$387, T$85),0))</f>
        <v>6506.5825813563388</v>
      </c>
      <c r="U93" s="42">
        <f>(SUMIFS('04_Base_Despesas'!$D$4:$D$219, '04_Base_Despesas'!$A$4:$A$219, U$85, '04_Base_Despesas'!$B$4:$B$219, "pessoal"))*(IFERROR(SUMIFS('03_Base_Vendas'!$I$4:$I$387, '03_Base_Vendas'!$A$4:$A$387, U$85, '03_Base_Vendas'!$B$4:$B$387, "loja_propria")/SUMIFS('03_Base_Vendas'!$I$4:$I$387, '03_Base_Vendas'!$A$4:$A$387, U$85),0))</f>
        <v>8710.1402890203481</v>
      </c>
      <c r="V93" s="42">
        <f>(SUMIFS('04_Base_Despesas'!$D$4:$D$219, '04_Base_Despesas'!$A$4:$A$219, V$85, '04_Base_Despesas'!$B$4:$B$219, "pessoal"))*(IFERROR(SUMIFS('03_Base_Vendas'!$I$4:$I$387, '03_Base_Vendas'!$A$4:$A$387, V$85, '03_Base_Vendas'!$B$4:$B$387, "loja_propria")/SUMIFS('03_Base_Vendas'!$I$4:$I$387, '03_Base_Vendas'!$A$4:$A$387, V$85),0))</f>
        <v>5575.8702313759795</v>
      </c>
      <c r="W93" s="42">
        <f>(SUMIFS('04_Base_Despesas'!$D$4:$D$219, '04_Base_Despesas'!$A$4:$A$219, W$85, '04_Base_Despesas'!$B$4:$B$219, "pessoal"))*(IFERROR(SUMIFS('03_Base_Vendas'!$I$4:$I$387, '03_Base_Vendas'!$A$4:$A$387, W$85, '03_Base_Vendas'!$B$4:$B$387, "loja_propria")/SUMIFS('03_Base_Vendas'!$I$4:$I$387, '03_Base_Vendas'!$A$4:$A$387, W$85),0))</f>
        <v>6638.9869906805252</v>
      </c>
      <c r="X93" s="42">
        <f>(SUMIFS('04_Base_Despesas'!$D$4:$D$219, '04_Base_Despesas'!$A$4:$A$219, X$85, '04_Base_Despesas'!$B$4:$B$219, "pessoal"))*(IFERROR(SUMIFS('03_Base_Vendas'!$I$4:$I$387, '03_Base_Vendas'!$A$4:$A$387, X$85, '03_Base_Vendas'!$B$4:$B$387, "loja_propria")/SUMIFS('03_Base_Vendas'!$I$4:$I$387, '03_Base_Vendas'!$A$4:$A$387, X$85),0))</f>
        <v>7449.0090759661653</v>
      </c>
      <c r="Y93" s="42">
        <f>(SUMIFS('04_Base_Despesas'!$D$4:$D$219, '04_Base_Despesas'!$A$4:$A$219, Y$85, '04_Base_Despesas'!$B$4:$B$219, "pessoal"))*(IFERROR(SUMIFS('03_Base_Vendas'!$I$4:$I$387, '03_Base_Vendas'!$A$4:$A$387, Y$85, '03_Base_Vendas'!$B$4:$B$387, "loja_propria")/SUMIFS('03_Base_Vendas'!$I$4:$I$387, '03_Base_Vendas'!$A$4:$A$387, Y$85),0))</f>
        <v>6359.315484850822</v>
      </c>
      <c r="Z93" s="43">
        <f t="shared" ref="Z93:Z101" si="37">SUM(B93:Y93)</f>
        <v>159918.93409937294</v>
      </c>
    </row>
    <row r="94" spans="1:26" x14ac:dyDescent="0.25">
      <c r="A94" s="41" t="s">
        <v>339</v>
      </c>
      <c r="B94" s="42">
        <f>(SUMIFS('04_Base_Despesas'!$D$4:$D$219, '04_Base_Despesas'!$A$4:$A$219, B$85, '04_Base_Despesas'!$B$4:$B$219, "aluguel"))*(IFERROR(SUMIFS('03_Base_Vendas'!$I$4:$I$387, '03_Base_Vendas'!$A$4:$A$387, B$85, '03_Base_Vendas'!$B$4:$B$387, "loja_propria")/SUMIFS('03_Base_Vendas'!$I$4:$I$387, '03_Base_Vendas'!$A$4:$A$387, B$85),0))</f>
        <v>967.78270962121258</v>
      </c>
      <c r="C94" s="42">
        <f>(SUMIFS('04_Base_Despesas'!$D$4:$D$219, '04_Base_Despesas'!$A$4:$A$219, C$85, '04_Base_Despesas'!$B$4:$B$219, "aluguel"))*(IFERROR(SUMIFS('03_Base_Vendas'!$I$4:$I$387, '03_Base_Vendas'!$A$4:$A$387, C$85, '03_Base_Vendas'!$B$4:$B$387, "loja_propria")/SUMIFS('03_Base_Vendas'!$I$4:$I$387, '03_Base_Vendas'!$A$4:$A$387, C$85),0))</f>
        <v>1263.4863264414269</v>
      </c>
      <c r="D94" s="42">
        <f>(SUMIFS('04_Base_Despesas'!$D$4:$D$219, '04_Base_Despesas'!$A$4:$A$219, D$85, '04_Base_Despesas'!$B$4:$B$219, "aluguel"))*(IFERROR(SUMIFS('03_Base_Vendas'!$I$4:$I$387, '03_Base_Vendas'!$A$4:$A$387, D$85, '03_Base_Vendas'!$B$4:$B$387, "loja_propria")/SUMIFS('03_Base_Vendas'!$I$4:$I$387, '03_Base_Vendas'!$A$4:$A$387, D$85),0))</f>
        <v>1382.0662543112571</v>
      </c>
      <c r="E94" s="42">
        <f>(SUMIFS('04_Base_Despesas'!$D$4:$D$219, '04_Base_Despesas'!$A$4:$A$219, E$85, '04_Base_Despesas'!$B$4:$B$219, "aluguel"))*(IFERROR(SUMIFS('03_Base_Vendas'!$I$4:$I$387, '03_Base_Vendas'!$A$4:$A$387, E$85, '03_Base_Vendas'!$B$4:$B$387, "loja_propria")/SUMIFS('03_Base_Vendas'!$I$4:$I$387, '03_Base_Vendas'!$A$4:$A$387, E$85),0))</f>
        <v>1583.2155596320197</v>
      </c>
      <c r="F94" s="42">
        <f>(SUMIFS('04_Base_Despesas'!$D$4:$D$219, '04_Base_Despesas'!$A$4:$A$219, F$85, '04_Base_Despesas'!$B$4:$B$219, "aluguel"))*(IFERROR(SUMIFS('03_Base_Vendas'!$I$4:$I$387, '03_Base_Vendas'!$A$4:$A$387, F$85, '03_Base_Vendas'!$B$4:$B$387, "loja_propria")/SUMIFS('03_Base_Vendas'!$I$4:$I$387, '03_Base_Vendas'!$A$4:$A$387, F$85),0))</f>
        <v>1163.6682432007958</v>
      </c>
      <c r="G94" s="42">
        <f>(SUMIFS('04_Base_Despesas'!$D$4:$D$219, '04_Base_Despesas'!$A$4:$A$219, G$85, '04_Base_Despesas'!$B$4:$B$219, "aluguel"))*(IFERROR(SUMIFS('03_Base_Vendas'!$I$4:$I$387, '03_Base_Vendas'!$A$4:$A$387, G$85, '03_Base_Vendas'!$B$4:$B$387, "loja_propria")/SUMIFS('03_Base_Vendas'!$I$4:$I$387, '03_Base_Vendas'!$A$4:$A$387, G$85),0))</f>
        <v>1373.4859237707717</v>
      </c>
      <c r="H94" s="42">
        <f>(SUMIFS('04_Base_Despesas'!$D$4:$D$219, '04_Base_Despesas'!$A$4:$A$219, H$85, '04_Base_Despesas'!$B$4:$B$219, "aluguel"))*(IFERROR(SUMIFS('03_Base_Vendas'!$I$4:$I$387, '03_Base_Vendas'!$A$4:$A$387, H$85, '03_Base_Vendas'!$B$4:$B$387, "loja_propria")/SUMIFS('03_Base_Vendas'!$I$4:$I$387, '03_Base_Vendas'!$A$4:$A$387, H$85),0))</f>
        <v>1196.5117991640348</v>
      </c>
      <c r="I94" s="42">
        <f>(SUMIFS('04_Base_Despesas'!$D$4:$D$219, '04_Base_Despesas'!$A$4:$A$219, I$85, '04_Base_Despesas'!$B$4:$B$219, "aluguel"))*(IFERROR(SUMIFS('03_Base_Vendas'!$I$4:$I$387, '03_Base_Vendas'!$A$4:$A$387, I$85, '03_Base_Vendas'!$B$4:$B$387, "loja_propria")/SUMIFS('03_Base_Vendas'!$I$4:$I$387, '03_Base_Vendas'!$A$4:$A$387, I$85),0))</f>
        <v>1268.0460097975326</v>
      </c>
      <c r="J94" s="42">
        <f>(SUMIFS('04_Base_Despesas'!$D$4:$D$219, '04_Base_Despesas'!$A$4:$A$219, J$85, '04_Base_Despesas'!$B$4:$B$219, "aluguel"))*(IFERROR(SUMIFS('03_Base_Vendas'!$I$4:$I$387, '03_Base_Vendas'!$A$4:$A$387, J$85, '03_Base_Vendas'!$B$4:$B$387, "loja_propria")/SUMIFS('03_Base_Vendas'!$I$4:$I$387, '03_Base_Vendas'!$A$4:$A$387, J$85),0))</f>
        <v>1255.6180226963945</v>
      </c>
      <c r="K94" s="42">
        <f>(SUMIFS('04_Base_Despesas'!$D$4:$D$219, '04_Base_Despesas'!$A$4:$A$219, K$85, '04_Base_Despesas'!$B$4:$B$219, "aluguel"))*(IFERROR(SUMIFS('03_Base_Vendas'!$I$4:$I$387, '03_Base_Vendas'!$A$4:$A$387, K$85, '03_Base_Vendas'!$B$4:$B$387, "loja_propria")/SUMIFS('03_Base_Vendas'!$I$4:$I$387, '03_Base_Vendas'!$A$4:$A$387, K$85),0))</f>
        <v>926.26261563786875</v>
      </c>
      <c r="L94" s="42">
        <f>(SUMIFS('04_Base_Despesas'!$D$4:$D$219, '04_Base_Despesas'!$A$4:$A$219, L$85, '04_Base_Despesas'!$B$4:$B$219, "aluguel"))*(IFERROR(SUMIFS('03_Base_Vendas'!$I$4:$I$387, '03_Base_Vendas'!$A$4:$A$387, L$85, '03_Base_Vendas'!$B$4:$B$387, "loja_propria")/SUMIFS('03_Base_Vendas'!$I$4:$I$387, '03_Base_Vendas'!$A$4:$A$387, L$85),0))</f>
        <v>1042.1296568292742</v>
      </c>
      <c r="M94" s="42">
        <f>(SUMIFS('04_Base_Despesas'!$D$4:$D$219, '04_Base_Despesas'!$A$4:$A$219, M$85, '04_Base_Despesas'!$B$4:$B$219, "aluguel"))*(IFERROR(SUMIFS('03_Base_Vendas'!$I$4:$I$387, '03_Base_Vendas'!$A$4:$A$387, M$85, '03_Base_Vendas'!$B$4:$B$387, "loja_propria")/SUMIFS('03_Base_Vendas'!$I$4:$I$387, '03_Base_Vendas'!$A$4:$A$387, M$85),0))</f>
        <v>1102.8060525169321</v>
      </c>
      <c r="N94" s="42">
        <f>(SUMIFS('04_Base_Despesas'!$D$4:$D$219, '04_Base_Despesas'!$A$4:$A$219, N$85, '04_Base_Despesas'!$B$4:$B$219, "aluguel"))*(IFERROR(SUMIFS('03_Base_Vendas'!$I$4:$I$387, '03_Base_Vendas'!$A$4:$A$387, N$85, '03_Base_Vendas'!$B$4:$B$387, "loja_propria")/SUMIFS('03_Base_Vendas'!$I$4:$I$387, '03_Base_Vendas'!$A$4:$A$387, N$85),0))</f>
        <v>1183.6201566435045</v>
      </c>
      <c r="O94" s="42">
        <f>(SUMIFS('04_Base_Despesas'!$D$4:$D$219, '04_Base_Despesas'!$A$4:$A$219, O$85, '04_Base_Despesas'!$B$4:$B$219, "aluguel"))*(IFERROR(SUMIFS('03_Base_Vendas'!$I$4:$I$387, '03_Base_Vendas'!$A$4:$A$387, O$85, '03_Base_Vendas'!$B$4:$B$387, "loja_propria")/SUMIFS('03_Base_Vendas'!$I$4:$I$387, '03_Base_Vendas'!$A$4:$A$387, O$85),0))</f>
        <v>1038.2664605849407</v>
      </c>
      <c r="P94" s="42">
        <f>(SUMIFS('04_Base_Despesas'!$D$4:$D$219, '04_Base_Despesas'!$A$4:$A$219, P$85, '04_Base_Despesas'!$B$4:$B$219, "aluguel"))*(IFERROR(SUMIFS('03_Base_Vendas'!$I$4:$I$387, '03_Base_Vendas'!$A$4:$A$387, P$85, '03_Base_Vendas'!$B$4:$B$387, "loja_propria")/SUMIFS('03_Base_Vendas'!$I$4:$I$387, '03_Base_Vendas'!$A$4:$A$387, P$85),0))</f>
        <v>1357.8472673102133</v>
      </c>
      <c r="Q94" s="42">
        <f>(SUMIFS('04_Base_Despesas'!$D$4:$D$219, '04_Base_Despesas'!$A$4:$A$219, Q$85, '04_Base_Despesas'!$B$4:$B$219, "aluguel"))*(IFERROR(SUMIFS('03_Base_Vendas'!$I$4:$I$387, '03_Base_Vendas'!$A$4:$A$387, Q$85, '03_Base_Vendas'!$B$4:$B$387, "loja_propria")/SUMIFS('03_Base_Vendas'!$I$4:$I$387, '03_Base_Vendas'!$A$4:$A$387, Q$85),0))</f>
        <v>1216.6542742976976</v>
      </c>
      <c r="R94" s="42">
        <f>(SUMIFS('04_Base_Despesas'!$D$4:$D$219, '04_Base_Despesas'!$A$4:$A$219, R$85, '04_Base_Despesas'!$B$4:$B$219, "aluguel"))*(IFERROR(SUMIFS('03_Base_Vendas'!$I$4:$I$387, '03_Base_Vendas'!$A$4:$A$387, R$85, '03_Base_Vendas'!$B$4:$B$387, "loja_propria")/SUMIFS('03_Base_Vendas'!$I$4:$I$387, '03_Base_Vendas'!$A$4:$A$387, R$85),0))</f>
        <v>1291.4792687774382</v>
      </c>
      <c r="S94" s="42">
        <f>(SUMIFS('04_Base_Despesas'!$D$4:$D$219, '04_Base_Despesas'!$A$4:$A$219, S$85, '04_Base_Despesas'!$B$4:$B$219, "aluguel"))*(IFERROR(SUMIFS('03_Base_Vendas'!$I$4:$I$387, '03_Base_Vendas'!$A$4:$A$387, S$85, '03_Base_Vendas'!$B$4:$B$387, "loja_propria")/SUMIFS('03_Base_Vendas'!$I$4:$I$387, '03_Base_Vendas'!$A$4:$A$387, S$85),0))</f>
        <v>1325.2109764542911</v>
      </c>
      <c r="T94" s="42">
        <f>(SUMIFS('04_Base_Despesas'!$D$4:$D$219, '04_Base_Despesas'!$A$4:$A$219, T$85, '04_Base_Despesas'!$B$4:$B$219, "aluguel"))*(IFERROR(SUMIFS('03_Base_Vendas'!$I$4:$I$387, '03_Base_Vendas'!$A$4:$A$387, T$85, '03_Base_Vendas'!$B$4:$B$387, "loja_propria")/SUMIFS('03_Base_Vendas'!$I$4:$I$387, '03_Base_Vendas'!$A$4:$A$387, T$85),0))</f>
        <v>1225.4224434722787</v>
      </c>
      <c r="U94" s="42">
        <f>(SUMIFS('04_Base_Despesas'!$D$4:$D$219, '04_Base_Despesas'!$A$4:$A$219, U$85, '04_Base_Despesas'!$B$4:$B$219, "aluguel"))*(IFERROR(SUMIFS('03_Base_Vendas'!$I$4:$I$387, '03_Base_Vendas'!$A$4:$A$387, U$85, '03_Base_Vendas'!$B$4:$B$387, "loja_propria")/SUMIFS('03_Base_Vendas'!$I$4:$I$387, '03_Base_Vendas'!$A$4:$A$387, U$85),0))</f>
        <v>1616.1307888746155</v>
      </c>
      <c r="V94" s="42">
        <f>(SUMIFS('04_Base_Despesas'!$D$4:$D$219, '04_Base_Despesas'!$A$4:$A$219, V$85, '04_Base_Despesas'!$B$4:$B$219, "aluguel"))*(IFERROR(SUMIFS('03_Base_Vendas'!$I$4:$I$387, '03_Base_Vendas'!$A$4:$A$387, V$85, '03_Base_Vendas'!$B$4:$B$387, "loja_propria")/SUMIFS('03_Base_Vendas'!$I$4:$I$387, '03_Base_Vendas'!$A$4:$A$387, V$85),0))</f>
        <v>1033.8428280719454</v>
      </c>
      <c r="W94" s="42">
        <f>(SUMIFS('04_Base_Despesas'!$D$4:$D$219, '04_Base_Despesas'!$A$4:$A$219, W$85, '04_Base_Despesas'!$B$4:$B$219, "aluguel"))*(IFERROR(SUMIFS('03_Base_Vendas'!$I$4:$I$387, '03_Base_Vendas'!$A$4:$A$387, W$85, '03_Base_Vendas'!$B$4:$B$387, "loja_propria")/SUMIFS('03_Base_Vendas'!$I$4:$I$387, '03_Base_Vendas'!$A$4:$A$387, W$85),0))</f>
        <v>1231.0880456240611</v>
      </c>
      <c r="X94" s="42">
        <f>(SUMIFS('04_Base_Despesas'!$D$4:$D$219, '04_Base_Despesas'!$A$4:$A$219, X$85, '04_Base_Despesas'!$B$4:$B$219, "aluguel"))*(IFERROR(SUMIFS('03_Base_Vendas'!$I$4:$I$387, '03_Base_Vendas'!$A$4:$A$387, X$85, '03_Base_Vendas'!$B$4:$B$387, "loja_propria")/SUMIFS('03_Base_Vendas'!$I$4:$I$387, '03_Base_Vendas'!$A$4:$A$387, X$85),0))</f>
        <v>1381.1980658835403</v>
      </c>
      <c r="Y94" s="42">
        <f>(SUMIFS('04_Base_Despesas'!$D$4:$D$219, '04_Base_Despesas'!$A$4:$A$219, Y$85, '04_Base_Despesas'!$B$4:$B$219, "aluguel"))*(IFERROR(SUMIFS('03_Base_Vendas'!$I$4:$I$387, '03_Base_Vendas'!$A$4:$A$387, Y$85, '03_Base_Vendas'!$B$4:$B$387, "loja_propria")/SUMIFS('03_Base_Vendas'!$I$4:$I$387, '03_Base_Vendas'!$A$4:$A$387, Y$85),0))</f>
        <v>1182.0458714621454</v>
      </c>
      <c r="Z94" s="43">
        <f t="shared" si="37"/>
        <v>29607.885621076195</v>
      </c>
    </row>
    <row r="95" spans="1:26" x14ac:dyDescent="0.25">
      <c r="A95" s="41" t="s">
        <v>340</v>
      </c>
      <c r="B95" s="42">
        <f>(SUMIFS('04_Base_Despesas'!$D$4:$D$219, '04_Base_Despesas'!$A$4:$A$219, B$85, '04_Base_Despesas'!$B$4:$B$219, "marketing"))*(IFERROR(SUMIFS('03_Base_Vendas'!$I$4:$I$387, '03_Base_Vendas'!$A$4:$A$387, B$85, '03_Base_Vendas'!$B$4:$B$387, "loja_propria")/SUMIFS('03_Base_Vendas'!$I$4:$I$387, '03_Base_Vendas'!$A$4:$A$387, B$85),0))</f>
        <v>1818.0431042869334</v>
      </c>
      <c r="C95" s="42">
        <f>(SUMIFS('04_Base_Despesas'!$D$4:$D$219, '04_Base_Despesas'!$A$4:$A$219, C$85, '04_Base_Despesas'!$B$4:$B$219, "marketing"))*(IFERROR(SUMIFS('03_Base_Vendas'!$I$4:$I$387, '03_Base_Vendas'!$A$4:$A$387, C$85, '03_Base_Vendas'!$B$4:$B$387, "loja_propria")/SUMIFS('03_Base_Vendas'!$I$4:$I$387, '03_Base_Vendas'!$A$4:$A$387, C$85),0))</f>
        <v>1615.6971047858458</v>
      </c>
      <c r="D95" s="42">
        <f>(SUMIFS('04_Base_Despesas'!$D$4:$D$219, '04_Base_Despesas'!$A$4:$A$219, D$85, '04_Base_Despesas'!$B$4:$B$219, "marketing"))*(IFERROR(SUMIFS('03_Base_Vendas'!$I$4:$I$387, '03_Base_Vendas'!$A$4:$A$387, D$85, '03_Base_Vendas'!$B$4:$B$387, "loja_propria")/SUMIFS('03_Base_Vendas'!$I$4:$I$387, '03_Base_Vendas'!$A$4:$A$387, D$85),0))</f>
        <v>1598.9895543616183</v>
      </c>
      <c r="E95" s="42">
        <f>(SUMIFS('04_Base_Despesas'!$D$4:$D$219, '04_Base_Despesas'!$A$4:$A$219, E$85, '04_Base_Despesas'!$B$4:$B$219, "marketing"))*(IFERROR(SUMIFS('03_Base_Vendas'!$I$4:$I$387, '03_Base_Vendas'!$A$4:$A$387, E$85, '03_Base_Vendas'!$B$4:$B$387, "loja_propria")/SUMIFS('03_Base_Vendas'!$I$4:$I$387, '03_Base_Vendas'!$A$4:$A$387, E$85),0))</f>
        <v>2061.6283043562348</v>
      </c>
      <c r="F95" s="42">
        <f>(SUMIFS('04_Base_Despesas'!$D$4:$D$219, '04_Base_Despesas'!$A$4:$A$219, F$85, '04_Base_Despesas'!$B$4:$B$219, "marketing"))*(IFERROR(SUMIFS('03_Base_Vendas'!$I$4:$I$387, '03_Base_Vendas'!$A$4:$A$387, F$85, '03_Base_Vendas'!$B$4:$B$387, "loja_propria")/SUMIFS('03_Base_Vendas'!$I$4:$I$387, '03_Base_Vendas'!$A$4:$A$387, F$85),0))</f>
        <v>2094.9139659022462</v>
      </c>
      <c r="G95" s="42">
        <f>(SUMIFS('04_Base_Despesas'!$D$4:$D$219, '04_Base_Despesas'!$A$4:$A$219, G$85, '04_Base_Despesas'!$B$4:$B$219, "marketing"))*(IFERROR(SUMIFS('03_Base_Vendas'!$I$4:$I$387, '03_Base_Vendas'!$A$4:$A$387, G$85, '03_Base_Vendas'!$B$4:$B$387, "loja_propria")/SUMIFS('03_Base_Vendas'!$I$4:$I$387, '03_Base_Vendas'!$A$4:$A$387, G$85),0))</f>
        <v>2563.0389499541316</v>
      </c>
      <c r="H95" s="42">
        <f>(SUMIFS('04_Base_Despesas'!$D$4:$D$219, '04_Base_Despesas'!$A$4:$A$219, H$85, '04_Base_Despesas'!$B$4:$B$219, "marketing"))*(IFERROR(SUMIFS('03_Base_Vendas'!$I$4:$I$387, '03_Base_Vendas'!$A$4:$A$387, H$85, '03_Base_Vendas'!$B$4:$B$387, "loja_propria")/SUMIFS('03_Base_Vendas'!$I$4:$I$387, '03_Base_Vendas'!$A$4:$A$387, H$85),0))</f>
        <v>1252.9984914595166</v>
      </c>
      <c r="I95" s="42">
        <f>(SUMIFS('04_Base_Despesas'!$D$4:$D$219, '04_Base_Despesas'!$A$4:$A$219, I$85, '04_Base_Despesas'!$B$4:$B$219, "marketing"))*(IFERROR(SUMIFS('03_Base_Vendas'!$I$4:$I$387, '03_Base_Vendas'!$A$4:$A$387, I$85, '03_Base_Vendas'!$B$4:$B$387, "loja_propria")/SUMIFS('03_Base_Vendas'!$I$4:$I$387, '03_Base_Vendas'!$A$4:$A$387, I$85),0))</f>
        <v>1715.126998005579</v>
      </c>
      <c r="J95" s="42">
        <f>(SUMIFS('04_Base_Despesas'!$D$4:$D$219, '04_Base_Despesas'!$A$4:$A$219, J$85, '04_Base_Despesas'!$B$4:$B$219, "marketing"))*(IFERROR(SUMIFS('03_Base_Vendas'!$I$4:$I$387, '03_Base_Vendas'!$A$4:$A$387, J$85, '03_Base_Vendas'!$B$4:$B$387, "loja_propria")/SUMIFS('03_Base_Vendas'!$I$4:$I$387, '03_Base_Vendas'!$A$4:$A$387, J$85),0))</f>
        <v>1885.4902127113592</v>
      </c>
      <c r="K95" s="42">
        <f>(SUMIFS('04_Base_Despesas'!$D$4:$D$219, '04_Base_Despesas'!$A$4:$A$219, K$85, '04_Base_Despesas'!$B$4:$B$219, "marketing"))*(IFERROR(SUMIFS('03_Base_Vendas'!$I$4:$I$387, '03_Base_Vendas'!$A$4:$A$387, K$85, '03_Base_Vendas'!$B$4:$B$387, "loja_propria")/SUMIFS('03_Base_Vendas'!$I$4:$I$387, '03_Base_Vendas'!$A$4:$A$387, K$85),0))</f>
        <v>1415.3117264556304</v>
      </c>
      <c r="L95" s="42">
        <f>(SUMIFS('04_Base_Despesas'!$D$4:$D$219, '04_Base_Despesas'!$A$4:$A$219, L$85, '04_Base_Despesas'!$B$4:$B$219, "marketing"))*(IFERROR(SUMIFS('03_Base_Vendas'!$I$4:$I$387, '03_Base_Vendas'!$A$4:$A$387, L$85, '03_Base_Vendas'!$B$4:$B$387, "loja_propria")/SUMIFS('03_Base_Vendas'!$I$4:$I$387, '03_Base_Vendas'!$A$4:$A$387, L$85),0))</f>
        <v>1764.962853570506</v>
      </c>
      <c r="M95" s="42">
        <f>(SUMIFS('04_Base_Despesas'!$D$4:$D$219, '04_Base_Despesas'!$A$4:$A$219, M$85, '04_Base_Despesas'!$B$4:$B$219, "marketing"))*(IFERROR(SUMIFS('03_Base_Vendas'!$I$4:$I$387, '03_Base_Vendas'!$A$4:$A$387, M$85, '03_Base_Vendas'!$B$4:$B$387, "loja_propria")/SUMIFS('03_Base_Vendas'!$I$4:$I$387, '03_Base_Vendas'!$A$4:$A$387, M$85),0))</f>
        <v>2110.666308154538</v>
      </c>
      <c r="N95" s="42">
        <f>(SUMIFS('04_Base_Despesas'!$D$4:$D$219, '04_Base_Despesas'!$A$4:$A$219, N$85, '04_Base_Despesas'!$B$4:$B$219, "marketing"))*(IFERROR(SUMIFS('03_Base_Vendas'!$I$4:$I$387, '03_Base_Vendas'!$A$4:$A$387, N$85, '03_Base_Vendas'!$B$4:$B$387, "loja_propria")/SUMIFS('03_Base_Vendas'!$I$4:$I$387, '03_Base_Vendas'!$A$4:$A$387, N$85),0))</f>
        <v>1874.4175303841544</v>
      </c>
      <c r="O95" s="42">
        <f>(SUMIFS('04_Base_Despesas'!$D$4:$D$219, '04_Base_Despesas'!$A$4:$A$219, O$85, '04_Base_Despesas'!$B$4:$B$219, "marketing"))*(IFERROR(SUMIFS('03_Base_Vendas'!$I$4:$I$387, '03_Base_Vendas'!$A$4:$A$387, O$85, '03_Base_Vendas'!$B$4:$B$387, "loja_propria")/SUMIFS('03_Base_Vendas'!$I$4:$I$387, '03_Base_Vendas'!$A$4:$A$387, O$85),0))</f>
        <v>1324.2279949833726</v>
      </c>
      <c r="P95" s="42">
        <f>(SUMIFS('04_Base_Despesas'!$D$4:$D$219, '04_Base_Despesas'!$A$4:$A$219, P$85, '04_Base_Despesas'!$B$4:$B$219, "marketing"))*(IFERROR(SUMIFS('03_Base_Vendas'!$I$4:$I$387, '03_Base_Vendas'!$A$4:$A$387, P$85, '03_Base_Vendas'!$B$4:$B$387, "loja_propria")/SUMIFS('03_Base_Vendas'!$I$4:$I$387, '03_Base_Vendas'!$A$4:$A$387, P$85),0))</f>
        <v>2277.6587234378035</v>
      </c>
      <c r="Q95" s="42">
        <f>(SUMIFS('04_Base_Despesas'!$D$4:$D$219, '04_Base_Despesas'!$A$4:$A$219, Q$85, '04_Base_Despesas'!$B$4:$B$219, "marketing"))*(IFERROR(SUMIFS('03_Base_Vendas'!$I$4:$I$387, '03_Base_Vendas'!$A$4:$A$387, Q$85, '03_Base_Vendas'!$B$4:$B$387, "loja_propria")/SUMIFS('03_Base_Vendas'!$I$4:$I$387, '03_Base_Vendas'!$A$4:$A$387, Q$85),0))</f>
        <v>1547.5727107082832</v>
      </c>
      <c r="R95" s="42">
        <f>(SUMIFS('04_Base_Despesas'!$D$4:$D$219, '04_Base_Despesas'!$A$4:$A$219, R$85, '04_Base_Despesas'!$B$4:$B$219, "marketing"))*(IFERROR(SUMIFS('03_Base_Vendas'!$I$4:$I$387, '03_Base_Vendas'!$A$4:$A$387, R$85, '03_Base_Vendas'!$B$4:$B$387, "loja_propria")/SUMIFS('03_Base_Vendas'!$I$4:$I$387, '03_Base_Vendas'!$A$4:$A$387, R$85),0))</f>
        <v>2839.4324558429112</v>
      </c>
      <c r="S95" s="42">
        <f>(SUMIFS('04_Base_Despesas'!$D$4:$D$219, '04_Base_Despesas'!$A$4:$A$219, S$85, '04_Base_Despesas'!$B$4:$B$219, "marketing"))*(IFERROR(SUMIFS('03_Base_Vendas'!$I$4:$I$387, '03_Base_Vendas'!$A$4:$A$387, S$85, '03_Base_Vendas'!$B$4:$B$387, "loja_propria")/SUMIFS('03_Base_Vendas'!$I$4:$I$387, '03_Base_Vendas'!$A$4:$A$387, S$85),0))</f>
        <v>2097.5765995295483</v>
      </c>
      <c r="T95" s="42">
        <f>(SUMIFS('04_Base_Despesas'!$D$4:$D$219, '04_Base_Despesas'!$A$4:$A$219, T$85, '04_Base_Despesas'!$B$4:$B$219, "marketing"))*(IFERROR(SUMIFS('03_Base_Vendas'!$I$4:$I$387, '03_Base_Vendas'!$A$4:$A$387, T$85, '03_Base_Vendas'!$B$4:$B$387, "loja_propria")/SUMIFS('03_Base_Vendas'!$I$4:$I$387, '03_Base_Vendas'!$A$4:$A$387, T$85),0))</f>
        <v>1785.4037929709343</v>
      </c>
      <c r="U95" s="42">
        <f>(SUMIFS('04_Base_Despesas'!$D$4:$D$219, '04_Base_Despesas'!$A$4:$A$219, U$85, '04_Base_Despesas'!$B$4:$B$219, "marketing"))*(IFERROR(SUMIFS('03_Base_Vendas'!$I$4:$I$387, '03_Base_Vendas'!$A$4:$A$387, U$85, '03_Base_Vendas'!$B$4:$B$387, "loja_propria")/SUMIFS('03_Base_Vendas'!$I$4:$I$387, '03_Base_Vendas'!$A$4:$A$387, U$85),0))</f>
        <v>2210.0588537860367</v>
      </c>
      <c r="V95" s="42">
        <f>(SUMIFS('04_Base_Despesas'!$D$4:$D$219, '04_Base_Despesas'!$A$4:$A$219, V$85, '04_Base_Despesas'!$B$4:$B$219, "marketing"))*(IFERROR(SUMIFS('03_Base_Vendas'!$I$4:$I$387, '03_Base_Vendas'!$A$4:$A$387, V$85, '03_Base_Vendas'!$B$4:$B$387, "loja_propria")/SUMIFS('03_Base_Vendas'!$I$4:$I$387, '03_Base_Vendas'!$A$4:$A$387, V$85),0))</f>
        <v>1285.7174121473092</v>
      </c>
      <c r="W95" s="42">
        <f>(SUMIFS('04_Base_Despesas'!$D$4:$D$219, '04_Base_Despesas'!$A$4:$A$219, W$85, '04_Base_Despesas'!$B$4:$B$219, "marketing"))*(IFERROR(SUMIFS('03_Base_Vendas'!$I$4:$I$387, '03_Base_Vendas'!$A$4:$A$387, W$85, '03_Base_Vendas'!$B$4:$B$387, "loja_propria")/SUMIFS('03_Base_Vendas'!$I$4:$I$387, '03_Base_Vendas'!$A$4:$A$387, W$85),0))</f>
        <v>1962.1677376946798</v>
      </c>
      <c r="X95" s="42">
        <f>(SUMIFS('04_Base_Despesas'!$D$4:$D$219, '04_Base_Despesas'!$A$4:$A$219, X$85, '04_Base_Despesas'!$B$4:$B$219, "marketing"))*(IFERROR(SUMIFS('03_Base_Vendas'!$I$4:$I$387, '03_Base_Vendas'!$A$4:$A$387, X$85, '03_Base_Vendas'!$B$4:$B$387, "loja_propria")/SUMIFS('03_Base_Vendas'!$I$4:$I$387, '03_Base_Vendas'!$A$4:$A$387, X$85),0))</f>
        <v>2490.6810326756663</v>
      </c>
      <c r="Y95" s="42">
        <f>(SUMIFS('04_Base_Despesas'!$D$4:$D$219, '04_Base_Despesas'!$A$4:$A$219, Y$85, '04_Base_Despesas'!$B$4:$B$219, "marketing"))*(IFERROR(SUMIFS('03_Base_Vendas'!$I$4:$I$387, '03_Base_Vendas'!$A$4:$A$387, Y$85, '03_Base_Vendas'!$B$4:$B$387, "loja_propria")/SUMIFS('03_Base_Vendas'!$I$4:$I$387, '03_Base_Vendas'!$A$4:$A$387, Y$85),0))</f>
        <v>1758.2565437568417</v>
      </c>
      <c r="Z95" s="43">
        <f t="shared" si="37"/>
        <v>45350.038961921688</v>
      </c>
    </row>
    <row r="96" spans="1:26" x14ac:dyDescent="0.25">
      <c r="A96" s="41" t="s">
        <v>341</v>
      </c>
      <c r="B96" s="42">
        <f>(SUMIFS('04_Base_Despesas'!$D$4:$D$219, '04_Base_Despesas'!$A$4:$A$219, B$85, '04_Base_Despesas'!$B$4:$B$219, "logistica"))*(IFERROR(SUMIFS('03_Base_Vendas'!$I$4:$I$387, '03_Base_Vendas'!$A$4:$A$387, B$85, '03_Base_Vendas'!$B$4:$B$387, "loja_propria")/SUMIFS('03_Base_Vendas'!$I$4:$I$387, '03_Base_Vendas'!$A$4:$A$387, B$85),0))</f>
        <v>916.22948830556027</v>
      </c>
      <c r="C96" s="42">
        <f>(SUMIFS('04_Base_Despesas'!$D$4:$D$219, '04_Base_Despesas'!$A$4:$A$219, C$85, '04_Base_Despesas'!$B$4:$B$219, "logistica"))*(IFERROR(SUMIFS('03_Base_Vendas'!$I$4:$I$387, '03_Base_Vendas'!$A$4:$A$387, C$85, '03_Base_Vendas'!$B$4:$B$387, "loja_propria")/SUMIFS('03_Base_Vendas'!$I$4:$I$387, '03_Base_Vendas'!$A$4:$A$387, C$85),0))</f>
        <v>1218.3439549760849</v>
      </c>
      <c r="D96" s="42">
        <f>(SUMIFS('04_Base_Despesas'!$D$4:$D$219, '04_Base_Despesas'!$A$4:$A$219, D$85, '04_Base_Despesas'!$B$4:$B$219, "logistica"))*(IFERROR(SUMIFS('03_Base_Vendas'!$I$4:$I$387, '03_Base_Vendas'!$A$4:$A$387, D$85, '03_Base_Vendas'!$B$4:$B$387, "loja_propria")/SUMIFS('03_Base_Vendas'!$I$4:$I$387, '03_Base_Vendas'!$A$4:$A$387, D$85),0))</f>
        <v>1420.4833317613598</v>
      </c>
      <c r="E96" s="42">
        <f>(SUMIFS('04_Base_Despesas'!$D$4:$D$219, '04_Base_Despesas'!$A$4:$A$219, E$85, '04_Base_Despesas'!$B$4:$B$219, "logistica"))*(IFERROR(SUMIFS('03_Base_Vendas'!$I$4:$I$387, '03_Base_Vendas'!$A$4:$A$387, E$85, '03_Base_Vendas'!$B$4:$B$387, "loja_propria")/SUMIFS('03_Base_Vendas'!$I$4:$I$387, '03_Base_Vendas'!$A$4:$A$387, E$85),0))</f>
        <v>1809.5520560370132</v>
      </c>
      <c r="F96" s="42">
        <f>(SUMIFS('04_Base_Despesas'!$D$4:$D$219, '04_Base_Despesas'!$A$4:$A$219, F$85, '04_Base_Despesas'!$B$4:$B$219, "logistica"))*(IFERROR(SUMIFS('03_Base_Vendas'!$I$4:$I$387, '03_Base_Vendas'!$A$4:$A$387, F$85, '03_Base_Vendas'!$B$4:$B$387, "loja_propria")/SUMIFS('03_Base_Vendas'!$I$4:$I$387, '03_Base_Vendas'!$A$4:$A$387, F$85),0))</f>
        <v>1208.6127854950312</v>
      </c>
      <c r="G96" s="42">
        <f>(SUMIFS('04_Base_Despesas'!$D$4:$D$219, '04_Base_Despesas'!$A$4:$A$219, G$85, '04_Base_Despesas'!$B$4:$B$219, "logistica"))*(IFERROR(SUMIFS('03_Base_Vendas'!$I$4:$I$387, '03_Base_Vendas'!$A$4:$A$387, G$85, '03_Base_Vendas'!$B$4:$B$387, "loja_propria")/SUMIFS('03_Base_Vendas'!$I$4:$I$387, '03_Base_Vendas'!$A$4:$A$387, G$85),0))</f>
        <v>1362.7770708893295</v>
      </c>
      <c r="H96" s="42">
        <f>(SUMIFS('04_Base_Despesas'!$D$4:$D$219, '04_Base_Despesas'!$A$4:$A$219, H$85, '04_Base_Despesas'!$B$4:$B$219, "logistica"))*(IFERROR(SUMIFS('03_Base_Vendas'!$I$4:$I$387, '03_Base_Vendas'!$A$4:$A$387, H$85, '03_Base_Vendas'!$B$4:$B$387, "loja_propria")/SUMIFS('03_Base_Vendas'!$I$4:$I$387, '03_Base_Vendas'!$A$4:$A$387, H$85),0))</f>
        <v>1352.6276207745407</v>
      </c>
      <c r="I96" s="42">
        <f>(SUMIFS('04_Base_Despesas'!$D$4:$D$219, '04_Base_Despesas'!$A$4:$A$219, I$85, '04_Base_Despesas'!$B$4:$B$219, "logistica"))*(IFERROR(SUMIFS('03_Base_Vendas'!$I$4:$I$387, '03_Base_Vendas'!$A$4:$A$387, I$85, '03_Base_Vendas'!$B$4:$B$387, "loja_propria")/SUMIFS('03_Base_Vendas'!$I$4:$I$387, '03_Base_Vendas'!$A$4:$A$387, I$85),0))</f>
        <v>1435.867227445779</v>
      </c>
      <c r="J96" s="42">
        <f>(SUMIFS('04_Base_Despesas'!$D$4:$D$219, '04_Base_Despesas'!$A$4:$A$219, J$85, '04_Base_Despesas'!$B$4:$B$219, "logistica"))*(IFERROR(SUMIFS('03_Base_Vendas'!$I$4:$I$387, '03_Base_Vendas'!$A$4:$A$387, J$85, '03_Base_Vendas'!$B$4:$B$387, "loja_propria")/SUMIFS('03_Base_Vendas'!$I$4:$I$387, '03_Base_Vendas'!$A$4:$A$387, J$85),0))</f>
        <v>1426.7746196280943</v>
      </c>
      <c r="K96" s="42">
        <f>(SUMIFS('04_Base_Despesas'!$D$4:$D$219, '04_Base_Despesas'!$A$4:$A$219, K$85, '04_Base_Despesas'!$B$4:$B$219, "logistica"))*(IFERROR(SUMIFS('03_Base_Vendas'!$I$4:$I$387, '03_Base_Vendas'!$A$4:$A$387, K$85, '03_Base_Vendas'!$B$4:$B$387, "loja_propria")/SUMIFS('03_Base_Vendas'!$I$4:$I$387, '03_Base_Vendas'!$A$4:$A$387, K$85),0))</f>
        <v>992.20763880488698</v>
      </c>
      <c r="L96" s="42">
        <f>(SUMIFS('04_Base_Despesas'!$D$4:$D$219, '04_Base_Despesas'!$A$4:$A$219, L$85, '04_Base_Despesas'!$B$4:$B$219, "logistica"))*(IFERROR(SUMIFS('03_Base_Vendas'!$I$4:$I$387, '03_Base_Vendas'!$A$4:$A$387, L$85, '03_Base_Vendas'!$B$4:$B$387, "loja_propria")/SUMIFS('03_Base_Vendas'!$I$4:$I$387, '03_Base_Vendas'!$A$4:$A$387, L$85),0))</f>
        <v>1124.7738295515937</v>
      </c>
      <c r="M96" s="42">
        <f>(SUMIFS('04_Base_Despesas'!$D$4:$D$219, '04_Base_Despesas'!$A$4:$A$219, M$85, '04_Base_Despesas'!$B$4:$B$219, "logistica"))*(IFERROR(SUMIFS('03_Base_Vendas'!$I$4:$I$387, '03_Base_Vendas'!$A$4:$A$387, M$85, '03_Base_Vendas'!$B$4:$B$387, "loja_propria")/SUMIFS('03_Base_Vendas'!$I$4:$I$387, '03_Base_Vendas'!$A$4:$A$387, M$85),0))</f>
        <v>1151.3457707063458</v>
      </c>
      <c r="N96" s="42">
        <f>(SUMIFS('04_Base_Despesas'!$D$4:$D$219, '04_Base_Despesas'!$A$4:$A$219, N$85, '04_Base_Despesas'!$B$4:$B$219, "logistica"))*(IFERROR(SUMIFS('03_Base_Vendas'!$I$4:$I$387, '03_Base_Vendas'!$A$4:$A$387, N$85, '03_Base_Vendas'!$B$4:$B$387, "loja_propria")/SUMIFS('03_Base_Vendas'!$I$4:$I$387, '03_Base_Vendas'!$A$4:$A$387, N$85),0))</f>
        <v>1179.1784709416643</v>
      </c>
      <c r="O96" s="42">
        <f>(SUMIFS('04_Base_Despesas'!$D$4:$D$219, '04_Base_Despesas'!$A$4:$A$219, O$85, '04_Base_Despesas'!$B$4:$B$219, "logistica"))*(IFERROR(SUMIFS('03_Base_Vendas'!$I$4:$I$387, '03_Base_Vendas'!$A$4:$A$387, O$85, '03_Base_Vendas'!$B$4:$B$387, "loja_propria")/SUMIFS('03_Base_Vendas'!$I$4:$I$387, '03_Base_Vendas'!$A$4:$A$387, O$85),0))</f>
        <v>1135.3706045391632</v>
      </c>
      <c r="P96" s="42">
        <f>(SUMIFS('04_Base_Despesas'!$D$4:$D$219, '04_Base_Despesas'!$A$4:$A$219, P$85, '04_Base_Despesas'!$B$4:$B$219, "logistica"))*(IFERROR(SUMIFS('03_Base_Vendas'!$I$4:$I$387, '03_Base_Vendas'!$A$4:$A$387, P$85, '03_Base_Vendas'!$B$4:$B$387, "loja_propria")/SUMIFS('03_Base_Vendas'!$I$4:$I$387, '03_Base_Vendas'!$A$4:$A$387, P$85),0))</f>
        <v>1594.8173430882787</v>
      </c>
      <c r="Q96" s="42">
        <f>(SUMIFS('04_Base_Despesas'!$D$4:$D$219, '04_Base_Despesas'!$A$4:$A$219, Q$85, '04_Base_Despesas'!$B$4:$B$219, "logistica"))*(IFERROR(SUMIFS('03_Base_Vendas'!$I$4:$I$387, '03_Base_Vendas'!$A$4:$A$387, Q$85, '03_Base_Vendas'!$B$4:$B$387, "loja_propria")/SUMIFS('03_Base_Vendas'!$I$4:$I$387, '03_Base_Vendas'!$A$4:$A$387, Q$85),0))</f>
        <v>1209.4619265035335</v>
      </c>
      <c r="R96" s="42">
        <f>(SUMIFS('04_Base_Despesas'!$D$4:$D$219, '04_Base_Despesas'!$A$4:$A$219, R$85, '04_Base_Despesas'!$B$4:$B$219, "logistica"))*(IFERROR(SUMIFS('03_Base_Vendas'!$I$4:$I$387, '03_Base_Vendas'!$A$4:$A$387, R$85, '03_Base_Vendas'!$B$4:$B$387, "loja_propria")/SUMIFS('03_Base_Vendas'!$I$4:$I$387, '03_Base_Vendas'!$A$4:$A$387, R$85),0))</f>
        <v>1427.3196341813145</v>
      </c>
      <c r="S96" s="42">
        <f>(SUMIFS('04_Base_Despesas'!$D$4:$D$219, '04_Base_Despesas'!$A$4:$A$219, S$85, '04_Base_Despesas'!$B$4:$B$219, "logistica"))*(IFERROR(SUMIFS('03_Base_Vendas'!$I$4:$I$387, '03_Base_Vendas'!$A$4:$A$387, S$85, '03_Base_Vendas'!$B$4:$B$387, "loja_propria")/SUMIFS('03_Base_Vendas'!$I$4:$I$387, '03_Base_Vendas'!$A$4:$A$387, S$85),0))</f>
        <v>1360.3890135344882</v>
      </c>
      <c r="T96" s="42">
        <f>(SUMIFS('04_Base_Despesas'!$D$4:$D$219, '04_Base_Despesas'!$A$4:$A$219, T$85, '04_Base_Despesas'!$B$4:$B$219, "logistica"))*(IFERROR(SUMIFS('03_Base_Vendas'!$I$4:$I$387, '03_Base_Vendas'!$A$4:$A$387, T$85, '03_Base_Vendas'!$B$4:$B$387, "loja_propria")/SUMIFS('03_Base_Vendas'!$I$4:$I$387, '03_Base_Vendas'!$A$4:$A$387, T$85),0))</f>
        <v>1212.03568480744</v>
      </c>
      <c r="U96" s="42">
        <f>(SUMIFS('04_Base_Despesas'!$D$4:$D$219, '04_Base_Despesas'!$A$4:$A$219, U$85, '04_Base_Despesas'!$B$4:$B$219, "logistica"))*(IFERROR(SUMIFS('03_Base_Vendas'!$I$4:$I$387, '03_Base_Vendas'!$A$4:$A$387, U$85, '03_Base_Vendas'!$B$4:$B$387, "loja_propria")/SUMIFS('03_Base_Vendas'!$I$4:$I$387, '03_Base_Vendas'!$A$4:$A$387, U$85),0))</f>
        <v>1673.1614926285445</v>
      </c>
      <c r="V96" s="42">
        <f>(SUMIFS('04_Base_Despesas'!$D$4:$D$219, '04_Base_Despesas'!$A$4:$A$219, V$85, '04_Base_Despesas'!$B$4:$B$219, "logistica"))*(IFERROR(SUMIFS('03_Base_Vendas'!$I$4:$I$387, '03_Base_Vendas'!$A$4:$A$387, V$85, '03_Base_Vendas'!$B$4:$B$387, "loja_propria")/SUMIFS('03_Base_Vendas'!$I$4:$I$387, '03_Base_Vendas'!$A$4:$A$387, V$85),0))</f>
        <v>986.91724623356401</v>
      </c>
      <c r="W96" s="42">
        <f>(SUMIFS('04_Base_Despesas'!$D$4:$D$219, '04_Base_Despesas'!$A$4:$A$219, W$85, '04_Base_Despesas'!$B$4:$B$219, "logistica"))*(IFERROR(SUMIFS('03_Base_Vendas'!$I$4:$I$387, '03_Base_Vendas'!$A$4:$A$387, W$85, '03_Base_Vendas'!$B$4:$B$387, "loja_propria")/SUMIFS('03_Base_Vendas'!$I$4:$I$387, '03_Base_Vendas'!$A$4:$A$387, W$85),0))</f>
        <v>1240.4171012455849</v>
      </c>
      <c r="X96" s="42">
        <f>(SUMIFS('04_Base_Despesas'!$D$4:$D$219, '04_Base_Despesas'!$A$4:$A$219, X$85, '04_Base_Despesas'!$B$4:$B$219, "logistica"))*(IFERROR(SUMIFS('03_Base_Vendas'!$I$4:$I$387, '03_Base_Vendas'!$A$4:$A$387, X$85, '03_Base_Vendas'!$B$4:$B$387, "loja_propria")/SUMIFS('03_Base_Vendas'!$I$4:$I$387, '03_Base_Vendas'!$A$4:$A$387, X$85),0))</f>
        <v>1480.939466845444</v>
      </c>
      <c r="Y96" s="42">
        <f>(SUMIFS('04_Base_Despesas'!$D$4:$D$219, '04_Base_Despesas'!$A$4:$A$219, Y$85, '04_Base_Despesas'!$B$4:$B$219, "logistica"))*(IFERROR(SUMIFS('03_Base_Vendas'!$I$4:$I$387, '03_Base_Vendas'!$A$4:$A$387, Y$85, '03_Base_Vendas'!$B$4:$B$387, "loja_propria")/SUMIFS('03_Base_Vendas'!$I$4:$I$387, '03_Base_Vendas'!$A$4:$A$387, Y$85),0))</f>
        <v>1157.5539067864652</v>
      </c>
      <c r="Z96" s="43">
        <f t="shared" si="37"/>
        <v>31077.157285711102</v>
      </c>
    </row>
    <row r="97" spans="1:26" x14ac:dyDescent="0.25">
      <c r="A97" s="41" t="s">
        <v>342</v>
      </c>
      <c r="B97" s="42">
        <f>(SUMIFS('04_Base_Despesas'!$D$4:$D$219, '04_Base_Despesas'!$A$4:$A$219, B$85, '04_Base_Despesas'!$B$4:$B$219, "tecnologia"))*(IFERROR(SUMIFS('03_Base_Vendas'!$I$4:$I$387, '03_Base_Vendas'!$A$4:$A$387, B$85, '03_Base_Vendas'!$B$4:$B$387, "loja_propria")/SUMIFS('03_Base_Vendas'!$I$4:$I$387, '03_Base_Vendas'!$A$4:$A$387, B$85),0))</f>
        <v>684.0739414213167</v>
      </c>
      <c r="C97" s="42">
        <f>(SUMIFS('04_Base_Despesas'!$D$4:$D$219, '04_Base_Despesas'!$A$4:$A$219, C$85, '04_Base_Despesas'!$B$4:$B$219, "tecnologia"))*(IFERROR(SUMIFS('03_Base_Vendas'!$I$4:$I$387, '03_Base_Vendas'!$A$4:$A$387, C$85, '03_Base_Vendas'!$B$4:$B$387, "loja_propria")/SUMIFS('03_Base_Vendas'!$I$4:$I$387, '03_Base_Vendas'!$A$4:$A$387, C$85),0))</f>
        <v>880.06876581951155</v>
      </c>
      <c r="D97" s="42">
        <f>(SUMIFS('04_Base_Despesas'!$D$4:$D$219, '04_Base_Despesas'!$A$4:$A$219, D$85, '04_Base_Despesas'!$B$4:$B$219, "tecnologia"))*(IFERROR(SUMIFS('03_Base_Vendas'!$I$4:$I$387, '03_Base_Vendas'!$A$4:$A$387, D$85, '03_Base_Vendas'!$B$4:$B$387, "loja_propria")/SUMIFS('03_Base_Vendas'!$I$4:$I$387, '03_Base_Vendas'!$A$4:$A$387, D$85),0))</f>
        <v>967.89300363901009</v>
      </c>
      <c r="E97" s="42">
        <f>(SUMIFS('04_Base_Despesas'!$D$4:$D$219, '04_Base_Despesas'!$A$4:$A$219, E$85, '04_Base_Despesas'!$B$4:$B$219, "tecnologia"))*(IFERROR(SUMIFS('03_Base_Vendas'!$I$4:$I$387, '03_Base_Vendas'!$A$4:$A$387, E$85, '03_Base_Vendas'!$B$4:$B$387, "loja_propria")/SUMIFS('03_Base_Vendas'!$I$4:$I$387, '03_Base_Vendas'!$A$4:$A$387, E$85),0))</f>
        <v>1098.043317739523</v>
      </c>
      <c r="F97" s="42">
        <f>(SUMIFS('04_Base_Despesas'!$D$4:$D$219, '04_Base_Despesas'!$A$4:$A$219, F$85, '04_Base_Despesas'!$B$4:$B$219, "tecnologia"))*(IFERROR(SUMIFS('03_Base_Vendas'!$I$4:$I$387, '03_Base_Vendas'!$A$4:$A$387, F$85, '03_Base_Vendas'!$B$4:$B$387, "loja_propria")/SUMIFS('03_Base_Vendas'!$I$4:$I$387, '03_Base_Vendas'!$A$4:$A$387, F$85),0))</f>
        <v>807.25503401749529</v>
      </c>
      <c r="G97" s="42">
        <f>(SUMIFS('04_Base_Despesas'!$D$4:$D$219, '04_Base_Despesas'!$A$4:$A$219, G$85, '04_Base_Despesas'!$B$4:$B$219, "tecnologia"))*(IFERROR(SUMIFS('03_Base_Vendas'!$I$4:$I$387, '03_Base_Vendas'!$A$4:$A$387, G$85, '03_Base_Vendas'!$B$4:$B$387, "loja_propria")/SUMIFS('03_Base_Vendas'!$I$4:$I$387, '03_Base_Vendas'!$A$4:$A$387, G$85),0))</f>
        <v>968.73118823277809</v>
      </c>
      <c r="H97" s="42">
        <f>(SUMIFS('04_Base_Despesas'!$D$4:$D$219, '04_Base_Despesas'!$A$4:$A$219, H$85, '04_Base_Despesas'!$B$4:$B$219, "tecnologia"))*(IFERROR(SUMIFS('03_Base_Vendas'!$I$4:$I$387, '03_Base_Vendas'!$A$4:$A$387, H$85, '03_Base_Vendas'!$B$4:$B$387, "loja_propria")/SUMIFS('03_Base_Vendas'!$I$4:$I$387, '03_Base_Vendas'!$A$4:$A$387, H$85),0))</f>
        <v>834.32012064045512</v>
      </c>
      <c r="I97" s="42">
        <f>(SUMIFS('04_Base_Despesas'!$D$4:$D$219, '04_Base_Despesas'!$A$4:$A$219, I$85, '04_Base_Despesas'!$B$4:$B$219, "tecnologia"))*(IFERROR(SUMIFS('03_Base_Vendas'!$I$4:$I$387, '03_Base_Vendas'!$A$4:$A$387, I$85, '03_Base_Vendas'!$B$4:$B$387, "loja_propria")/SUMIFS('03_Base_Vendas'!$I$4:$I$387, '03_Base_Vendas'!$A$4:$A$387, I$85),0))</f>
        <v>906.95322369176677</v>
      </c>
      <c r="J97" s="42">
        <f>(SUMIFS('04_Base_Despesas'!$D$4:$D$219, '04_Base_Despesas'!$A$4:$A$219, J$85, '04_Base_Despesas'!$B$4:$B$219, "tecnologia"))*(IFERROR(SUMIFS('03_Base_Vendas'!$I$4:$I$387, '03_Base_Vendas'!$A$4:$A$387, J$85, '03_Base_Vendas'!$B$4:$B$387, "loja_propria")/SUMIFS('03_Base_Vendas'!$I$4:$I$387, '03_Base_Vendas'!$A$4:$A$387, J$85),0))</f>
        <v>896.38702810613779</v>
      </c>
      <c r="K97" s="42">
        <f>(SUMIFS('04_Base_Despesas'!$D$4:$D$219, '04_Base_Despesas'!$A$4:$A$219, K$85, '04_Base_Despesas'!$B$4:$B$219, "tecnologia"))*(IFERROR(SUMIFS('03_Base_Vendas'!$I$4:$I$387, '03_Base_Vendas'!$A$4:$A$387, K$85, '03_Base_Vendas'!$B$4:$B$387, "loja_propria")/SUMIFS('03_Base_Vendas'!$I$4:$I$387, '03_Base_Vendas'!$A$4:$A$387, K$85),0))</f>
        <v>659.44828164362229</v>
      </c>
      <c r="L97" s="42">
        <f>(SUMIFS('04_Base_Despesas'!$D$4:$D$219, '04_Base_Despesas'!$A$4:$A$219, L$85, '04_Base_Despesas'!$B$4:$B$219, "tecnologia"))*(IFERROR(SUMIFS('03_Base_Vendas'!$I$4:$I$387, '03_Base_Vendas'!$A$4:$A$387, L$85, '03_Base_Vendas'!$B$4:$B$387, "loja_propria")/SUMIFS('03_Base_Vendas'!$I$4:$I$387, '03_Base_Vendas'!$A$4:$A$387, L$85),0))</f>
        <v>714.67057908179345</v>
      </c>
      <c r="M97" s="42">
        <f>(SUMIFS('04_Base_Despesas'!$D$4:$D$219, '04_Base_Despesas'!$A$4:$A$219, M$85, '04_Base_Despesas'!$B$4:$B$219, "tecnologia"))*(IFERROR(SUMIFS('03_Base_Vendas'!$I$4:$I$387, '03_Base_Vendas'!$A$4:$A$387, M$85, '03_Base_Vendas'!$B$4:$B$387, "loja_propria")/SUMIFS('03_Base_Vendas'!$I$4:$I$387, '03_Base_Vendas'!$A$4:$A$387, M$85),0))</f>
        <v>758.66671746545103</v>
      </c>
      <c r="N97" s="42">
        <f>(SUMIFS('04_Base_Despesas'!$D$4:$D$219, '04_Base_Despesas'!$A$4:$A$219, N$85, '04_Base_Despesas'!$B$4:$B$219, "tecnologia"))*(IFERROR(SUMIFS('03_Base_Vendas'!$I$4:$I$387, '03_Base_Vendas'!$A$4:$A$387, N$85, '03_Base_Vendas'!$B$4:$B$387, "loja_propria")/SUMIFS('03_Base_Vendas'!$I$4:$I$387, '03_Base_Vendas'!$A$4:$A$387, N$85),0))</f>
        <v>812.41359386071895</v>
      </c>
      <c r="O97" s="42">
        <f>(SUMIFS('04_Base_Despesas'!$D$4:$D$219, '04_Base_Despesas'!$A$4:$A$219, O$85, '04_Base_Despesas'!$B$4:$B$219, "tecnologia"))*(IFERROR(SUMIFS('03_Base_Vendas'!$I$4:$I$387, '03_Base_Vendas'!$A$4:$A$387, O$85, '03_Base_Vendas'!$B$4:$B$387, "loja_propria")/SUMIFS('03_Base_Vendas'!$I$4:$I$387, '03_Base_Vendas'!$A$4:$A$387, O$85),0))</f>
        <v>730.78002309048725</v>
      </c>
      <c r="P97" s="42">
        <f>(SUMIFS('04_Base_Despesas'!$D$4:$D$219, '04_Base_Despesas'!$A$4:$A$219, P$85, '04_Base_Despesas'!$B$4:$B$219, "tecnologia"))*(IFERROR(SUMIFS('03_Base_Vendas'!$I$4:$I$387, '03_Base_Vendas'!$A$4:$A$387, P$85, '03_Base_Vendas'!$B$4:$B$387, "loja_propria")/SUMIFS('03_Base_Vendas'!$I$4:$I$387, '03_Base_Vendas'!$A$4:$A$387, P$85),0))</f>
        <v>960.29817370004196</v>
      </c>
      <c r="Q97" s="42">
        <f>(SUMIFS('04_Base_Despesas'!$D$4:$D$219, '04_Base_Despesas'!$A$4:$A$219, Q$85, '04_Base_Despesas'!$B$4:$B$219, "tecnologia"))*(IFERROR(SUMIFS('03_Base_Vendas'!$I$4:$I$387, '03_Base_Vendas'!$A$4:$A$387, Q$85, '03_Base_Vendas'!$B$4:$B$387, "loja_propria")/SUMIFS('03_Base_Vendas'!$I$4:$I$387, '03_Base_Vendas'!$A$4:$A$387, Q$85),0))</f>
        <v>860.26165876073776</v>
      </c>
      <c r="R97" s="42">
        <f>(SUMIFS('04_Base_Despesas'!$D$4:$D$219, '04_Base_Despesas'!$A$4:$A$219, R$85, '04_Base_Despesas'!$B$4:$B$219, "tecnologia"))*(IFERROR(SUMIFS('03_Base_Vendas'!$I$4:$I$387, '03_Base_Vendas'!$A$4:$A$387, R$85, '03_Base_Vendas'!$B$4:$B$387, "loja_propria")/SUMIFS('03_Base_Vendas'!$I$4:$I$387, '03_Base_Vendas'!$A$4:$A$387, R$85),0))</f>
        <v>897.12173108792842</v>
      </c>
      <c r="S97" s="42">
        <f>(SUMIFS('04_Base_Despesas'!$D$4:$D$219, '04_Base_Despesas'!$A$4:$A$219, S$85, '04_Base_Despesas'!$B$4:$B$219, "tecnologia"))*(IFERROR(SUMIFS('03_Base_Vendas'!$I$4:$I$387, '03_Base_Vendas'!$A$4:$A$387, S$85, '03_Base_Vendas'!$B$4:$B$387, "loja_propria")/SUMIFS('03_Base_Vendas'!$I$4:$I$387, '03_Base_Vendas'!$A$4:$A$387, S$85),0))</f>
        <v>936.09596434791865</v>
      </c>
      <c r="T97" s="42">
        <f>(SUMIFS('04_Base_Despesas'!$D$4:$D$219, '04_Base_Despesas'!$A$4:$A$219, T$85, '04_Base_Despesas'!$B$4:$B$219, "tecnologia"))*(IFERROR(SUMIFS('03_Base_Vendas'!$I$4:$I$387, '03_Base_Vendas'!$A$4:$A$387, T$85, '03_Base_Vendas'!$B$4:$B$387, "loja_propria")/SUMIFS('03_Base_Vendas'!$I$4:$I$387, '03_Base_Vendas'!$A$4:$A$387, T$85),0))</f>
        <v>880.91656978077481</v>
      </c>
      <c r="U97" s="42">
        <f>(SUMIFS('04_Base_Despesas'!$D$4:$D$219, '04_Base_Despesas'!$A$4:$A$219, U$85, '04_Base_Despesas'!$B$4:$B$219, "tecnologia"))*(IFERROR(SUMIFS('03_Base_Vendas'!$I$4:$I$387, '03_Base_Vendas'!$A$4:$A$387, U$85, '03_Base_Vendas'!$B$4:$B$387, "loja_propria")/SUMIFS('03_Base_Vendas'!$I$4:$I$387, '03_Base_Vendas'!$A$4:$A$387, U$85),0))</f>
        <v>1168.8487305553729</v>
      </c>
      <c r="V97" s="42">
        <f>(SUMIFS('04_Base_Despesas'!$D$4:$D$219, '04_Base_Despesas'!$A$4:$A$219, V$85, '04_Base_Despesas'!$B$4:$B$219, "tecnologia"))*(IFERROR(SUMIFS('03_Base_Vendas'!$I$4:$I$387, '03_Base_Vendas'!$A$4:$A$387, V$85, '03_Base_Vendas'!$B$4:$B$387, "loja_propria")/SUMIFS('03_Base_Vendas'!$I$4:$I$387, '03_Base_Vendas'!$A$4:$A$387, V$85),0))</f>
        <v>730.89205526739352</v>
      </c>
      <c r="W97" s="42">
        <f>(SUMIFS('04_Base_Despesas'!$D$4:$D$219, '04_Base_Despesas'!$A$4:$A$219, W$85, '04_Base_Despesas'!$B$4:$B$219, "tecnologia"))*(IFERROR(SUMIFS('03_Base_Vendas'!$I$4:$I$387, '03_Base_Vendas'!$A$4:$A$387, W$85, '03_Base_Vendas'!$B$4:$B$387, "loja_propria")/SUMIFS('03_Base_Vendas'!$I$4:$I$387, '03_Base_Vendas'!$A$4:$A$387, W$85),0))</f>
        <v>864.24195037823699</v>
      </c>
      <c r="X97" s="42">
        <f>(SUMIFS('04_Base_Despesas'!$D$4:$D$219, '04_Base_Despesas'!$A$4:$A$219, X$85, '04_Base_Despesas'!$B$4:$B$219, "tecnologia"))*(IFERROR(SUMIFS('03_Base_Vendas'!$I$4:$I$387, '03_Base_Vendas'!$A$4:$A$387, X$85, '03_Base_Vendas'!$B$4:$B$387, "loja_propria")/SUMIFS('03_Base_Vendas'!$I$4:$I$387, '03_Base_Vendas'!$A$4:$A$387, X$85),0))</f>
        <v>981.64218159934774</v>
      </c>
      <c r="Y97" s="42">
        <f>(SUMIFS('04_Base_Despesas'!$D$4:$D$219, '04_Base_Despesas'!$A$4:$A$219, Y$85, '04_Base_Despesas'!$B$4:$B$219, "tecnologia"))*(IFERROR(SUMIFS('03_Base_Vendas'!$I$4:$I$387, '03_Base_Vendas'!$A$4:$A$387, Y$85, '03_Base_Vendas'!$B$4:$B$387, "loja_propria")/SUMIFS('03_Base_Vendas'!$I$4:$I$387, '03_Base_Vendas'!$A$4:$A$387, Y$85),0))</f>
        <v>0</v>
      </c>
      <c r="Z97" s="43">
        <f t="shared" si="37"/>
        <v>20000.023833927826</v>
      </c>
    </row>
    <row r="98" spans="1:26" x14ac:dyDescent="0.25">
      <c r="A98" s="41" t="s">
        <v>343</v>
      </c>
      <c r="B98" s="42">
        <f>(SUMIFS('04_Base_Despesas'!$D$4:$D$219, '04_Base_Despesas'!$A$4:$A$219, B$85, '04_Base_Despesas'!$B$4:$B$219, "administrativo"))*(IFERROR(SUMIFS('03_Base_Vendas'!$I$4:$I$387, '03_Base_Vendas'!$A$4:$A$387, B$85, '03_Base_Vendas'!$B$4:$B$387, "loja_propria")/SUMIFS('03_Base_Vendas'!$I$4:$I$387, '03_Base_Vendas'!$A$4:$A$387, B$85),0))</f>
        <v>418.60021771318435</v>
      </c>
      <c r="C98" s="42">
        <f>(SUMIFS('04_Base_Despesas'!$D$4:$D$219, '04_Base_Despesas'!$A$4:$A$219, C$85, '04_Base_Despesas'!$B$4:$B$219, "administrativo"))*(IFERROR(SUMIFS('03_Base_Vendas'!$I$4:$I$387, '03_Base_Vendas'!$A$4:$A$387, C$85, '03_Base_Vendas'!$B$4:$B$387, "loja_propria")/SUMIFS('03_Base_Vendas'!$I$4:$I$387, '03_Base_Vendas'!$A$4:$A$387, C$85),0))</f>
        <v>332.49640169511235</v>
      </c>
      <c r="D98" s="42">
        <f>(SUMIFS('04_Base_Despesas'!$D$4:$D$219, '04_Base_Despesas'!$A$4:$A$219, D$85, '04_Base_Despesas'!$B$4:$B$219, "administrativo"))*(IFERROR(SUMIFS('03_Base_Vendas'!$I$4:$I$387, '03_Base_Vendas'!$A$4:$A$387, D$85, '03_Base_Vendas'!$B$4:$B$387, "loja_propria")/SUMIFS('03_Base_Vendas'!$I$4:$I$387, '03_Base_Vendas'!$A$4:$A$387, D$85),0))</f>
        <v>363.7016458713835</v>
      </c>
      <c r="E98" s="42">
        <f>(SUMIFS('04_Base_Despesas'!$D$4:$D$219, '04_Base_Despesas'!$A$4:$A$219, E$85, '04_Base_Despesas'!$B$4:$B$219, "administrativo"))*(IFERROR(SUMIFS('03_Base_Vendas'!$I$4:$I$387, '03_Base_Vendas'!$A$4:$A$387, E$85, '03_Base_Vendas'!$B$4:$B$387, "loja_propria")/SUMIFS('03_Base_Vendas'!$I$4:$I$387, '03_Base_Vendas'!$A$4:$A$387, E$85),0))</f>
        <v>759.49016901050629</v>
      </c>
      <c r="F98" s="42">
        <f>(SUMIFS('04_Base_Despesas'!$D$4:$D$219, '04_Base_Despesas'!$A$4:$A$219, F$85, '04_Base_Despesas'!$B$4:$B$219, "administrativo"))*(IFERROR(SUMIFS('03_Base_Vendas'!$I$4:$I$387, '03_Base_Vendas'!$A$4:$A$387, F$85, '03_Base_Vendas'!$B$4:$B$387, "loja_propria")/SUMIFS('03_Base_Vendas'!$I$4:$I$387, '03_Base_Vendas'!$A$4:$A$387, F$85),0))</f>
        <v>306.22848505284099</v>
      </c>
      <c r="G98" s="42">
        <f>(SUMIFS('04_Base_Despesas'!$D$4:$D$219, '04_Base_Despesas'!$A$4:$A$219, G$85, '04_Base_Despesas'!$B$4:$B$219, "administrativo"))*(IFERROR(SUMIFS('03_Base_Vendas'!$I$4:$I$387, '03_Base_Vendas'!$A$4:$A$387, G$85, '03_Base_Vendas'!$B$4:$B$387, "loja_propria")/SUMIFS('03_Base_Vendas'!$I$4:$I$387, '03_Base_Vendas'!$A$4:$A$387, G$85),0))</f>
        <v>361.44366415020306</v>
      </c>
      <c r="H98" s="42">
        <f>(SUMIFS('04_Base_Despesas'!$D$4:$D$219, '04_Base_Despesas'!$A$4:$A$219, H$85, '04_Base_Despesas'!$B$4:$B$219, "administrativo"))*(IFERROR(SUMIFS('03_Base_Vendas'!$I$4:$I$387, '03_Base_Vendas'!$A$4:$A$387, H$85, '03_Base_Vendas'!$B$4:$B$387, "loja_propria")/SUMIFS('03_Base_Vendas'!$I$4:$I$387, '03_Base_Vendas'!$A$4:$A$387, H$85),0))</f>
        <v>535.62795304156305</v>
      </c>
      <c r="I98" s="42">
        <f>(SUMIFS('04_Base_Despesas'!$D$4:$D$219, '04_Base_Despesas'!$A$4:$A$219, I$85, '04_Base_Despesas'!$B$4:$B$219, "administrativo"))*(IFERROR(SUMIFS('03_Base_Vendas'!$I$4:$I$387, '03_Base_Vendas'!$A$4:$A$387, I$85, '03_Base_Vendas'!$B$4:$B$387, "loja_propria")/SUMIFS('03_Base_Vendas'!$I$4:$I$387, '03_Base_Vendas'!$A$4:$A$387, I$85),0))</f>
        <v>333.69631836777171</v>
      </c>
      <c r="J98" s="42">
        <f>(SUMIFS('04_Base_Despesas'!$D$4:$D$219, '04_Base_Despesas'!$A$4:$A$219, J$85, '04_Base_Despesas'!$B$4:$B$219, "administrativo"))*(IFERROR(SUMIFS('03_Base_Vendas'!$I$4:$I$387, '03_Base_Vendas'!$A$4:$A$387, J$85, '03_Base_Vendas'!$B$4:$B$387, "loja_propria")/SUMIFS('03_Base_Vendas'!$I$4:$I$387, '03_Base_Vendas'!$A$4:$A$387, J$85),0))</f>
        <v>330.4244737432378</v>
      </c>
      <c r="K98" s="42">
        <f>(SUMIFS('04_Base_Despesas'!$D$4:$D$219, '04_Base_Despesas'!$A$4:$A$219, K$85, '04_Base_Despesas'!$B$4:$B$219, "administrativo"))*(IFERROR(SUMIFS('03_Base_Vendas'!$I$4:$I$387, '03_Base_Vendas'!$A$4:$A$387, K$85, '03_Base_Vendas'!$B$4:$B$387, "loja_propria")/SUMIFS('03_Base_Vendas'!$I$4:$I$387, '03_Base_Vendas'!$A$4:$A$387, K$85),0))</f>
        <v>442.41617568015317</v>
      </c>
      <c r="L98" s="42">
        <f>(SUMIFS('04_Base_Despesas'!$D$4:$D$219, '04_Base_Despesas'!$A$4:$A$219, L$85, '04_Base_Despesas'!$B$4:$B$219, "administrativo"))*(IFERROR(SUMIFS('03_Base_Vendas'!$I$4:$I$387, '03_Base_Vendas'!$A$4:$A$387, L$85, '03_Base_Vendas'!$B$4:$B$387, "loja_propria")/SUMIFS('03_Base_Vendas'!$I$4:$I$387, '03_Base_Vendas'!$A$4:$A$387, L$85),0))</f>
        <v>274.24464653401952</v>
      </c>
      <c r="M98" s="42">
        <f>(SUMIFS('04_Base_Despesas'!$D$4:$D$219, '04_Base_Despesas'!$A$4:$A$219, M$85, '04_Base_Despesas'!$B$4:$B$219, "administrativo"))*(IFERROR(SUMIFS('03_Base_Vendas'!$I$4:$I$387, '03_Base_Vendas'!$A$4:$A$387, M$85, '03_Base_Vendas'!$B$4:$B$387, "loja_propria")/SUMIFS('03_Base_Vendas'!$I$4:$I$387, '03_Base_Vendas'!$A$4:$A$387, M$85),0))</f>
        <v>290.21211908340319</v>
      </c>
      <c r="N98" s="42">
        <f>(SUMIFS('04_Base_Despesas'!$D$4:$D$219, '04_Base_Despesas'!$A$4:$A$219, N$85, '04_Base_Despesas'!$B$4:$B$219, "administrativo"))*(IFERROR(SUMIFS('03_Base_Vendas'!$I$4:$I$387, '03_Base_Vendas'!$A$4:$A$387, N$85, '03_Base_Vendas'!$B$4:$B$387, "loja_propria")/SUMIFS('03_Base_Vendas'!$I$4:$I$387, '03_Base_Vendas'!$A$4:$A$387, N$85),0))</f>
        <v>567.20139525305638</v>
      </c>
      <c r="O98" s="42">
        <f>(SUMIFS('04_Base_Despesas'!$D$4:$D$219, '04_Base_Despesas'!$A$4:$A$219, O$85, '04_Base_Despesas'!$B$4:$B$219, "administrativo"))*(IFERROR(SUMIFS('03_Base_Vendas'!$I$4:$I$387, '03_Base_Vendas'!$A$4:$A$387, O$85, '03_Base_Vendas'!$B$4:$B$387, "loja_propria")/SUMIFS('03_Base_Vendas'!$I$4:$I$387, '03_Base_Vendas'!$A$4:$A$387, O$85),0))</f>
        <v>273.22692303134164</v>
      </c>
      <c r="P98" s="42">
        <f>(SUMIFS('04_Base_Despesas'!$D$4:$D$219, '04_Base_Despesas'!$A$4:$A$219, P$85, '04_Base_Despesas'!$B$4:$B$219, "administrativo"))*(IFERROR(SUMIFS('03_Base_Vendas'!$I$4:$I$387, '03_Base_Vendas'!$A$4:$A$387, P$85, '03_Base_Vendas'!$B$4:$B$387, "loja_propria")/SUMIFS('03_Base_Vendas'!$I$4:$I$387, '03_Base_Vendas'!$A$4:$A$387, P$85),0))</f>
        <v>357.32822823952978</v>
      </c>
      <c r="Q98" s="42">
        <f>(SUMIFS('04_Base_Despesas'!$D$4:$D$219, '04_Base_Despesas'!$A$4:$A$219, Q$85, '04_Base_Despesas'!$B$4:$B$219, "administrativo"))*(IFERROR(SUMIFS('03_Base_Vendas'!$I$4:$I$387, '03_Base_Vendas'!$A$4:$A$387, Q$85, '03_Base_Vendas'!$B$4:$B$387, "loja_propria")/SUMIFS('03_Base_Vendas'!$I$4:$I$387, '03_Base_Vendas'!$A$4:$A$387, Q$85),0))</f>
        <v>574.04053901042982</v>
      </c>
      <c r="R98" s="42">
        <f>(SUMIFS('04_Base_Despesas'!$D$4:$D$219, '04_Base_Despesas'!$A$4:$A$219, R$85, '04_Base_Despesas'!$B$4:$B$219, "administrativo"))*(IFERROR(SUMIFS('03_Base_Vendas'!$I$4:$I$387, '03_Base_Vendas'!$A$4:$A$387, R$85, '03_Base_Vendas'!$B$4:$B$387, "loja_propria")/SUMIFS('03_Base_Vendas'!$I$4:$I$387, '03_Base_Vendas'!$A$4:$A$387, R$85),0))</f>
        <v>339.8612482672026</v>
      </c>
      <c r="S98" s="42">
        <f>(SUMIFS('04_Base_Despesas'!$D$4:$D$219, '04_Base_Despesas'!$A$4:$A$219, S$85, '04_Base_Despesas'!$B$4:$B$219, "administrativo"))*(IFERROR(SUMIFS('03_Base_Vendas'!$I$4:$I$387, '03_Base_Vendas'!$A$4:$A$387, S$85, '03_Base_Vendas'!$B$4:$B$387, "loja_propria")/SUMIFS('03_Base_Vendas'!$I$4:$I$387, '03_Base_Vendas'!$A$4:$A$387, S$85),0))</f>
        <v>348.73796859434492</v>
      </c>
      <c r="T98" s="42">
        <f>(SUMIFS('04_Base_Despesas'!$D$4:$D$219, '04_Base_Despesas'!$A$4:$A$219, T$85, '04_Base_Despesas'!$B$4:$B$219, "administrativo"))*(IFERROR(SUMIFS('03_Base_Vendas'!$I$4:$I$387, '03_Base_Vendas'!$A$4:$A$387, T$85, '03_Base_Vendas'!$B$4:$B$387, "loja_propria")/SUMIFS('03_Base_Vendas'!$I$4:$I$387, '03_Base_Vendas'!$A$4:$A$387, T$85),0))</f>
        <v>537.18206645750899</v>
      </c>
      <c r="U98" s="42">
        <f>(SUMIFS('04_Base_Despesas'!$D$4:$D$219, '04_Base_Despesas'!$A$4:$A$219, U$85, '04_Base_Despesas'!$B$4:$B$219, "administrativo"))*(IFERROR(SUMIFS('03_Base_Vendas'!$I$4:$I$387, '03_Base_Vendas'!$A$4:$A$387, U$85, '03_Base_Vendas'!$B$4:$B$387, "loja_propria")/SUMIFS('03_Base_Vendas'!$I$4:$I$387, '03_Base_Vendas'!$A$4:$A$387, U$85),0))</f>
        <v>425.29757601963564</v>
      </c>
      <c r="V98" s="42">
        <f>(SUMIFS('04_Base_Despesas'!$D$4:$D$219, '04_Base_Despesas'!$A$4:$A$219, V$85, '04_Base_Despesas'!$B$4:$B$219, "administrativo"))*(IFERROR(SUMIFS('03_Base_Vendas'!$I$4:$I$387, '03_Base_Vendas'!$A$4:$A$387, V$85, '03_Base_Vendas'!$B$4:$B$387, "loja_propria")/SUMIFS('03_Base_Vendas'!$I$4:$I$387, '03_Base_Vendas'!$A$4:$A$387, V$85),0))</f>
        <v>272.06390212419615</v>
      </c>
      <c r="W98" s="42">
        <f>(SUMIFS('04_Base_Despesas'!$D$4:$D$219, '04_Base_Despesas'!$A$4:$A$219, W$85, '04_Base_Despesas'!$B$4:$B$219, "administrativo"))*(IFERROR(SUMIFS('03_Base_Vendas'!$I$4:$I$387, '03_Base_Vendas'!$A$4:$A$387, W$85, '03_Base_Vendas'!$B$4:$B$387, "loja_propria")/SUMIFS('03_Base_Vendas'!$I$4:$I$387, '03_Base_Vendas'!$A$4:$A$387, W$85),0))</f>
        <v>580.08350356944436</v>
      </c>
      <c r="X98" s="42">
        <f>(SUMIFS('04_Base_Despesas'!$D$4:$D$219, '04_Base_Despesas'!$A$4:$A$219, X$85, '04_Base_Despesas'!$B$4:$B$219, "administrativo"))*(IFERROR(SUMIFS('03_Base_Vendas'!$I$4:$I$387, '03_Base_Vendas'!$A$4:$A$387, X$85, '03_Base_Vendas'!$B$4:$B$387, "loja_propria")/SUMIFS('03_Base_Vendas'!$I$4:$I$387, '03_Base_Vendas'!$A$4:$A$387, X$85),0))</f>
        <v>363.47317523251058</v>
      </c>
      <c r="Y98" s="42">
        <f>(SUMIFS('04_Base_Despesas'!$D$4:$D$219, '04_Base_Despesas'!$A$4:$A$219, Y$85, '04_Base_Despesas'!$B$4:$B$219, "administrativo"))*(IFERROR(SUMIFS('03_Base_Vendas'!$I$4:$I$387, '03_Base_Vendas'!$A$4:$A$387, Y$85, '03_Base_Vendas'!$B$4:$B$387, "loja_propria")/SUMIFS('03_Base_Vendas'!$I$4:$I$387, '03_Base_Vendas'!$A$4:$A$387, Y$85),0))</f>
        <v>311.06437558016927</v>
      </c>
      <c r="Z98" s="43">
        <f t="shared" si="37"/>
        <v>9698.1431713227466</v>
      </c>
    </row>
    <row r="99" spans="1:26" x14ac:dyDescent="0.25">
      <c r="A99" s="41" t="s">
        <v>344</v>
      </c>
      <c r="B99" s="42">
        <f>(SUMIFS('04_Base_Despesas'!$D$4:$D$219, '04_Base_Despesas'!$A$4:$A$219, B$85, '04_Base_Despesas'!$B$4:$B$219, "outros"))*(IFERROR(SUMIFS('03_Base_Vendas'!$I$4:$I$387, '03_Base_Vendas'!$A$4:$A$387, B$85, '03_Base_Vendas'!$B$4:$B$387, "loja_propria")/SUMIFS('03_Base_Vendas'!$I$4:$I$387, '03_Base_Vendas'!$A$4:$A$387, B$85),0))</f>
        <v>80.624364592828442</v>
      </c>
      <c r="C99" s="42">
        <f>(SUMIFS('04_Base_Despesas'!$D$4:$D$219, '04_Base_Despesas'!$A$4:$A$219, C$85, '04_Base_Despesas'!$B$4:$B$219, "outros"))*(IFERROR(SUMIFS('03_Base_Vendas'!$I$4:$I$387, '03_Base_Vendas'!$A$4:$A$387, C$85, '03_Base_Vendas'!$B$4:$B$387, "loja_propria")/SUMIFS('03_Base_Vendas'!$I$4:$I$387, '03_Base_Vendas'!$A$4:$A$387, C$85),0))</f>
        <v>116.86184531097774</v>
      </c>
      <c r="D99" s="42">
        <f>(SUMIFS('04_Base_Despesas'!$D$4:$D$219, '04_Base_Despesas'!$A$4:$A$219, D$85, '04_Base_Despesas'!$B$4:$B$219, "outros"))*(IFERROR(SUMIFS('03_Base_Vendas'!$I$4:$I$387, '03_Base_Vendas'!$A$4:$A$387, D$85, '03_Base_Vendas'!$B$4:$B$387, "loja_propria")/SUMIFS('03_Base_Vendas'!$I$4:$I$387, '03_Base_Vendas'!$A$4:$A$387, D$85),0))</f>
        <v>125.81312814641245</v>
      </c>
      <c r="E99" s="42">
        <f>(SUMIFS('04_Base_Despesas'!$D$4:$D$219, '04_Base_Despesas'!$A$4:$A$219, E$85, '04_Base_Despesas'!$B$4:$B$219, "outros"))*(IFERROR(SUMIFS('03_Base_Vendas'!$I$4:$I$387, '03_Base_Vendas'!$A$4:$A$387, E$85, '03_Base_Vendas'!$B$4:$B$387, "loja_propria")/SUMIFS('03_Base_Vendas'!$I$4:$I$387, '03_Base_Vendas'!$A$4:$A$387, E$85),0))</f>
        <v>114.74979721943443</v>
      </c>
      <c r="F99" s="42">
        <f>(SUMIFS('04_Base_Despesas'!$D$4:$D$219, '04_Base_Despesas'!$A$4:$A$219, F$85, '04_Base_Despesas'!$B$4:$B$219, "outros"))*(IFERROR(SUMIFS('03_Base_Vendas'!$I$4:$I$387, '03_Base_Vendas'!$A$4:$A$387, F$85, '03_Base_Vendas'!$B$4:$B$387, "loja_propria")/SUMIFS('03_Base_Vendas'!$I$4:$I$387, '03_Base_Vendas'!$A$4:$A$387, F$85),0))</f>
        <v>94.774041382033658</v>
      </c>
      <c r="G99" s="42">
        <f>(SUMIFS('04_Base_Despesas'!$D$4:$D$219, '04_Base_Despesas'!$A$4:$A$219, G$85, '04_Base_Despesas'!$B$4:$B$219, "outros"))*(IFERROR(SUMIFS('03_Base_Vendas'!$I$4:$I$387, '03_Base_Vendas'!$A$4:$A$387, G$85, '03_Base_Vendas'!$B$4:$B$387, "loja_propria")/SUMIFS('03_Base_Vendas'!$I$4:$I$387, '03_Base_Vendas'!$A$4:$A$387, G$85),0))</f>
        <v>111.44320208010382</v>
      </c>
      <c r="H99" s="42">
        <f>(SUMIFS('04_Base_Despesas'!$D$4:$D$219, '04_Base_Despesas'!$A$4:$A$219, H$85, '04_Base_Despesas'!$B$4:$B$219, "outros"))*(IFERROR(SUMIFS('03_Base_Vendas'!$I$4:$I$387, '03_Base_Vendas'!$A$4:$A$387, H$85, '03_Base_Vendas'!$B$4:$B$387, "loja_propria")/SUMIFS('03_Base_Vendas'!$I$4:$I$387, '03_Base_Vendas'!$A$4:$A$387, H$85),0))</f>
        <v>124.00396389315179</v>
      </c>
      <c r="I99" s="42">
        <f>(SUMIFS('04_Base_Despesas'!$D$4:$D$219, '04_Base_Despesas'!$A$4:$A$219, I$85, '04_Base_Despesas'!$B$4:$B$219, "outros"))*(IFERROR(SUMIFS('03_Base_Vendas'!$I$4:$I$387, '03_Base_Vendas'!$A$4:$A$387, I$85, '03_Base_Vendas'!$B$4:$B$387, "loja_propria")/SUMIFS('03_Base_Vendas'!$I$4:$I$387, '03_Base_Vendas'!$A$4:$A$387, I$85),0))</f>
        <v>116.63487198117704</v>
      </c>
      <c r="J99" s="42">
        <f>(SUMIFS('04_Base_Despesas'!$D$4:$D$219, '04_Base_Despesas'!$A$4:$A$219, J$85, '04_Base_Despesas'!$B$4:$B$219, "outros"))*(IFERROR(SUMIFS('03_Base_Vendas'!$I$4:$I$387, '03_Base_Vendas'!$A$4:$A$387, J$85, '03_Base_Vendas'!$B$4:$B$387, "loja_propria")/SUMIFS('03_Base_Vendas'!$I$4:$I$387, '03_Base_Vendas'!$A$4:$A$387, J$85),0))</f>
        <v>138.81848518294979</v>
      </c>
      <c r="K99" s="42">
        <f>(SUMIFS('04_Base_Despesas'!$D$4:$D$219, '04_Base_Despesas'!$A$4:$A$219, K$85, '04_Base_Despesas'!$B$4:$B$219, "outros"))*(IFERROR(SUMIFS('03_Base_Vendas'!$I$4:$I$387, '03_Base_Vendas'!$A$4:$A$387, K$85, '03_Base_Vendas'!$B$4:$B$387, "loja_propria")/SUMIFS('03_Base_Vendas'!$I$4:$I$387, '03_Base_Vendas'!$A$4:$A$387, K$85),0))</f>
        <v>110.37637831924729</v>
      </c>
      <c r="L99" s="42">
        <f>(SUMIFS('04_Base_Despesas'!$D$4:$D$219, '04_Base_Despesas'!$A$4:$A$219, L$85, '04_Base_Despesas'!$B$4:$B$219, "outros"))*(IFERROR(SUMIFS('03_Base_Vendas'!$I$4:$I$387, '03_Base_Vendas'!$A$4:$A$387, L$85, '03_Base_Vendas'!$B$4:$B$387, "loja_propria")/SUMIFS('03_Base_Vendas'!$I$4:$I$387, '03_Base_Vendas'!$A$4:$A$387, L$85),0))</f>
        <v>87.445647993837454</v>
      </c>
      <c r="M99" s="42">
        <f>(SUMIFS('04_Base_Despesas'!$D$4:$D$219, '04_Base_Despesas'!$A$4:$A$219, M$85, '04_Base_Despesas'!$B$4:$B$219, "outros"))*(IFERROR(SUMIFS('03_Base_Vendas'!$I$4:$I$387, '03_Base_Vendas'!$A$4:$A$387, M$85, '03_Base_Vendas'!$B$4:$B$387, "loja_propria")/SUMIFS('03_Base_Vendas'!$I$4:$I$387, '03_Base_Vendas'!$A$4:$A$387, M$85),0))</f>
        <v>89.052169164980441</v>
      </c>
      <c r="N99" s="42">
        <f>(SUMIFS('04_Base_Despesas'!$D$4:$D$219, '04_Base_Despesas'!$A$4:$A$219, N$85, '04_Base_Despesas'!$B$4:$B$219, "outros"))*(IFERROR(SUMIFS('03_Base_Vendas'!$I$4:$I$387, '03_Base_Vendas'!$A$4:$A$387, N$85, '03_Base_Vendas'!$B$4:$B$387, "loja_propria")/SUMIFS('03_Base_Vendas'!$I$4:$I$387, '03_Base_Vendas'!$A$4:$A$387, N$85),0))</f>
        <v>73.501488441619443</v>
      </c>
      <c r="O99" s="42">
        <f>(SUMIFS('04_Base_Despesas'!$D$4:$D$219, '04_Base_Despesas'!$A$4:$A$219, O$85, '04_Base_Despesas'!$B$4:$B$219, "outros"))*(IFERROR(SUMIFS('03_Base_Vendas'!$I$4:$I$387, '03_Base_Vendas'!$A$4:$A$387, O$85, '03_Base_Vendas'!$B$4:$B$387, "loja_propria")/SUMIFS('03_Base_Vendas'!$I$4:$I$387, '03_Base_Vendas'!$A$4:$A$387, O$85),0))</f>
        <v>69.166032867977421</v>
      </c>
      <c r="P99" s="42">
        <f>(SUMIFS('04_Base_Despesas'!$D$4:$D$219, '04_Base_Despesas'!$A$4:$A$219, P$85, '04_Base_Despesas'!$B$4:$B$219, "outros"))*(IFERROR(SUMIFS('03_Base_Vendas'!$I$4:$I$387, '03_Base_Vendas'!$A$4:$A$387, P$85, '03_Base_Vendas'!$B$4:$B$387, "loja_propria")/SUMIFS('03_Base_Vendas'!$I$4:$I$387, '03_Base_Vendas'!$A$4:$A$387, P$85),0))</f>
        <v>131.81266614591073</v>
      </c>
      <c r="Q99" s="42">
        <f>(SUMIFS('04_Base_Despesas'!$D$4:$D$219, '04_Base_Despesas'!$A$4:$A$219, Q$85, '04_Base_Despesas'!$B$4:$B$219, "outros"))*(IFERROR(SUMIFS('03_Base_Vendas'!$I$4:$I$387, '03_Base_Vendas'!$A$4:$A$387, Q$85, '03_Base_Vendas'!$B$4:$B$387, "loja_propria")/SUMIFS('03_Base_Vendas'!$I$4:$I$387, '03_Base_Vendas'!$A$4:$A$387, Q$85),0))</f>
        <v>112.97467384515484</v>
      </c>
      <c r="R99" s="42">
        <f>(SUMIFS('04_Base_Despesas'!$D$4:$D$219, '04_Base_Despesas'!$A$4:$A$219, R$85, '04_Base_Despesas'!$B$4:$B$219, "outros"))*(IFERROR(SUMIFS('03_Base_Vendas'!$I$4:$I$387, '03_Base_Vendas'!$A$4:$A$387, R$85, '03_Base_Vendas'!$B$4:$B$387, "loja_propria")/SUMIFS('03_Base_Vendas'!$I$4:$I$387, '03_Base_Vendas'!$A$4:$A$387, R$85),0))</f>
        <v>117.40485811084106</v>
      </c>
      <c r="S99" s="42">
        <f>(SUMIFS('04_Base_Despesas'!$D$4:$D$219, '04_Base_Despesas'!$A$4:$A$219, S$85, '04_Base_Despesas'!$B$4:$B$219, "outros"))*(IFERROR(SUMIFS('03_Base_Vendas'!$I$4:$I$387, '03_Base_Vendas'!$A$4:$A$387, S$85, '03_Base_Vendas'!$B$4:$B$387, "loja_propria")/SUMIFS('03_Base_Vendas'!$I$4:$I$387, '03_Base_Vendas'!$A$4:$A$387, S$85),0))</f>
        <v>139.49016559090285</v>
      </c>
      <c r="T99" s="42">
        <f>(SUMIFS('04_Base_Despesas'!$D$4:$D$219, '04_Base_Despesas'!$A$4:$A$219, T$85, '04_Base_Despesas'!$B$4:$B$219, "outros"))*(IFERROR(SUMIFS('03_Base_Vendas'!$I$4:$I$387, '03_Base_Vendas'!$A$4:$A$387, T$85, '03_Base_Vendas'!$B$4:$B$387, "loja_propria")/SUMIFS('03_Base_Vendas'!$I$4:$I$387, '03_Base_Vendas'!$A$4:$A$387, T$85),0))</f>
        <v>105.58099667331874</v>
      </c>
      <c r="U99" s="42">
        <f>(SUMIFS('04_Base_Despesas'!$D$4:$D$219, '04_Base_Despesas'!$A$4:$A$219, U$85, '04_Base_Despesas'!$B$4:$B$219, "outros"))*(IFERROR(SUMIFS('03_Base_Vendas'!$I$4:$I$387, '03_Base_Vendas'!$A$4:$A$387, U$85, '03_Base_Vendas'!$B$4:$B$387, "loja_propria")/SUMIFS('03_Base_Vendas'!$I$4:$I$387, '03_Base_Vendas'!$A$4:$A$387, U$85),0))</f>
        <v>180.02165916789545</v>
      </c>
      <c r="V99" s="42">
        <f>(SUMIFS('04_Base_Despesas'!$D$4:$D$219, '04_Base_Despesas'!$A$4:$A$219, V$85, '04_Base_Despesas'!$B$4:$B$219, "outros"))*(IFERROR(SUMIFS('03_Base_Vendas'!$I$4:$I$387, '03_Base_Vendas'!$A$4:$A$387, V$85, '03_Base_Vendas'!$B$4:$B$387, "loja_propria")/SUMIFS('03_Base_Vendas'!$I$4:$I$387, '03_Base_Vendas'!$A$4:$A$387, V$85),0))</f>
        <v>97.566468324170728</v>
      </c>
      <c r="W99" s="42">
        <f>(SUMIFS('04_Base_Despesas'!$D$4:$D$219, '04_Base_Despesas'!$A$4:$A$219, W$85, '04_Base_Despesas'!$B$4:$B$219, "outros"))*(IFERROR(SUMIFS('03_Base_Vendas'!$I$4:$I$387, '03_Base_Vendas'!$A$4:$A$387, W$85, '03_Base_Vendas'!$B$4:$B$387, "loja_propria")/SUMIFS('03_Base_Vendas'!$I$4:$I$387, '03_Base_Vendas'!$A$4:$A$387, W$85),0))</f>
        <v>110.46229062846378</v>
      </c>
      <c r="X99" s="42">
        <f>(SUMIFS('04_Base_Despesas'!$D$4:$D$219, '04_Base_Despesas'!$A$4:$A$219, X$85, '04_Base_Despesas'!$B$4:$B$219, "outros"))*(IFERROR(SUMIFS('03_Base_Vendas'!$I$4:$I$387, '03_Base_Vendas'!$A$4:$A$387, X$85, '03_Base_Vendas'!$B$4:$B$387, "loja_propria")/SUMIFS('03_Base_Vendas'!$I$4:$I$387, '03_Base_Vendas'!$A$4:$A$387, X$85),0))</f>
        <v>129.38627313386723</v>
      </c>
      <c r="Y99" s="42">
        <f>(SUMIFS('04_Base_Despesas'!$D$4:$D$219, '04_Base_Despesas'!$A$4:$A$219, Y$85, '04_Base_Despesas'!$B$4:$B$219, "outros"))*(IFERROR(SUMIFS('03_Base_Vendas'!$I$4:$I$387, '03_Base_Vendas'!$A$4:$A$387, Y$85, '03_Base_Vendas'!$B$4:$B$387, "loja_propria")/SUMIFS('03_Base_Vendas'!$I$4:$I$387, '03_Base_Vendas'!$A$4:$A$387, Y$85),0))</f>
        <v>80.686366252988947</v>
      </c>
      <c r="Z99" s="43">
        <f t="shared" si="37"/>
        <v>2658.6518344502456</v>
      </c>
    </row>
    <row r="100" spans="1:26" x14ac:dyDescent="0.25">
      <c r="A100" s="44" t="s">
        <v>345</v>
      </c>
      <c r="B100" s="45">
        <f t="shared" ref="B100:Y100" si="38">B93+B94+B95+B96+B97+B98+B99</f>
        <v>10045.393638570036</v>
      </c>
      <c r="C100" s="45">
        <f t="shared" si="38"/>
        <v>12359.387335638654</v>
      </c>
      <c r="D100" s="45">
        <f t="shared" si="38"/>
        <v>13151.128547647693</v>
      </c>
      <c r="E100" s="45">
        <f t="shared" si="38"/>
        <v>15671.537544524181</v>
      </c>
      <c r="F100" s="45">
        <f t="shared" si="38"/>
        <v>12043.152974271936</v>
      </c>
      <c r="G100" s="45">
        <f t="shared" si="38"/>
        <v>14054.060257941357</v>
      </c>
      <c r="H100" s="45">
        <f t="shared" si="38"/>
        <v>11830.680444858486</v>
      </c>
      <c r="I100" s="45">
        <f t="shared" si="38"/>
        <v>12704.46087197761</v>
      </c>
      <c r="J100" s="45">
        <f t="shared" si="38"/>
        <v>12818.201274237046</v>
      </c>
      <c r="K100" s="45">
        <f t="shared" si="38"/>
        <v>9660.8557052397973</v>
      </c>
      <c r="L100" s="45">
        <f t="shared" si="38"/>
        <v>10562.375693319944</v>
      </c>
      <c r="M100" s="45">
        <f t="shared" si="38"/>
        <v>11529.172112887587</v>
      </c>
      <c r="N100" s="45">
        <f t="shared" si="38"/>
        <v>12123.173086127867</v>
      </c>
      <c r="O100" s="45">
        <f t="shared" si="38"/>
        <v>10221.003239200139</v>
      </c>
      <c r="P100" s="45">
        <f t="shared" si="38"/>
        <v>14136.269183948603</v>
      </c>
      <c r="Q100" s="45">
        <f t="shared" si="38"/>
        <v>12171.090468585428</v>
      </c>
      <c r="R100" s="45">
        <f t="shared" si="38"/>
        <v>14015.406475508029</v>
      </c>
      <c r="S100" s="45">
        <f t="shared" si="38"/>
        <v>13241.132844335752</v>
      </c>
      <c r="T100" s="45">
        <f t="shared" si="38"/>
        <v>12253.124135518596</v>
      </c>
      <c r="U100" s="45">
        <f t="shared" si="38"/>
        <v>15983.659390052449</v>
      </c>
      <c r="V100" s="45">
        <f t="shared" si="38"/>
        <v>9982.8701435445582</v>
      </c>
      <c r="W100" s="45">
        <f t="shared" si="38"/>
        <v>12627.447619820994</v>
      </c>
      <c r="X100" s="45">
        <f t="shared" si="38"/>
        <v>14276.329271336541</v>
      </c>
      <c r="Y100" s="45">
        <f t="shared" si="38"/>
        <v>10848.92254868943</v>
      </c>
      <c r="Z100" s="43">
        <f t="shared" si="37"/>
        <v>298310.83480778272</v>
      </c>
    </row>
    <row r="101" spans="1:26" x14ac:dyDescent="0.25">
      <c r="A101" s="44" t="s">
        <v>115</v>
      </c>
      <c r="B101" s="45">
        <f t="shared" ref="B101:Y101" si="39">B91-B100</f>
        <v>-1892.7236385700362</v>
      </c>
      <c r="C101" s="45">
        <f t="shared" si="39"/>
        <v>-4079.8073356386521</v>
      </c>
      <c r="D101" s="45">
        <f t="shared" si="39"/>
        <v>-1723.1685476476941</v>
      </c>
      <c r="E101" s="45">
        <f t="shared" si="39"/>
        <v>-3824.1875445241822</v>
      </c>
      <c r="F101" s="45">
        <f t="shared" si="39"/>
        <v>960.98702572806178</v>
      </c>
      <c r="G101" s="45">
        <f t="shared" si="39"/>
        <v>-1384.0102579413578</v>
      </c>
      <c r="H101" s="45">
        <f t="shared" si="39"/>
        <v>-3701.6804448584835</v>
      </c>
      <c r="I101" s="45">
        <f t="shared" si="39"/>
        <v>-4115.4408719776111</v>
      </c>
      <c r="J101" s="45">
        <f t="shared" si="39"/>
        <v>-4038.1212742370481</v>
      </c>
      <c r="K101" s="45">
        <f t="shared" si="39"/>
        <v>-2441.1657052398004</v>
      </c>
      <c r="L101" s="45">
        <f t="shared" si="39"/>
        <v>360.84430668006098</v>
      </c>
      <c r="M101" s="45">
        <f t="shared" si="39"/>
        <v>408.73788711241286</v>
      </c>
      <c r="N101" s="45">
        <f t="shared" si="39"/>
        <v>-1516.7330861278679</v>
      </c>
      <c r="O101" s="45">
        <f t="shared" si="39"/>
        <v>-2025.0732392001373</v>
      </c>
      <c r="P101" s="45">
        <f t="shared" si="39"/>
        <v>-2092.3591839486071</v>
      </c>
      <c r="Q101" s="45">
        <f t="shared" si="39"/>
        <v>-2733.7504685854256</v>
      </c>
      <c r="R101" s="45">
        <f t="shared" si="39"/>
        <v>305.1935244919714</v>
      </c>
      <c r="S101" s="45">
        <f t="shared" si="39"/>
        <v>-35.33284433575318</v>
      </c>
      <c r="T101" s="45">
        <f t="shared" si="39"/>
        <v>-2296.5341355185956</v>
      </c>
      <c r="U101" s="45">
        <f t="shared" si="39"/>
        <v>-2704.1393900524545</v>
      </c>
      <c r="V101" s="45">
        <f t="shared" si="39"/>
        <v>-1307.5601435445642</v>
      </c>
      <c r="W101" s="45">
        <f t="shared" si="39"/>
        <v>-1295.0676198209949</v>
      </c>
      <c r="X101" s="45">
        <f t="shared" si="39"/>
        <v>4399.8807286634583</v>
      </c>
      <c r="Y101" s="45">
        <f t="shared" si="39"/>
        <v>1623.0874513105682</v>
      </c>
      <c r="Z101" s="43">
        <f t="shared" si="37"/>
        <v>-35148.124807782733</v>
      </c>
    </row>
    <row r="102" spans="1:26" x14ac:dyDescent="0.25">
      <c r="A102" s="41" t="s">
        <v>346</v>
      </c>
      <c r="B102" s="46">
        <f t="shared" ref="B102:Y102" si="40">IFERROR(B101/B89,0)</f>
        <v>-0.12384487088088847</v>
      </c>
      <c r="C102" s="46">
        <f t="shared" si="40"/>
        <v>-0.24597230484152136</v>
      </c>
      <c r="D102" s="46">
        <f t="shared" si="40"/>
        <v>-7.7873222666605249E-2</v>
      </c>
      <c r="E102" s="46">
        <f t="shared" si="40"/>
        <v>-0.16412145870917688</v>
      </c>
      <c r="F102" s="46">
        <f t="shared" si="40"/>
        <v>4.0233509302316485E-2</v>
      </c>
      <c r="G102" s="46">
        <f t="shared" si="40"/>
        <v>-5.6402686848464459E-2</v>
      </c>
      <c r="H102" s="46">
        <f t="shared" si="40"/>
        <v>-0.22746453132598829</v>
      </c>
      <c r="I102" s="46">
        <f t="shared" si="40"/>
        <v>-0.23911203200083733</v>
      </c>
      <c r="J102" s="46">
        <f t="shared" si="40"/>
        <v>-0.22639637878918289</v>
      </c>
      <c r="K102" s="46">
        <f t="shared" si="40"/>
        <v>-0.16881706791640913</v>
      </c>
      <c r="L102" s="46">
        <f t="shared" si="40"/>
        <v>1.6199374491814255E-2</v>
      </c>
      <c r="M102" s="46">
        <f t="shared" si="40"/>
        <v>1.7884600852553573E-2</v>
      </c>
      <c r="N102" s="46">
        <f t="shared" si="40"/>
        <v>-6.9270629844676232E-2</v>
      </c>
      <c r="O102" s="46">
        <f t="shared" si="40"/>
        <v>-0.12766982556835524</v>
      </c>
      <c r="P102" s="46">
        <f t="shared" si="40"/>
        <v>-8.5680755726402935E-2</v>
      </c>
      <c r="Q102" s="46">
        <f t="shared" si="40"/>
        <v>-0.14730028824703797</v>
      </c>
      <c r="R102" s="46">
        <f t="shared" si="40"/>
        <v>1.0740914443280869E-2</v>
      </c>
      <c r="S102" s="46">
        <f t="shared" si="40"/>
        <v>-1.3721535575937005E-3</v>
      </c>
      <c r="T102" s="46">
        <f t="shared" si="40"/>
        <v>-0.1158254698020327</v>
      </c>
      <c r="U102" s="46">
        <f t="shared" si="40"/>
        <v>-0.10517560153151954</v>
      </c>
      <c r="V102" s="46">
        <f t="shared" si="40"/>
        <v>-7.6861725417550972E-2</v>
      </c>
      <c r="W102" s="46">
        <f t="shared" si="40"/>
        <v>-5.9372700336687297E-2</v>
      </c>
      <c r="X102" s="46">
        <f t="shared" si="40"/>
        <v>0.12186792949260182</v>
      </c>
      <c r="Y102" s="46">
        <f t="shared" si="40"/>
        <v>6.7145087267800066E-2</v>
      </c>
      <c r="Z102" s="47">
        <f>IFERROR($Z$101/$Z$89,0)</f>
        <v>-6.8093685806958723E-2</v>
      </c>
    </row>
    <row r="103" spans="1:26" x14ac:dyDescent="0.25">
      <c r="A103" s="41" t="s">
        <v>347</v>
      </c>
      <c r="B103" s="42">
        <f>(SUMIFS('04_Base_Despesas'!$D$4:$D$219, '04_Base_Despesas'!$A$4:$A$219, B$85, '04_Base_Despesas'!$B$4:$B$219, "depreciacao"))*(IFERROR(SUMIFS('03_Base_Vendas'!$I$4:$I$387, '03_Base_Vendas'!$A$4:$A$387, B$85, '03_Base_Vendas'!$B$4:$B$387, "loja_propria")/SUMIFS('03_Base_Vendas'!$I$4:$I$387, '03_Base_Vendas'!$A$4:$A$387, B$85),0))</f>
        <v>224.1168465443269</v>
      </c>
      <c r="C103" s="42">
        <f>(SUMIFS('04_Base_Despesas'!$D$4:$D$219, '04_Base_Despesas'!$A$4:$A$219, C$85, '04_Base_Despesas'!$B$4:$B$219, "depreciacao"))*(IFERROR(SUMIFS('03_Base_Vendas'!$I$4:$I$387, '03_Base_Vendas'!$A$4:$A$387, C$85, '03_Base_Vendas'!$B$4:$B$387, "loja_propria")/SUMIFS('03_Base_Vendas'!$I$4:$I$387, '03_Base_Vendas'!$A$4:$A$387, C$85),0))</f>
        <v>292.59683349169887</v>
      </c>
      <c r="D103" s="42">
        <f>(SUMIFS('04_Base_Despesas'!$D$4:$D$219, '04_Base_Despesas'!$A$4:$A$219, D$85, '04_Base_Despesas'!$B$4:$B$219, "depreciacao"))*(IFERROR(SUMIFS('03_Base_Vendas'!$I$4:$I$387, '03_Base_Vendas'!$A$4:$A$387, D$85, '03_Base_Vendas'!$B$4:$B$387, "loja_propria")/SUMIFS('03_Base_Vendas'!$I$4:$I$387, '03_Base_Vendas'!$A$4:$A$387, D$85),0))</f>
        <v>320.05599356023396</v>
      </c>
      <c r="E103" s="42">
        <f>(SUMIFS('04_Base_Despesas'!$D$4:$D$219, '04_Base_Despesas'!$A$4:$A$219, E$85, '04_Base_Despesas'!$B$4:$B$219, "depreciacao"))*(IFERROR(SUMIFS('03_Base_Vendas'!$I$4:$I$387, '03_Base_Vendas'!$A$4:$A$387, E$85, '03_Base_Vendas'!$B$4:$B$387, "loja_propria")/SUMIFS('03_Base_Vendas'!$I$4:$I$387, '03_Base_Vendas'!$A$4:$A$387, E$85),0))</f>
        <v>366.63772621419434</v>
      </c>
      <c r="F103" s="42">
        <f>(SUMIFS('04_Base_Despesas'!$D$4:$D$219, '04_Base_Despesas'!$A$4:$A$219, F$85, '04_Base_Despesas'!$B$4:$B$219, "depreciacao"))*(IFERROR(SUMIFS('03_Base_Vendas'!$I$4:$I$387, '03_Base_Vendas'!$A$4:$A$387, F$85, '03_Base_Vendas'!$B$4:$B$387, "loja_propria")/SUMIFS('03_Base_Vendas'!$I$4:$I$387, '03_Base_Vendas'!$A$4:$A$387, F$85),0))</f>
        <v>269.47984193255985</v>
      </c>
      <c r="G103" s="42">
        <f>(SUMIFS('04_Base_Despesas'!$D$4:$D$219, '04_Base_Despesas'!$A$4:$A$219, G$85, '04_Base_Despesas'!$B$4:$B$219, "depreciacao"))*(IFERROR(SUMIFS('03_Base_Vendas'!$I$4:$I$387, '03_Base_Vendas'!$A$4:$A$387, G$85, '03_Base_Vendas'!$B$4:$B$387, "loja_propria")/SUMIFS('03_Base_Vendas'!$I$4:$I$387, '03_Base_Vendas'!$A$4:$A$387, G$85),0))</f>
        <v>318.06897867752207</v>
      </c>
      <c r="H103" s="42">
        <f>(SUMIFS('04_Base_Despesas'!$D$4:$D$219, '04_Base_Despesas'!$A$4:$A$219, H$85, '04_Base_Despesas'!$B$4:$B$219, "depreciacao"))*(IFERROR(SUMIFS('03_Base_Vendas'!$I$4:$I$387, '03_Base_Vendas'!$A$4:$A$387, H$85, '03_Base_Vendas'!$B$4:$B$387, "loja_propria")/SUMIFS('03_Base_Vendas'!$I$4:$I$387, '03_Base_Vendas'!$A$4:$A$387, H$85),0))</f>
        <v>277.0856834781984</v>
      </c>
      <c r="I103" s="42">
        <f>(SUMIFS('04_Base_Despesas'!$D$4:$D$219, '04_Base_Despesas'!$A$4:$A$219, I$85, '04_Base_Despesas'!$B$4:$B$219, "depreciacao"))*(IFERROR(SUMIFS('03_Base_Vendas'!$I$4:$I$387, '03_Base_Vendas'!$A$4:$A$387, I$85, '03_Base_Vendas'!$B$4:$B$387, "loja_propria")/SUMIFS('03_Base_Vendas'!$I$4:$I$387, '03_Base_Vendas'!$A$4:$A$387, I$85),0))</f>
        <v>293.65276016363913</v>
      </c>
      <c r="J103" s="42">
        <f>(SUMIFS('04_Base_Despesas'!$D$4:$D$219, '04_Base_Despesas'!$A$4:$A$219, J$85, '04_Base_Despesas'!$B$4:$B$219, "depreciacao"))*(IFERROR(SUMIFS('03_Base_Vendas'!$I$4:$I$387, '03_Base_Vendas'!$A$4:$A$387, J$85, '03_Base_Vendas'!$B$4:$B$387, "loja_propria")/SUMIFS('03_Base_Vendas'!$I$4:$I$387, '03_Base_Vendas'!$A$4:$A$387, J$85),0))</f>
        <v>290.77337828966745</v>
      </c>
      <c r="K103" s="42">
        <f>(SUMIFS('04_Base_Despesas'!$D$4:$D$219, '04_Base_Despesas'!$A$4:$A$219, K$85, '04_Base_Despesas'!$B$4:$B$219, "depreciacao"))*(IFERROR(SUMIFS('03_Base_Vendas'!$I$4:$I$387, '03_Base_Vendas'!$A$4:$A$387, K$85, '03_Base_Vendas'!$B$4:$B$387, "loja_propria")/SUMIFS('03_Base_Vendas'!$I$4:$I$387, '03_Base_Vendas'!$A$4:$A$387, K$85),0))</f>
        <v>214.50292151613803</v>
      </c>
      <c r="L103" s="42">
        <f>(SUMIFS('04_Base_Despesas'!$D$4:$D$219, '04_Base_Despesas'!$A$4:$A$219, L$85, '04_Base_Despesas'!$B$4:$B$219, "depreciacao"))*(IFERROR(SUMIFS('03_Base_Vendas'!$I$4:$I$387, '03_Base_Vendas'!$A$4:$A$387, L$85, '03_Base_Vendas'!$B$4:$B$387, "loja_propria")/SUMIFS('03_Base_Vendas'!$I$4:$I$387, '03_Base_Vendas'!$A$4:$A$387, L$85),0))</f>
        <v>241.33528894993717</v>
      </c>
      <c r="M103" s="42">
        <f>(SUMIFS('04_Base_Despesas'!$D$4:$D$219, '04_Base_Despesas'!$A$4:$A$219, M$85, '04_Base_Despesas'!$B$4:$B$219, "depreciacao"))*(IFERROR(SUMIFS('03_Base_Vendas'!$I$4:$I$387, '03_Base_Vendas'!$A$4:$A$387, M$85, '03_Base_Vendas'!$B$4:$B$387, "loja_propria")/SUMIFS('03_Base_Vendas'!$I$4:$I$387, '03_Base_Vendas'!$A$4:$A$387, M$85),0))</f>
        <v>255.38666479339483</v>
      </c>
      <c r="N103" s="42">
        <f>(SUMIFS('04_Base_Despesas'!$D$4:$D$219, '04_Base_Despesas'!$A$4:$A$219, N$85, '04_Base_Despesas'!$B$4:$B$219, "depreciacao"))*(IFERROR(SUMIFS('03_Base_Vendas'!$I$4:$I$387, '03_Base_Vendas'!$A$4:$A$387, N$85, '03_Base_Vendas'!$B$4:$B$387, "loja_propria")/SUMIFS('03_Base_Vendas'!$I$4:$I$387, '03_Base_Vendas'!$A$4:$A$387, N$85),0))</f>
        <v>274.1012214319469</v>
      </c>
      <c r="O103" s="42">
        <f>(SUMIFS('04_Base_Despesas'!$D$4:$D$219, '04_Base_Despesas'!$A$4:$A$219, O$85, '04_Base_Despesas'!$B$4:$B$219, "depreciacao"))*(IFERROR(SUMIFS('03_Base_Vendas'!$I$4:$I$387, '03_Base_Vendas'!$A$4:$A$387, O$85, '03_Base_Vendas'!$B$4:$B$387, "loja_propria")/SUMIFS('03_Base_Vendas'!$I$4:$I$387, '03_Base_Vendas'!$A$4:$A$387, O$85),0))</f>
        <v>240.44065403019678</v>
      </c>
      <c r="P103" s="42">
        <f>(SUMIFS('04_Base_Despesas'!$D$4:$D$219, '04_Base_Despesas'!$A$4:$A$219, P$85, '04_Base_Despesas'!$B$4:$B$219, "depreciacao"))*(IFERROR(SUMIFS('03_Base_Vendas'!$I$4:$I$387, '03_Base_Vendas'!$A$4:$A$387, P$85, '03_Base_Vendas'!$B$4:$B$387, "loja_propria")/SUMIFS('03_Base_Vendas'!$I$4:$I$387, '03_Base_Vendas'!$A$4:$A$387, P$85),0))</f>
        <v>314.44884085078621</v>
      </c>
      <c r="Q103" s="42">
        <f>(SUMIFS('04_Base_Despesas'!$D$4:$D$219, '04_Base_Despesas'!$A$4:$A$219, Q$85, '04_Base_Despesas'!$B$4:$B$219, "depreciacao"))*(IFERROR(SUMIFS('03_Base_Vendas'!$I$4:$I$387, '03_Base_Vendas'!$A$4:$A$387, Q$85, '03_Base_Vendas'!$B$4:$B$387, "loja_propria")/SUMIFS('03_Base_Vendas'!$I$4:$I$387, '03_Base_Vendas'!$A$4:$A$387, Q$85),0))</f>
        <v>281.75151615315099</v>
      </c>
      <c r="R103" s="42">
        <f>(SUMIFS('04_Base_Despesas'!$D$4:$D$219, '04_Base_Despesas'!$A$4:$A$219, R$85, '04_Base_Despesas'!$B$4:$B$219, "depreciacao"))*(IFERROR(SUMIFS('03_Base_Vendas'!$I$4:$I$387, '03_Base_Vendas'!$A$4:$A$387, R$85, '03_Base_Vendas'!$B$4:$B$387, "loja_propria")/SUMIFS('03_Base_Vendas'!$I$4:$I$387, '03_Base_Vendas'!$A$4:$A$387, R$85),0))</f>
        <v>299.07773534108662</v>
      </c>
      <c r="S103" s="42">
        <f>(SUMIFS('04_Base_Despesas'!$D$4:$D$219, '04_Base_Despesas'!$A$4:$A$219, S$85, '04_Base_Despesas'!$B$4:$B$219, "depreciacao"))*(IFERROR(SUMIFS('03_Base_Vendas'!$I$4:$I$387, '03_Base_Vendas'!$A$4:$A$387, S$85, '03_Base_Vendas'!$B$4:$B$387, "loja_propria")/SUMIFS('03_Base_Vendas'!$I$4:$I$387, '03_Base_Vendas'!$A$4:$A$387, S$85),0))</f>
        <v>306.89063992558323</v>
      </c>
      <c r="T103" s="42">
        <f>(SUMIFS('04_Base_Despesas'!$D$4:$D$219, '04_Base_Despesas'!$A$4:$A$219, T$85, '04_Base_Despesas'!$B$4:$B$219, "depreciacao"))*(IFERROR(SUMIFS('03_Base_Vendas'!$I$4:$I$387, '03_Base_Vendas'!$A$4:$A$387, T$85, '03_Base_Vendas'!$B$4:$B$387, "loja_propria")/SUMIFS('03_Base_Vendas'!$I$4:$I$387, '03_Base_Vendas'!$A$4:$A$387, T$85),0))</f>
        <v>283.7817408233268</v>
      </c>
      <c r="U103" s="42">
        <f>(SUMIFS('04_Base_Despesas'!$D$4:$D$219, '04_Base_Despesas'!$A$4:$A$219, U$85, '04_Base_Despesas'!$B$4:$B$219, "depreciacao"))*(IFERROR(SUMIFS('03_Base_Vendas'!$I$4:$I$387, '03_Base_Vendas'!$A$4:$A$387, U$85, '03_Base_Vendas'!$B$4:$B$387, "loja_propria")/SUMIFS('03_Base_Vendas'!$I$4:$I$387, '03_Base_Vendas'!$A$4:$A$387, U$85),0))</f>
        <v>374.26186689727933</v>
      </c>
      <c r="V103" s="42">
        <f>(SUMIFS('04_Base_Despesas'!$D$4:$D$219, '04_Base_Despesas'!$A$4:$A$219, V$85, '04_Base_Despesas'!$B$4:$B$219, "depreciacao"))*(IFERROR(SUMIFS('03_Base_Vendas'!$I$4:$I$387, '03_Base_Vendas'!$A$4:$A$387, V$85, '03_Base_Vendas'!$B$4:$B$387, "loja_propria")/SUMIFS('03_Base_Vendas'!$I$4:$I$387, '03_Base_Vendas'!$A$4:$A$387, V$85),0))</f>
        <v>239.41623386929263</v>
      </c>
      <c r="W103" s="42">
        <f>(SUMIFS('04_Base_Despesas'!$D$4:$D$219, '04_Base_Despesas'!$A$4:$A$219, W$85, '04_Base_Despesas'!$B$4:$B$219, "depreciacao"))*(IFERROR(SUMIFS('03_Base_Vendas'!$I$4:$I$387, '03_Base_Vendas'!$A$4:$A$387, W$85, '03_Base_Vendas'!$B$4:$B$387, "loja_propria")/SUMIFS('03_Base_Vendas'!$I$4:$I$387, '03_Base_Vendas'!$A$4:$A$387, W$85),0))</f>
        <v>285.09277784131348</v>
      </c>
      <c r="X103" s="42">
        <f>(SUMIFS('04_Base_Despesas'!$D$4:$D$219, '04_Base_Despesas'!$A$4:$A$219, X$85, '04_Base_Despesas'!$B$4:$B$219, "depreciacao"))*(IFERROR(SUMIFS('03_Base_Vendas'!$I$4:$I$387, '03_Base_Vendas'!$A$4:$A$387, X$85, '03_Base_Vendas'!$B$4:$B$387, "loja_propria")/SUMIFS('03_Base_Vendas'!$I$4:$I$387, '03_Base_Vendas'!$A$4:$A$387, X$85),0))</f>
        <v>319.85639420460933</v>
      </c>
      <c r="Y103" s="42">
        <f>(SUMIFS('04_Base_Despesas'!$D$4:$D$219, '04_Base_Despesas'!$A$4:$A$219, Y$85, '04_Base_Despesas'!$B$4:$B$219, "depreciacao"))*(IFERROR(SUMIFS('03_Base_Vendas'!$I$4:$I$387, '03_Base_Vendas'!$A$4:$A$387, Y$85, '03_Base_Vendas'!$B$4:$B$387, "loja_propria")/SUMIFS('03_Base_Vendas'!$I$4:$I$387, '03_Base_Vendas'!$A$4:$A$387, Y$85),0))</f>
        <v>273.73665051054894</v>
      </c>
      <c r="Z103" s="43">
        <f>SUM(B103:Y103)</f>
        <v>6856.5491894906309</v>
      </c>
    </row>
    <row r="104" spans="1:26" x14ac:dyDescent="0.25">
      <c r="A104" s="44" t="s">
        <v>117</v>
      </c>
      <c r="B104" s="45">
        <f t="shared" ref="B104:Y104" si="41">B101-B103</f>
        <v>-2116.8404851143632</v>
      </c>
      <c r="C104" s="45">
        <f t="shared" si="41"/>
        <v>-4372.404169130351</v>
      </c>
      <c r="D104" s="45">
        <f t="shared" si="41"/>
        <v>-2043.224541207928</v>
      </c>
      <c r="E104" s="45">
        <f t="shared" si="41"/>
        <v>-4190.8252707383763</v>
      </c>
      <c r="F104" s="45">
        <f t="shared" si="41"/>
        <v>691.50718379550199</v>
      </c>
      <c r="G104" s="45">
        <f t="shared" si="41"/>
        <v>-1702.0792366188798</v>
      </c>
      <c r="H104" s="45">
        <f t="shared" si="41"/>
        <v>-3978.766128336682</v>
      </c>
      <c r="I104" s="45">
        <f t="shared" si="41"/>
        <v>-4409.0936321412501</v>
      </c>
      <c r="J104" s="45">
        <f t="shared" si="41"/>
        <v>-4328.8946525267156</v>
      </c>
      <c r="K104" s="45">
        <f t="shared" si="41"/>
        <v>-2655.6686267559385</v>
      </c>
      <c r="L104" s="45">
        <f t="shared" si="41"/>
        <v>119.50901773012382</v>
      </c>
      <c r="M104" s="45">
        <f t="shared" si="41"/>
        <v>153.35122231901804</v>
      </c>
      <c r="N104" s="45">
        <f t="shared" si="41"/>
        <v>-1790.8343075598148</v>
      </c>
      <c r="O104" s="45">
        <f t="shared" si="41"/>
        <v>-2265.5138932303339</v>
      </c>
      <c r="P104" s="45">
        <f t="shared" si="41"/>
        <v>-2406.8080247993935</v>
      </c>
      <c r="Q104" s="45">
        <f t="shared" si="41"/>
        <v>-3015.5019847385765</v>
      </c>
      <c r="R104" s="45">
        <f t="shared" si="41"/>
        <v>6.1157891508847797</v>
      </c>
      <c r="S104" s="45">
        <f t="shared" si="41"/>
        <v>-342.22348426133641</v>
      </c>
      <c r="T104" s="45">
        <f t="shared" si="41"/>
        <v>-2580.3158763419224</v>
      </c>
      <c r="U104" s="45">
        <f t="shared" si="41"/>
        <v>-3078.4012569497336</v>
      </c>
      <c r="V104" s="45">
        <f t="shared" si="41"/>
        <v>-1546.9763774138569</v>
      </c>
      <c r="W104" s="45">
        <f t="shared" si="41"/>
        <v>-1580.1603976623082</v>
      </c>
      <c r="X104" s="45">
        <f t="shared" si="41"/>
        <v>4080.0243344588489</v>
      </c>
      <c r="Y104" s="45">
        <f t="shared" si="41"/>
        <v>1349.3508008000192</v>
      </c>
      <c r="Z104" s="43">
        <f>SUM(B104:Y104)</f>
        <v>-42004.673997273363</v>
      </c>
    </row>
    <row r="105" spans="1:26" x14ac:dyDescent="0.25">
      <c r="A105" s="41" t="s">
        <v>348</v>
      </c>
      <c r="B105" s="42">
        <f>(SUMIFS('04_Base_Despesas'!$D$4:$D$219, '04_Base_Despesas'!$A$4:$A$219, B$85, '04_Base_Despesas'!$B$4:$B$219, "financeiro"))*(IFERROR(SUMIFS('03_Base_Vendas'!$I$4:$I$387, '03_Base_Vendas'!$A$4:$A$387, B$85, '03_Base_Vendas'!$B$4:$B$387, "loja_propria")/SUMIFS('03_Base_Vendas'!$I$4:$I$387, '03_Base_Vendas'!$A$4:$A$387, B$85),0))</f>
        <v>139.09977179236532</v>
      </c>
      <c r="C105" s="42">
        <f>(SUMIFS('04_Base_Despesas'!$D$4:$D$219, '04_Base_Despesas'!$A$4:$A$219, C$85, '04_Base_Despesas'!$B$4:$B$219, "financeiro"))*(IFERROR(SUMIFS('03_Base_Vendas'!$I$4:$I$387, '03_Base_Vendas'!$A$4:$A$387, C$85, '03_Base_Vendas'!$B$4:$B$387, "loja_propria")/SUMIFS('03_Base_Vendas'!$I$4:$I$387, '03_Base_Vendas'!$A$4:$A$387, C$85),0))</f>
        <v>179.75686465562518</v>
      </c>
      <c r="D105" s="42">
        <f>(SUMIFS('04_Base_Despesas'!$D$4:$D$219, '04_Base_Despesas'!$A$4:$A$219, D$85, '04_Base_Despesas'!$B$4:$B$219, "financeiro"))*(IFERROR(SUMIFS('03_Base_Vendas'!$I$4:$I$387, '03_Base_Vendas'!$A$4:$A$387, D$85, '03_Base_Vendas'!$B$4:$B$387, "loja_propria")/SUMIFS('03_Base_Vendas'!$I$4:$I$387, '03_Base_Vendas'!$A$4:$A$387, D$85),0))</f>
        <v>195.78932481206664</v>
      </c>
      <c r="E105" s="42">
        <f>(SUMIFS('04_Base_Despesas'!$D$4:$D$219, '04_Base_Despesas'!$A$4:$A$219, E$85, '04_Base_Despesas'!$B$4:$B$219, "financeiro"))*(IFERROR(SUMIFS('03_Base_Vendas'!$I$4:$I$387, '03_Base_Vendas'!$A$4:$A$387, E$85, '03_Base_Vendas'!$B$4:$B$387, "loja_propria")/SUMIFS('03_Base_Vendas'!$I$4:$I$387, '03_Base_Vendas'!$A$4:$A$387, E$85),0))</f>
        <v>216.33390715350785</v>
      </c>
      <c r="F105" s="42">
        <f>(SUMIFS('04_Base_Despesas'!$D$4:$D$219, '04_Base_Despesas'!$A$4:$A$219, F$85, '04_Base_Despesas'!$B$4:$B$219, "financeiro"))*(IFERROR(SUMIFS('03_Base_Vendas'!$I$4:$I$387, '03_Base_Vendas'!$A$4:$A$387, F$85, '03_Base_Vendas'!$B$4:$B$387, "loja_propria")/SUMIFS('03_Base_Vendas'!$I$4:$I$387, '03_Base_Vendas'!$A$4:$A$387, F$85),0))</f>
        <v>165.73453085241817</v>
      </c>
      <c r="G105" s="42">
        <f>(SUMIFS('04_Base_Despesas'!$D$4:$D$219, '04_Base_Despesas'!$A$4:$A$219, G$85, '04_Base_Despesas'!$B$4:$B$219, "financeiro"))*(IFERROR(SUMIFS('03_Base_Vendas'!$I$4:$I$387, '03_Base_Vendas'!$A$4:$A$387, G$85, '03_Base_Vendas'!$B$4:$B$387, "loja_propria")/SUMIFS('03_Base_Vendas'!$I$4:$I$387, '03_Base_Vendas'!$A$4:$A$387, G$85),0))</f>
        <v>184.83795252244406</v>
      </c>
      <c r="H105" s="42">
        <f>(SUMIFS('04_Base_Despesas'!$D$4:$D$219, '04_Base_Despesas'!$A$4:$A$219, H$85, '04_Base_Despesas'!$B$4:$B$219, "financeiro"))*(IFERROR(SUMIFS('03_Base_Vendas'!$I$4:$I$387, '03_Base_Vendas'!$A$4:$A$387, H$85, '03_Base_Vendas'!$B$4:$B$387, "loja_propria")/SUMIFS('03_Base_Vendas'!$I$4:$I$387, '03_Base_Vendas'!$A$4:$A$387, H$85),0))</f>
        <v>685.9148729609833</v>
      </c>
      <c r="I105" s="42">
        <f>(SUMIFS('04_Base_Despesas'!$D$4:$D$219, '04_Base_Despesas'!$A$4:$A$219, I$85, '04_Base_Despesas'!$B$4:$B$219, "financeiro"))*(IFERROR(SUMIFS('03_Base_Vendas'!$I$4:$I$387, '03_Base_Vendas'!$A$4:$A$387, I$85, '03_Base_Vendas'!$B$4:$B$387, "loja_propria")/SUMIFS('03_Base_Vendas'!$I$4:$I$387, '03_Base_Vendas'!$A$4:$A$387, I$85),0))</f>
        <v>175.34807180534975</v>
      </c>
      <c r="J105" s="42">
        <f>(SUMIFS('04_Base_Despesas'!$D$4:$D$219, '04_Base_Despesas'!$A$4:$A$219, J$85, '04_Base_Despesas'!$B$4:$B$219, "financeiro"))*(IFERROR(SUMIFS('03_Base_Vendas'!$I$4:$I$387, '03_Base_Vendas'!$A$4:$A$387, J$85, '03_Base_Vendas'!$B$4:$B$387, "loja_propria")/SUMIFS('03_Base_Vendas'!$I$4:$I$387, '03_Base_Vendas'!$A$4:$A$387, J$85),0))</f>
        <v>171.98266142031605</v>
      </c>
      <c r="K105" s="42">
        <f>(SUMIFS('04_Base_Despesas'!$D$4:$D$219, '04_Base_Despesas'!$A$4:$A$219, K$85, '04_Base_Despesas'!$B$4:$B$219, "financeiro"))*(IFERROR(SUMIFS('03_Base_Vendas'!$I$4:$I$387, '03_Base_Vendas'!$A$4:$A$387, K$85, '03_Base_Vendas'!$B$4:$B$387, "loja_propria")/SUMIFS('03_Base_Vendas'!$I$4:$I$387, '03_Base_Vendas'!$A$4:$A$387, K$85),0))</f>
        <v>114.93651542802446</v>
      </c>
      <c r="L105" s="42">
        <f>(SUMIFS('04_Base_Despesas'!$D$4:$D$219, '04_Base_Despesas'!$A$4:$A$219, L$85, '04_Base_Despesas'!$B$4:$B$219, "financeiro"))*(IFERROR(SUMIFS('03_Base_Vendas'!$I$4:$I$387, '03_Base_Vendas'!$A$4:$A$387, L$85, '03_Base_Vendas'!$B$4:$B$387, "loja_propria")/SUMIFS('03_Base_Vendas'!$I$4:$I$387, '03_Base_Vendas'!$A$4:$A$387, L$85),0))</f>
        <v>141.74937894333172</v>
      </c>
      <c r="M105" s="42">
        <f>(SUMIFS('04_Base_Despesas'!$D$4:$D$219, '04_Base_Despesas'!$A$4:$A$219, M$85, '04_Base_Despesas'!$B$4:$B$219, "financeiro"))*(IFERROR(SUMIFS('03_Base_Vendas'!$I$4:$I$387, '03_Base_Vendas'!$A$4:$A$387, M$85, '03_Base_Vendas'!$B$4:$B$387, "loja_propria")/SUMIFS('03_Base_Vendas'!$I$4:$I$387, '03_Base_Vendas'!$A$4:$A$387, M$85),0))</f>
        <v>150.62705489514425</v>
      </c>
      <c r="N105" s="42">
        <f>(SUMIFS('04_Base_Despesas'!$D$4:$D$219, '04_Base_Despesas'!$A$4:$A$219, N$85, '04_Base_Despesas'!$B$4:$B$219, "financeiro"))*(IFERROR(SUMIFS('03_Base_Vendas'!$I$4:$I$387, '03_Base_Vendas'!$A$4:$A$387, N$85, '03_Base_Vendas'!$B$4:$B$387, "loja_propria")/SUMIFS('03_Base_Vendas'!$I$4:$I$387, '03_Base_Vendas'!$A$4:$A$387, N$85),0))</f>
        <v>150.71580251899888</v>
      </c>
      <c r="O105" s="42">
        <f>(SUMIFS('04_Base_Despesas'!$D$4:$D$219, '04_Base_Despesas'!$A$4:$A$219, O$85, '04_Base_Despesas'!$B$4:$B$219, "financeiro"))*(IFERROR(SUMIFS('03_Base_Vendas'!$I$4:$I$387, '03_Base_Vendas'!$A$4:$A$387, O$85, '03_Base_Vendas'!$B$4:$B$387, "loja_propria")/SUMIFS('03_Base_Vendas'!$I$4:$I$387, '03_Base_Vendas'!$A$4:$A$387, O$85),0))</f>
        <v>138.96704764500731</v>
      </c>
      <c r="P105" s="42">
        <f>(SUMIFS('04_Base_Despesas'!$D$4:$D$219, '04_Base_Despesas'!$A$4:$A$219, P$85, '04_Base_Despesas'!$B$4:$B$219, "financeiro"))*(IFERROR(SUMIFS('03_Base_Vendas'!$I$4:$I$387, '03_Base_Vendas'!$A$4:$A$387, P$85, '03_Base_Vendas'!$B$4:$B$387, "loja_propria")/SUMIFS('03_Base_Vendas'!$I$4:$I$387, '03_Base_Vendas'!$A$4:$A$387, P$85),0))</f>
        <v>187.79456500774137</v>
      </c>
      <c r="Q105" s="42">
        <f>(SUMIFS('04_Base_Despesas'!$D$4:$D$219, '04_Base_Despesas'!$A$4:$A$219, Q$85, '04_Base_Despesas'!$B$4:$B$219, "financeiro"))*(IFERROR(SUMIFS('03_Base_Vendas'!$I$4:$I$387, '03_Base_Vendas'!$A$4:$A$387, Q$85, '03_Base_Vendas'!$B$4:$B$387, "loja_propria")/SUMIFS('03_Base_Vendas'!$I$4:$I$387, '03_Base_Vendas'!$A$4:$A$387, Q$85),0))</f>
        <v>178.6343033072271</v>
      </c>
      <c r="R105" s="42">
        <f>(SUMIFS('04_Base_Despesas'!$D$4:$D$219, '04_Base_Despesas'!$A$4:$A$219, R$85, '04_Base_Despesas'!$B$4:$B$219, "financeiro"))*(IFERROR(SUMIFS('03_Base_Vendas'!$I$4:$I$387, '03_Base_Vendas'!$A$4:$A$387, R$85, '03_Base_Vendas'!$B$4:$B$387, "loja_propria")/SUMIFS('03_Base_Vendas'!$I$4:$I$387, '03_Base_Vendas'!$A$4:$A$387, R$85),0))</f>
        <v>182.79714273657549</v>
      </c>
      <c r="S105" s="42">
        <f>(SUMIFS('04_Base_Despesas'!$D$4:$D$219, '04_Base_Despesas'!$A$4:$A$219, S$85, '04_Base_Despesas'!$B$4:$B$219, "financeiro"))*(IFERROR(SUMIFS('03_Base_Vendas'!$I$4:$I$387, '03_Base_Vendas'!$A$4:$A$387, S$85, '03_Base_Vendas'!$B$4:$B$387, "loja_propria")/SUMIFS('03_Base_Vendas'!$I$4:$I$387, '03_Base_Vendas'!$A$4:$A$387, S$85),0))</f>
        <v>189.45196177078776</v>
      </c>
      <c r="T105" s="42">
        <f>(SUMIFS('04_Base_Despesas'!$D$4:$D$219, '04_Base_Despesas'!$A$4:$A$219, T$85, '04_Base_Despesas'!$B$4:$B$219, "financeiro"))*(IFERROR(SUMIFS('03_Base_Vendas'!$I$4:$I$387, '03_Base_Vendas'!$A$4:$A$387, T$85, '03_Base_Vendas'!$B$4:$B$387, "loja_propria")/SUMIFS('03_Base_Vendas'!$I$4:$I$387, '03_Base_Vendas'!$A$4:$A$387, T$85),0))</f>
        <v>169.19454362987869</v>
      </c>
      <c r="U105" s="42">
        <f>(SUMIFS('04_Base_Despesas'!$D$4:$D$219, '04_Base_Despesas'!$A$4:$A$219, U$85, '04_Base_Despesas'!$B$4:$B$219, "financeiro"))*(IFERROR(SUMIFS('03_Base_Vendas'!$I$4:$I$387, '03_Base_Vendas'!$A$4:$A$387, U$85, '03_Base_Vendas'!$B$4:$B$387, "loja_propria")/SUMIFS('03_Base_Vendas'!$I$4:$I$387, '03_Base_Vendas'!$A$4:$A$387, U$85),0))</f>
        <v>232.13081937212527</v>
      </c>
      <c r="V105" s="42">
        <f>(SUMIFS('04_Base_Despesas'!$D$4:$D$219, '04_Base_Despesas'!$A$4:$A$219, V$85, '04_Base_Despesas'!$B$4:$B$219, "financeiro"))*(IFERROR(SUMIFS('03_Base_Vendas'!$I$4:$I$387, '03_Base_Vendas'!$A$4:$A$387, V$85, '03_Base_Vendas'!$B$4:$B$387, "loja_propria")/SUMIFS('03_Base_Vendas'!$I$4:$I$387, '03_Base_Vendas'!$A$4:$A$387, V$85),0))</f>
        <v>131.64410444863907</v>
      </c>
      <c r="W105" s="42">
        <f>(SUMIFS('04_Base_Despesas'!$D$4:$D$219, '04_Base_Despesas'!$A$4:$A$219, W$85, '04_Base_Despesas'!$B$4:$B$219, "financeiro"))*(IFERROR(SUMIFS('03_Base_Vendas'!$I$4:$I$387, '03_Base_Vendas'!$A$4:$A$387, W$85, '03_Base_Vendas'!$B$4:$B$387, "loja_propria")/SUMIFS('03_Base_Vendas'!$I$4:$I$387, '03_Base_Vendas'!$A$4:$A$387, W$85),0))</f>
        <v>173.08320392182327</v>
      </c>
      <c r="X105" s="42">
        <f>(SUMIFS('04_Base_Despesas'!$D$4:$D$219, '04_Base_Despesas'!$A$4:$A$219, X$85, '04_Base_Despesas'!$B$4:$B$219, "financeiro"))*(IFERROR(SUMIFS('03_Base_Vendas'!$I$4:$I$387, '03_Base_Vendas'!$A$4:$A$387, X$85, '03_Base_Vendas'!$B$4:$B$387, "loja_propria")/SUMIFS('03_Base_Vendas'!$I$4:$I$387, '03_Base_Vendas'!$A$4:$A$387, X$85),0))</f>
        <v>190.26221441450906</v>
      </c>
      <c r="Y105" s="42">
        <f>(SUMIFS('04_Base_Despesas'!$D$4:$D$219, '04_Base_Despesas'!$A$4:$A$219, Y$85, '04_Base_Despesas'!$B$4:$B$219, "financeiro"))*(IFERROR(SUMIFS('03_Base_Vendas'!$I$4:$I$387, '03_Base_Vendas'!$A$4:$A$387, Y$85, '03_Base_Vendas'!$B$4:$B$387, "loja_propria")/SUMIFS('03_Base_Vendas'!$I$4:$I$387, '03_Base_Vendas'!$A$4:$A$387, Y$85),0))</f>
        <v>172.1878187161492</v>
      </c>
      <c r="Z105" s="43">
        <f>SUM(B105:Y105)</f>
        <v>4618.9744347310389</v>
      </c>
    </row>
    <row r="106" spans="1:26" x14ac:dyDescent="0.25">
      <c r="A106" s="44" t="s">
        <v>119</v>
      </c>
      <c r="B106" s="45">
        <f t="shared" ref="B106:Y106" si="42">B104-B105</f>
        <v>-2255.9402569067283</v>
      </c>
      <c r="C106" s="45">
        <f t="shared" si="42"/>
        <v>-4552.1610337859765</v>
      </c>
      <c r="D106" s="45">
        <f t="shared" si="42"/>
        <v>-2239.0138660199946</v>
      </c>
      <c r="E106" s="45">
        <f t="shared" si="42"/>
        <v>-4407.1591778918837</v>
      </c>
      <c r="F106" s="45">
        <f t="shared" si="42"/>
        <v>525.77265294308381</v>
      </c>
      <c r="G106" s="45">
        <f t="shared" si="42"/>
        <v>-1886.9171891413239</v>
      </c>
      <c r="H106" s="45">
        <f t="shared" si="42"/>
        <v>-4664.6810012976657</v>
      </c>
      <c r="I106" s="45">
        <f t="shared" si="42"/>
        <v>-4584.4417039465998</v>
      </c>
      <c r="J106" s="45">
        <f t="shared" si="42"/>
        <v>-4500.8773139470313</v>
      </c>
      <c r="K106" s="45">
        <f t="shared" si="42"/>
        <v>-2770.6051421839629</v>
      </c>
      <c r="L106" s="45">
        <f t="shared" si="42"/>
        <v>-22.240361213207905</v>
      </c>
      <c r="M106" s="45">
        <f t="shared" si="42"/>
        <v>2.7241674238737801</v>
      </c>
      <c r="N106" s="45">
        <f t="shared" si="42"/>
        <v>-1941.5501100788138</v>
      </c>
      <c r="O106" s="45">
        <f t="shared" si="42"/>
        <v>-2404.4809408753413</v>
      </c>
      <c r="P106" s="45">
        <f t="shared" si="42"/>
        <v>-2594.6025898071348</v>
      </c>
      <c r="Q106" s="45">
        <f t="shared" si="42"/>
        <v>-3194.1362880458037</v>
      </c>
      <c r="R106" s="45">
        <f t="shared" si="42"/>
        <v>-176.68135358569072</v>
      </c>
      <c r="S106" s="45">
        <f t="shared" si="42"/>
        <v>-531.67544603212423</v>
      </c>
      <c r="T106" s="45">
        <f t="shared" si="42"/>
        <v>-2749.5104199718012</v>
      </c>
      <c r="U106" s="45">
        <f t="shared" si="42"/>
        <v>-3310.5320763218588</v>
      </c>
      <c r="V106" s="45">
        <f t="shared" si="42"/>
        <v>-1678.620481862496</v>
      </c>
      <c r="W106" s="45">
        <f t="shared" si="42"/>
        <v>-1753.2436015841315</v>
      </c>
      <c r="X106" s="45">
        <f t="shared" si="42"/>
        <v>3889.76212004434</v>
      </c>
      <c r="Y106" s="45">
        <f t="shared" si="42"/>
        <v>1177.16298208387</v>
      </c>
      <c r="Z106" s="43">
        <f>SUM(B106:Y106)</f>
        <v>-46623.648432004418</v>
      </c>
    </row>
    <row r="107" spans="1:26" x14ac:dyDescent="0.25">
      <c r="A107" s="41" t="s">
        <v>349</v>
      </c>
      <c r="B107" s="46">
        <f t="shared" ref="B107:Y107" si="43">IFERROR(B106/B89,0)</f>
        <v>-0.14761089476469497</v>
      </c>
      <c r="C107" s="46">
        <f t="shared" si="43"/>
        <v>-0.27445059272996791</v>
      </c>
      <c r="D107" s="46">
        <f t="shared" si="43"/>
        <v>-0.10118524132779136</v>
      </c>
      <c r="E107" s="46">
        <f t="shared" si="43"/>
        <v>-0.18914066965017251</v>
      </c>
      <c r="F107" s="46">
        <f t="shared" si="43"/>
        <v>2.2012450071386507E-2</v>
      </c>
      <c r="G107" s="46">
        <f t="shared" si="43"/>
        <v>-7.6897695459589813E-2</v>
      </c>
      <c r="H107" s="46">
        <f t="shared" si="43"/>
        <v>-0.28663994462817</v>
      </c>
      <c r="I107" s="46">
        <f t="shared" si="43"/>
        <v>-0.26636154072438245</v>
      </c>
      <c r="J107" s="46">
        <f t="shared" si="43"/>
        <v>-0.25234069411263926</v>
      </c>
      <c r="K107" s="46">
        <f t="shared" si="43"/>
        <v>-0.19159921649467743</v>
      </c>
      <c r="L107" s="46">
        <f t="shared" si="43"/>
        <v>-9.9843598321038203E-4</v>
      </c>
      <c r="M107" s="46">
        <f t="shared" si="43"/>
        <v>1.1919777580616675E-4</v>
      </c>
      <c r="N107" s="46">
        <f t="shared" si="43"/>
        <v>-8.867242379706454E-2</v>
      </c>
      <c r="O107" s="46">
        <f t="shared" si="43"/>
        <v>-0.15158941235391576</v>
      </c>
      <c r="P107" s="46">
        <f t="shared" si="43"/>
        <v>-0.10624729846088314</v>
      </c>
      <c r="Q107" s="46">
        <f t="shared" si="43"/>
        <v>-0.17210685515599702</v>
      </c>
      <c r="R107" s="46">
        <f t="shared" si="43"/>
        <v>-6.2180850846882312E-3</v>
      </c>
      <c r="S107" s="46">
        <f t="shared" si="43"/>
        <v>-2.0647654285222021E-2</v>
      </c>
      <c r="T107" s="46">
        <f t="shared" si="43"/>
        <v>-0.13867128347600363</v>
      </c>
      <c r="U107" s="46">
        <f t="shared" si="43"/>
        <v>-0.12876081898640135</v>
      </c>
      <c r="V107" s="46">
        <f t="shared" si="43"/>
        <v>-9.8673599982511989E-2</v>
      </c>
      <c r="W107" s="46">
        <f t="shared" si="43"/>
        <v>-8.0377893309120846E-2</v>
      </c>
      <c r="X107" s="46">
        <f t="shared" si="43"/>
        <v>0.10773866043695103</v>
      </c>
      <c r="Y107" s="46">
        <f t="shared" si="43"/>
        <v>4.869775260514983E-2</v>
      </c>
      <c r="Z107" s="47">
        <f>IFERROR($Z$106/$Z$89,0)</f>
        <v>-9.0325617223256022E-2</v>
      </c>
    </row>
  </sheetData>
  <mergeCells count="7">
    <mergeCell ref="A58:Z58"/>
    <mergeCell ref="A84:Z84"/>
    <mergeCell ref="A1:Z1"/>
    <mergeCell ref="A2:Z2"/>
    <mergeCell ref="A4:Z4"/>
    <mergeCell ref="A6:Z6"/>
    <mergeCell ref="A32:Z32"/>
  </mergeCells>
  <conditionalFormatting sqref="B23:Z23">
    <cfRule type="cellIs" dxfId="53" priority="2" operator="lessThan">
      <formula>0</formula>
    </cfRule>
    <cfRule type="cellIs" dxfId="52" priority="3" operator="greaterThan">
      <formula>0</formula>
    </cfRule>
  </conditionalFormatting>
  <conditionalFormatting sqref="B26:Z26">
    <cfRule type="cellIs" dxfId="51" priority="4" operator="lessThan">
      <formula>0</formula>
    </cfRule>
    <cfRule type="cellIs" dxfId="50" priority="5" operator="greaterThan">
      <formula>0</formula>
    </cfRule>
  </conditionalFormatting>
  <conditionalFormatting sqref="B28:Z28">
    <cfRule type="cellIs" dxfId="49" priority="6" operator="lessThan">
      <formula>0</formula>
    </cfRule>
    <cfRule type="cellIs" dxfId="48" priority="7" operator="greaterThan">
      <formula>0</formula>
    </cfRule>
  </conditionalFormatting>
  <conditionalFormatting sqref="B49:Z49">
    <cfRule type="cellIs" dxfId="47" priority="8" operator="lessThan">
      <formula>0</formula>
    </cfRule>
    <cfRule type="cellIs" dxfId="46" priority="9" operator="greaterThan">
      <formula>0</formula>
    </cfRule>
  </conditionalFormatting>
  <conditionalFormatting sqref="B52:Z52">
    <cfRule type="cellIs" dxfId="45" priority="10" operator="lessThan">
      <formula>0</formula>
    </cfRule>
    <cfRule type="cellIs" dxfId="44" priority="11" operator="greaterThan">
      <formula>0</formula>
    </cfRule>
  </conditionalFormatting>
  <conditionalFormatting sqref="B54:Z54">
    <cfRule type="cellIs" dxfId="43" priority="12" operator="lessThan">
      <formula>0</formula>
    </cfRule>
    <cfRule type="cellIs" dxfId="42" priority="13" operator="greaterThan">
      <formula>0</formula>
    </cfRule>
  </conditionalFormatting>
  <conditionalFormatting sqref="B75:Z75">
    <cfRule type="cellIs" dxfId="41" priority="14" operator="lessThan">
      <formula>0</formula>
    </cfRule>
    <cfRule type="cellIs" dxfId="40" priority="15" operator="greaterThan">
      <formula>0</formula>
    </cfRule>
  </conditionalFormatting>
  <conditionalFormatting sqref="B78:Z78">
    <cfRule type="cellIs" dxfId="39" priority="16" operator="lessThan">
      <formula>0</formula>
    </cfRule>
    <cfRule type="cellIs" dxfId="38" priority="17" operator="greaterThan">
      <formula>0</formula>
    </cfRule>
  </conditionalFormatting>
  <conditionalFormatting sqref="B80:Z80">
    <cfRule type="cellIs" dxfId="37" priority="18" operator="lessThan">
      <formula>0</formula>
    </cfRule>
    <cfRule type="cellIs" dxfId="36" priority="19" operator="greaterThan">
      <formula>0</formula>
    </cfRule>
  </conditionalFormatting>
  <conditionalFormatting sqref="B101:Z101">
    <cfRule type="cellIs" dxfId="35" priority="20" operator="lessThan">
      <formula>0</formula>
    </cfRule>
    <cfRule type="cellIs" dxfId="34" priority="21" operator="greaterThan">
      <formula>0</formula>
    </cfRule>
  </conditionalFormatting>
  <conditionalFormatting sqref="B104:Z104">
    <cfRule type="cellIs" dxfId="33" priority="22" operator="lessThan">
      <formula>0</formula>
    </cfRule>
    <cfRule type="cellIs" dxfId="32" priority="23" operator="greaterThan">
      <formula>0</formula>
    </cfRule>
  </conditionalFormatting>
  <conditionalFormatting sqref="B106:Z106">
    <cfRule type="cellIs" dxfId="31" priority="24" operator="lessThan">
      <formula>0</formula>
    </cfRule>
    <cfRule type="cellIs" dxfId="30" priority="25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Z1"/>
    </sheetView>
  </sheetViews>
  <sheetFormatPr defaultColWidth="8.7109375" defaultRowHeight="15" x14ac:dyDescent="0.25"/>
  <cols>
    <col min="1" max="1" width="38" customWidth="1"/>
    <col min="2" max="25" width="13" customWidth="1"/>
    <col min="26" max="26" width="15" customWidth="1"/>
  </cols>
  <sheetData>
    <row r="1" spans="1:26" ht="27.75" customHeight="1" x14ac:dyDescent="0.25">
      <c r="A1" s="8" t="s">
        <v>357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7" t="s">
        <v>358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4" spans="1:26" ht="30" customHeight="1" x14ac:dyDescent="0.25">
      <c r="A4" s="3" t="s">
        <v>359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6" spans="1:26" ht="21.75" customHeight="1" x14ac:dyDescent="0.25">
      <c r="A6" s="4" t="s">
        <v>360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38" t="s">
        <v>329</v>
      </c>
      <c r="B7" s="39" t="s">
        <v>135</v>
      </c>
      <c r="C7" s="39" t="s">
        <v>144</v>
      </c>
      <c r="D7" s="39" t="s">
        <v>145</v>
      </c>
      <c r="E7" s="39" t="s">
        <v>146</v>
      </c>
      <c r="F7" s="39" t="s">
        <v>147</v>
      </c>
      <c r="G7" s="39" t="s">
        <v>148</v>
      </c>
      <c r="H7" s="39" t="s">
        <v>149</v>
      </c>
      <c r="I7" s="39" t="s">
        <v>150</v>
      </c>
      <c r="J7" s="39" t="s">
        <v>151</v>
      </c>
      <c r="K7" s="39" t="s">
        <v>152</v>
      </c>
      <c r="L7" s="39" t="s">
        <v>153</v>
      </c>
      <c r="M7" s="39" t="s">
        <v>154</v>
      </c>
      <c r="N7" s="39" t="s">
        <v>155</v>
      </c>
      <c r="O7" s="39" t="s">
        <v>156</v>
      </c>
      <c r="P7" s="39" t="s">
        <v>157</v>
      </c>
      <c r="Q7" s="39" t="s">
        <v>158</v>
      </c>
      <c r="R7" s="39" t="s">
        <v>159</v>
      </c>
      <c r="S7" s="39" t="s">
        <v>160</v>
      </c>
      <c r="T7" s="39" t="s">
        <v>161</v>
      </c>
      <c r="U7" s="39" t="s">
        <v>162</v>
      </c>
      <c r="V7" s="39" t="s">
        <v>163</v>
      </c>
      <c r="W7" s="39" t="s">
        <v>164</v>
      </c>
      <c r="X7" s="39" t="s">
        <v>165</v>
      </c>
      <c r="Y7" s="39" t="s">
        <v>166</v>
      </c>
      <c r="Z7" s="40" t="s">
        <v>330</v>
      </c>
    </row>
    <row r="8" spans="1:26" x14ac:dyDescent="0.25">
      <c r="A8" s="41" t="s">
        <v>331</v>
      </c>
      <c r="B8" s="42">
        <f>SUMIFS('03_Base_Vendas'!$F$4:$F$387, '03_Base_Vendas'!$A$4:$A$387, B$7, '03_Base_Vendas'!$C$4:$C$387, "skincare")</f>
        <v>60014.81</v>
      </c>
      <c r="C8" s="42">
        <f>SUMIFS('03_Base_Vendas'!$F$4:$F$387, '03_Base_Vendas'!$A$4:$A$387, C$7, '03_Base_Vendas'!$C$4:$C$387, "skincare")</f>
        <v>49445.600000000006</v>
      </c>
      <c r="D8" s="42">
        <f>SUMIFS('03_Base_Vendas'!$F$4:$F$387, '03_Base_Vendas'!$A$4:$A$387, D$7, '03_Base_Vendas'!$C$4:$C$387, "skincare")</f>
        <v>57384.22</v>
      </c>
      <c r="E8" s="42">
        <f>SUMIFS('03_Base_Vendas'!$F$4:$F$387, '03_Base_Vendas'!$A$4:$A$387, E$7, '03_Base_Vendas'!$C$4:$C$387, "skincare")</f>
        <v>59605.86</v>
      </c>
      <c r="F8" s="42">
        <f>SUMIFS('03_Base_Vendas'!$F$4:$F$387, '03_Base_Vendas'!$A$4:$A$387, F$7, '03_Base_Vendas'!$C$4:$C$387, "skincare")</f>
        <v>84801.17</v>
      </c>
      <c r="G8" s="42">
        <f>SUMIFS('03_Base_Vendas'!$F$4:$F$387, '03_Base_Vendas'!$A$4:$A$387, G$7, '03_Base_Vendas'!$C$4:$C$387, "skincare")</f>
        <v>54393.599999999991</v>
      </c>
      <c r="H8" s="42">
        <f>SUMIFS('03_Base_Vendas'!$F$4:$F$387, '03_Base_Vendas'!$A$4:$A$387, H$7, '03_Base_Vendas'!$C$4:$C$387, "skincare")</f>
        <v>44403</v>
      </c>
      <c r="I8" s="42">
        <f>SUMIFS('03_Base_Vendas'!$F$4:$F$387, '03_Base_Vendas'!$A$4:$A$387, I$7, '03_Base_Vendas'!$C$4:$C$387, "skincare")</f>
        <v>55761.170000000006</v>
      </c>
      <c r="J8" s="42">
        <f>SUMIFS('03_Base_Vendas'!$F$4:$F$387, '03_Base_Vendas'!$A$4:$A$387, J$7, '03_Base_Vendas'!$C$4:$C$387, "skincare")</f>
        <v>52362.47</v>
      </c>
      <c r="K8" s="42">
        <f>SUMIFS('03_Base_Vendas'!$F$4:$F$387, '03_Base_Vendas'!$A$4:$A$387, K$7, '03_Base_Vendas'!$C$4:$C$387, "skincare")</f>
        <v>61025.59</v>
      </c>
      <c r="L8" s="42">
        <f>SUMIFS('03_Base_Vendas'!$F$4:$F$387, '03_Base_Vendas'!$A$4:$A$387, L$7, '03_Base_Vendas'!$C$4:$C$387, "skincare")</f>
        <v>83019.170000000013</v>
      </c>
      <c r="M8" s="42">
        <f>SUMIFS('03_Base_Vendas'!$F$4:$F$387, '03_Base_Vendas'!$A$4:$A$387, M$7, '03_Base_Vendas'!$C$4:$C$387, "skincare")</f>
        <v>73478.790000000008</v>
      </c>
      <c r="N8" s="42">
        <f>SUMIFS('03_Base_Vendas'!$F$4:$F$387, '03_Base_Vendas'!$A$4:$A$387, N$7, '03_Base_Vendas'!$C$4:$C$387, "skincare")</f>
        <v>63242.369999999995</v>
      </c>
      <c r="O8" s="42">
        <f>SUMIFS('03_Base_Vendas'!$F$4:$F$387, '03_Base_Vendas'!$A$4:$A$387, O$7, '03_Base_Vendas'!$C$4:$C$387, "skincare")</f>
        <v>48847.560000000005</v>
      </c>
      <c r="P8" s="42">
        <f>SUMIFS('03_Base_Vendas'!$F$4:$F$387, '03_Base_Vendas'!$A$4:$A$387, P$7, '03_Base_Vendas'!$C$4:$C$387, "skincare")</f>
        <v>62617.89</v>
      </c>
      <c r="Q8" s="42">
        <f>SUMIFS('03_Base_Vendas'!$F$4:$F$387, '03_Base_Vendas'!$A$4:$A$387, Q$7, '03_Base_Vendas'!$C$4:$C$387, "skincare")</f>
        <v>57168.009999999995</v>
      </c>
      <c r="R8" s="42">
        <f>SUMIFS('03_Base_Vendas'!$F$4:$F$387, '03_Base_Vendas'!$A$4:$A$387, R$7, '03_Base_Vendas'!$C$4:$C$387, "skincare")</f>
        <v>81538.739999999991</v>
      </c>
      <c r="S8" s="42">
        <f>SUMIFS('03_Base_Vendas'!$F$4:$F$387, '03_Base_Vendas'!$A$4:$A$387, S$7, '03_Base_Vendas'!$C$4:$C$387, "skincare")</f>
        <v>64386.689999999995</v>
      </c>
      <c r="T8" s="42">
        <f>SUMIFS('03_Base_Vendas'!$F$4:$F$387, '03_Base_Vendas'!$A$4:$A$387, T$7, '03_Base_Vendas'!$C$4:$C$387, "skincare")</f>
        <v>49566.54</v>
      </c>
      <c r="U8" s="42">
        <f>SUMIFS('03_Base_Vendas'!$F$4:$F$387, '03_Base_Vendas'!$A$4:$A$387, U$7, '03_Base_Vendas'!$C$4:$C$387, "skincare")</f>
        <v>54210.27</v>
      </c>
      <c r="V8" s="42">
        <f>SUMIFS('03_Base_Vendas'!$F$4:$F$387, '03_Base_Vendas'!$A$4:$A$387, V$7, '03_Base_Vendas'!$C$4:$C$387, "skincare")</f>
        <v>58880.880000000005</v>
      </c>
      <c r="W8" s="42">
        <f>SUMIFS('03_Base_Vendas'!$F$4:$F$387, '03_Base_Vendas'!$A$4:$A$387, W$7, '03_Base_Vendas'!$C$4:$C$387, "skincare")</f>
        <v>66041.899999999994</v>
      </c>
      <c r="X8" s="42">
        <f>SUMIFS('03_Base_Vendas'!$F$4:$F$387, '03_Base_Vendas'!$A$4:$A$387, X$7, '03_Base_Vendas'!$C$4:$C$387, "skincare")</f>
        <v>88850.59</v>
      </c>
      <c r="Y8" s="42">
        <f>SUMIFS('03_Base_Vendas'!$F$4:$F$387, '03_Base_Vendas'!$A$4:$A$387, Y$7, '03_Base_Vendas'!$C$4:$C$387, "skincare")</f>
        <v>61483.619999999995</v>
      </c>
      <c r="Z8" s="43">
        <f t="shared" ref="Z8:Z13" si="0">SUM(B8:Y8)</f>
        <v>1492530.5099999998</v>
      </c>
    </row>
    <row r="9" spans="1:26" x14ac:dyDescent="0.25">
      <c r="A9" s="41" t="s">
        <v>332</v>
      </c>
      <c r="B9" s="42">
        <f>SUMIFS('03_Base_Vendas'!$G$4:$G$387, '03_Base_Vendas'!$A$4:$A$387, B$7, '03_Base_Vendas'!$C$4:$C$387, "skincare")</f>
        <v>1779.6499999999999</v>
      </c>
      <c r="C9" s="42">
        <f>SUMIFS('03_Base_Vendas'!$G$4:$G$387, '03_Base_Vendas'!$A$4:$A$387, C$7, '03_Base_Vendas'!$C$4:$C$387, "skincare")</f>
        <v>3278.9</v>
      </c>
      <c r="D9" s="42">
        <f>SUMIFS('03_Base_Vendas'!$G$4:$G$387, '03_Base_Vendas'!$A$4:$A$387, D$7, '03_Base_Vendas'!$C$4:$C$387, "skincare")</f>
        <v>1006.94</v>
      </c>
      <c r="E9" s="42">
        <f>SUMIFS('03_Base_Vendas'!$G$4:$G$387, '03_Base_Vendas'!$A$4:$A$387, E$7, '03_Base_Vendas'!$C$4:$C$387, "skincare")</f>
        <v>3242.5200000000004</v>
      </c>
      <c r="F9" s="42">
        <f>SUMIFS('03_Base_Vendas'!$G$4:$G$387, '03_Base_Vendas'!$A$4:$A$387, F$7, '03_Base_Vendas'!$C$4:$C$387, "skincare")</f>
        <v>3735.79</v>
      </c>
      <c r="G9" s="42">
        <f>SUMIFS('03_Base_Vendas'!$G$4:$G$387, '03_Base_Vendas'!$A$4:$A$387, G$7, '03_Base_Vendas'!$C$4:$C$387, "skincare")</f>
        <v>1450.84</v>
      </c>
      <c r="H9" s="42">
        <f>SUMIFS('03_Base_Vendas'!$G$4:$G$387, '03_Base_Vendas'!$A$4:$A$387, H$7, '03_Base_Vendas'!$C$4:$C$387, "skincare")</f>
        <v>2014.88</v>
      </c>
      <c r="I9" s="42">
        <f>SUMIFS('03_Base_Vendas'!$G$4:$G$387, '03_Base_Vendas'!$A$4:$A$387, I$7, '03_Base_Vendas'!$C$4:$C$387, "skincare")</f>
        <v>1421.26</v>
      </c>
      <c r="J9" s="42">
        <f>SUMIFS('03_Base_Vendas'!$G$4:$G$387, '03_Base_Vendas'!$A$4:$A$387, J$7, '03_Base_Vendas'!$C$4:$C$387, "skincare")</f>
        <v>3219.54</v>
      </c>
      <c r="K9" s="42">
        <f>SUMIFS('03_Base_Vendas'!$G$4:$G$387, '03_Base_Vendas'!$A$4:$A$387, K$7, '03_Base_Vendas'!$C$4:$C$387, "skincare")</f>
        <v>2444.69</v>
      </c>
      <c r="L9" s="42">
        <f>SUMIFS('03_Base_Vendas'!$G$4:$G$387, '03_Base_Vendas'!$A$4:$A$387, L$7, '03_Base_Vendas'!$C$4:$C$387, "skincare")</f>
        <v>3470.7200000000003</v>
      </c>
      <c r="M9" s="42">
        <f>SUMIFS('03_Base_Vendas'!$G$4:$G$387, '03_Base_Vendas'!$A$4:$A$387, M$7, '03_Base_Vendas'!$C$4:$C$387, "skincare")</f>
        <v>1372.35</v>
      </c>
      <c r="N9" s="42">
        <f>SUMIFS('03_Base_Vendas'!$G$4:$G$387, '03_Base_Vendas'!$A$4:$A$387, N$7, '03_Base_Vendas'!$C$4:$C$387, "skincare")</f>
        <v>4063.51</v>
      </c>
      <c r="O9" s="42">
        <f>SUMIFS('03_Base_Vendas'!$G$4:$G$387, '03_Base_Vendas'!$A$4:$A$387, O$7, '03_Base_Vendas'!$C$4:$C$387, "skincare")</f>
        <v>3093.04</v>
      </c>
      <c r="P9" s="42">
        <f>SUMIFS('03_Base_Vendas'!$G$4:$G$387, '03_Base_Vendas'!$A$4:$A$387, P$7, '03_Base_Vendas'!$C$4:$C$387, "skincare")</f>
        <v>2844.86</v>
      </c>
      <c r="Q9" s="42">
        <f>SUMIFS('03_Base_Vendas'!$G$4:$G$387, '03_Base_Vendas'!$A$4:$A$387, Q$7, '03_Base_Vendas'!$C$4:$C$387, "skincare")</f>
        <v>3332.71</v>
      </c>
      <c r="R9" s="42">
        <f>SUMIFS('03_Base_Vendas'!$G$4:$G$387, '03_Base_Vendas'!$A$4:$A$387, R$7, '03_Base_Vendas'!$C$4:$C$387, "skincare")</f>
        <v>3202.88</v>
      </c>
      <c r="S9" s="42">
        <f>SUMIFS('03_Base_Vendas'!$G$4:$G$387, '03_Base_Vendas'!$A$4:$A$387, S$7, '03_Base_Vendas'!$C$4:$C$387, "skincare")</f>
        <v>4521.18</v>
      </c>
      <c r="T9" s="42">
        <f>SUMIFS('03_Base_Vendas'!$G$4:$G$387, '03_Base_Vendas'!$A$4:$A$387, T$7, '03_Base_Vendas'!$C$4:$C$387, "skincare")</f>
        <v>2455.16</v>
      </c>
      <c r="U9" s="42">
        <f>SUMIFS('03_Base_Vendas'!$G$4:$G$387, '03_Base_Vendas'!$A$4:$A$387, U$7, '03_Base_Vendas'!$C$4:$C$387, "skincare")</f>
        <v>2020.63</v>
      </c>
      <c r="V9" s="42">
        <f>SUMIFS('03_Base_Vendas'!$G$4:$G$387, '03_Base_Vendas'!$A$4:$A$387, V$7, '03_Base_Vendas'!$C$4:$C$387, "skincare")</f>
        <v>4227.1399999999994</v>
      </c>
      <c r="W9" s="42">
        <f>SUMIFS('03_Base_Vendas'!$G$4:$G$387, '03_Base_Vendas'!$A$4:$A$387, W$7, '03_Base_Vendas'!$C$4:$C$387, "skincare")</f>
        <v>3136.2300000000005</v>
      </c>
      <c r="X9" s="42">
        <f>SUMIFS('03_Base_Vendas'!$G$4:$G$387, '03_Base_Vendas'!$A$4:$A$387, X$7, '03_Base_Vendas'!$C$4:$C$387, "skincare")</f>
        <v>1189.2400000000002</v>
      </c>
      <c r="Y9" s="42">
        <f>SUMIFS('03_Base_Vendas'!$G$4:$G$387, '03_Base_Vendas'!$A$4:$A$387, Y$7, '03_Base_Vendas'!$C$4:$C$387, "skincare")</f>
        <v>2186.36</v>
      </c>
      <c r="Z9" s="43">
        <f t="shared" si="0"/>
        <v>64711.02</v>
      </c>
    </row>
    <row r="10" spans="1:26" x14ac:dyDescent="0.25">
      <c r="A10" s="41" t="s">
        <v>333</v>
      </c>
      <c r="B10" s="42">
        <f>SUMIFS('03_Base_Vendas'!$H$4:$H$387, '03_Base_Vendas'!$A$4:$A$387, B$7, '03_Base_Vendas'!$C$4:$C$387, "skincare")</f>
        <v>5631.96</v>
      </c>
      <c r="C10" s="42">
        <f>SUMIFS('03_Base_Vendas'!$H$4:$H$387, '03_Base_Vendas'!$A$4:$A$387, C$7, '03_Base_Vendas'!$C$4:$C$387, "skincare")</f>
        <v>3991.7299999999996</v>
      </c>
      <c r="D10" s="42">
        <f>SUMIFS('03_Base_Vendas'!$H$4:$H$387, '03_Base_Vendas'!$A$4:$A$387, D$7, '03_Base_Vendas'!$C$4:$C$387, "skincare")</f>
        <v>4974.29</v>
      </c>
      <c r="E10" s="42">
        <f>SUMIFS('03_Base_Vendas'!$H$4:$H$387, '03_Base_Vendas'!$A$4:$A$387, E$7, '03_Base_Vendas'!$C$4:$C$387, "skincare")</f>
        <v>4630.9500000000007</v>
      </c>
      <c r="F10" s="42">
        <f>SUMIFS('03_Base_Vendas'!$H$4:$H$387, '03_Base_Vendas'!$A$4:$A$387, F$7, '03_Base_Vendas'!$C$4:$C$387, "skincare")</f>
        <v>7414.2500000000009</v>
      </c>
      <c r="G10" s="42">
        <f>SUMIFS('03_Base_Vendas'!$H$4:$H$387, '03_Base_Vendas'!$A$4:$A$387, G$7, '03_Base_Vendas'!$C$4:$C$387, "skincare")</f>
        <v>4187.12</v>
      </c>
      <c r="H10" s="42">
        <f>SUMIFS('03_Base_Vendas'!$H$4:$H$387, '03_Base_Vendas'!$A$4:$A$387, H$7, '03_Base_Vendas'!$C$4:$C$387, "skincare")</f>
        <v>3720.68</v>
      </c>
      <c r="I10" s="42">
        <f>SUMIFS('03_Base_Vendas'!$H$4:$H$387, '03_Base_Vendas'!$A$4:$A$387, I$7, '03_Base_Vendas'!$C$4:$C$387, "skincare")</f>
        <v>4804.8599999999997</v>
      </c>
      <c r="J10" s="42">
        <f>SUMIFS('03_Base_Vendas'!$H$4:$H$387, '03_Base_Vendas'!$A$4:$A$387, J$7, '03_Base_Vendas'!$C$4:$C$387, "skincare")</f>
        <v>4664.76</v>
      </c>
      <c r="K10" s="42">
        <f>SUMIFS('03_Base_Vendas'!$H$4:$H$387, '03_Base_Vendas'!$A$4:$A$387, K$7, '03_Base_Vendas'!$C$4:$C$387, "skincare")</f>
        <v>5007.34</v>
      </c>
      <c r="L10" s="42">
        <f>SUMIFS('03_Base_Vendas'!$H$4:$H$387, '03_Base_Vendas'!$A$4:$A$387, L$7, '03_Base_Vendas'!$C$4:$C$387, "skincare")</f>
        <v>7272.9400000000005</v>
      </c>
      <c r="M10" s="42">
        <f>SUMIFS('03_Base_Vendas'!$H$4:$H$387, '03_Base_Vendas'!$A$4:$A$387, M$7, '03_Base_Vendas'!$C$4:$C$387, "skincare")</f>
        <v>6581.76</v>
      </c>
      <c r="N10" s="42">
        <f>SUMIFS('03_Base_Vendas'!$H$4:$H$387, '03_Base_Vendas'!$A$4:$A$387, N$7, '03_Base_Vendas'!$C$4:$C$387, "skincare")</f>
        <v>5626.37</v>
      </c>
      <c r="O10" s="42">
        <f>SUMIFS('03_Base_Vendas'!$H$4:$H$387, '03_Base_Vendas'!$A$4:$A$387, O$7, '03_Base_Vendas'!$C$4:$C$387, "skincare")</f>
        <v>4369.55</v>
      </c>
      <c r="P10" s="42">
        <f>SUMIFS('03_Base_Vendas'!$H$4:$H$387, '03_Base_Vendas'!$A$4:$A$387, P$7, '03_Base_Vendas'!$C$4:$C$387, "skincare")</f>
        <v>5694.2300000000005</v>
      </c>
      <c r="Q10" s="42">
        <f>SUMIFS('03_Base_Vendas'!$H$4:$H$387, '03_Base_Vendas'!$A$4:$A$387, Q$7, '03_Base_Vendas'!$C$4:$C$387, "skincare")</f>
        <v>4947.76</v>
      </c>
      <c r="R10" s="42">
        <f>SUMIFS('03_Base_Vendas'!$H$4:$H$387, '03_Base_Vendas'!$A$4:$A$387, R$7, '03_Base_Vendas'!$C$4:$C$387, "skincare")</f>
        <v>7095.0499999999993</v>
      </c>
      <c r="S10" s="42">
        <f>SUMIFS('03_Base_Vendas'!$H$4:$H$387, '03_Base_Vendas'!$A$4:$A$387, S$7, '03_Base_Vendas'!$C$4:$C$387, "skincare")</f>
        <v>5146.3099999999995</v>
      </c>
      <c r="T10" s="42">
        <f>SUMIFS('03_Base_Vendas'!$H$4:$H$387, '03_Base_Vendas'!$A$4:$A$387, T$7, '03_Base_Vendas'!$C$4:$C$387, "skincare")</f>
        <v>5055.96</v>
      </c>
      <c r="U10" s="42">
        <f>SUMIFS('03_Base_Vendas'!$H$4:$H$387, '03_Base_Vendas'!$A$4:$A$387, U$7, '03_Base_Vendas'!$C$4:$C$387, "skincare")</f>
        <v>5095.9699999999993</v>
      </c>
      <c r="V10" s="42">
        <f>SUMIFS('03_Base_Vendas'!$H$4:$H$387, '03_Base_Vendas'!$A$4:$A$387, V$7, '03_Base_Vendas'!$C$4:$C$387, "skincare")</f>
        <v>4795.4500000000007</v>
      </c>
      <c r="W10" s="42">
        <f>SUMIFS('03_Base_Vendas'!$H$4:$H$387, '03_Base_Vendas'!$A$4:$A$387, W$7, '03_Base_Vendas'!$C$4:$C$387, "skincare")</f>
        <v>5821.6</v>
      </c>
      <c r="X10" s="42">
        <f>SUMIFS('03_Base_Vendas'!$H$4:$H$387, '03_Base_Vendas'!$A$4:$A$387, X$7, '03_Base_Vendas'!$C$4:$C$387, "skincare")</f>
        <v>7814.93</v>
      </c>
      <c r="Y10" s="42">
        <f>SUMIFS('03_Base_Vendas'!$H$4:$H$387, '03_Base_Vendas'!$A$4:$A$387, Y$7, '03_Base_Vendas'!$C$4:$C$387, "skincare")</f>
        <v>3341.39</v>
      </c>
      <c r="Z10" s="43">
        <f t="shared" si="0"/>
        <v>127687.21</v>
      </c>
    </row>
    <row r="11" spans="1:26" x14ac:dyDescent="0.25">
      <c r="A11" s="44" t="s">
        <v>334</v>
      </c>
      <c r="B11" s="45">
        <f t="shared" ref="B11:Y11" si="1">B8-B9-B10</f>
        <v>52603.199999999997</v>
      </c>
      <c r="C11" s="45">
        <f t="shared" si="1"/>
        <v>42174.97</v>
      </c>
      <c r="D11" s="45">
        <f t="shared" si="1"/>
        <v>51402.99</v>
      </c>
      <c r="E11" s="45">
        <f t="shared" si="1"/>
        <v>51732.39</v>
      </c>
      <c r="F11" s="45">
        <f t="shared" si="1"/>
        <v>73651.13</v>
      </c>
      <c r="G11" s="45">
        <f t="shared" si="1"/>
        <v>48755.639999999992</v>
      </c>
      <c r="H11" s="45">
        <f t="shared" si="1"/>
        <v>38667.440000000002</v>
      </c>
      <c r="I11" s="45">
        <f t="shared" si="1"/>
        <v>49535.05</v>
      </c>
      <c r="J11" s="45">
        <f t="shared" si="1"/>
        <v>44478.17</v>
      </c>
      <c r="K11" s="45">
        <f t="shared" si="1"/>
        <v>53573.56</v>
      </c>
      <c r="L11" s="45">
        <f t="shared" si="1"/>
        <v>72275.510000000009</v>
      </c>
      <c r="M11" s="45">
        <f t="shared" si="1"/>
        <v>65524.68</v>
      </c>
      <c r="N11" s="45">
        <f t="shared" si="1"/>
        <v>53552.489999999991</v>
      </c>
      <c r="O11" s="45">
        <f t="shared" si="1"/>
        <v>41384.97</v>
      </c>
      <c r="P11" s="45">
        <f t="shared" si="1"/>
        <v>54078.799999999996</v>
      </c>
      <c r="Q11" s="45">
        <f t="shared" si="1"/>
        <v>48887.539999999994</v>
      </c>
      <c r="R11" s="45">
        <f t="shared" si="1"/>
        <v>71240.809999999983</v>
      </c>
      <c r="S11" s="45">
        <f t="shared" si="1"/>
        <v>54719.199999999997</v>
      </c>
      <c r="T11" s="45">
        <f t="shared" si="1"/>
        <v>42055.420000000006</v>
      </c>
      <c r="U11" s="45">
        <f t="shared" si="1"/>
        <v>47093.67</v>
      </c>
      <c r="V11" s="45">
        <f t="shared" si="1"/>
        <v>49858.290000000008</v>
      </c>
      <c r="W11" s="45">
        <f t="shared" si="1"/>
        <v>57084.069999999992</v>
      </c>
      <c r="X11" s="45">
        <f t="shared" si="1"/>
        <v>79846.419999999984</v>
      </c>
      <c r="Y11" s="45">
        <f t="shared" si="1"/>
        <v>55955.869999999995</v>
      </c>
      <c r="Z11" s="43">
        <f t="shared" si="0"/>
        <v>1300132.2800000003</v>
      </c>
    </row>
    <row r="12" spans="1:26" x14ac:dyDescent="0.25">
      <c r="A12" s="41" t="s">
        <v>335</v>
      </c>
      <c r="B12" s="42">
        <f>SUMIFS('03_Base_Vendas'!$J$4:$J$387, '03_Base_Vendas'!$A$4:$A$387, B$7, '03_Base_Vendas'!$C$4:$C$387, "skincare")</f>
        <v>23607.89</v>
      </c>
      <c r="C12" s="42">
        <f>SUMIFS('03_Base_Vendas'!$J$4:$J$387, '03_Base_Vendas'!$A$4:$A$387, C$7, '03_Base_Vendas'!$C$4:$C$387, "skincare")</f>
        <v>19397.760000000002</v>
      </c>
      <c r="D12" s="42">
        <f>SUMIFS('03_Base_Vendas'!$J$4:$J$387, '03_Base_Vendas'!$A$4:$A$387, D$7, '03_Base_Vendas'!$C$4:$C$387, "skincare")</f>
        <v>22710.23</v>
      </c>
      <c r="E12" s="42">
        <f>SUMIFS('03_Base_Vendas'!$J$4:$J$387, '03_Base_Vendas'!$A$4:$A$387, E$7, '03_Base_Vendas'!$C$4:$C$387, "skincare")</f>
        <v>23611.18</v>
      </c>
      <c r="F12" s="42">
        <f>SUMIFS('03_Base_Vendas'!$J$4:$J$387, '03_Base_Vendas'!$A$4:$A$387, F$7, '03_Base_Vendas'!$C$4:$C$387, "skincare")</f>
        <v>33428.839999999997</v>
      </c>
      <c r="G12" s="42">
        <f>SUMIFS('03_Base_Vendas'!$J$4:$J$387, '03_Base_Vendas'!$A$4:$A$387, G$7, '03_Base_Vendas'!$C$4:$C$387, "skincare")</f>
        <v>21791.18</v>
      </c>
      <c r="H12" s="42">
        <f>SUMIFS('03_Base_Vendas'!$J$4:$J$387, '03_Base_Vendas'!$A$4:$A$387, H$7, '03_Base_Vendas'!$C$4:$C$387, "skincare")</f>
        <v>17376.129999999997</v>
      </c>
      <c r="I12" s="42">
        <f>SUMIFS('03_Base_Vendas'!$J$4:$J$387, '03_Base_Vendas'!$A$4:$A$387, I$7, '03_Base_Vendas'!$C$4:$C$387, "skincare")</f>
        <v>22007.06</v>
      </c>
      <c r="J12" s="42">
        <f>SUMIFS('03_Base_Vendas'!$J$4:$J$387, '03_Base_Vendas'!$A$4:$A$387, J$7, '03_Base_Vendas'!$C$4:$C$387, "skincare")</f>
        <v>20828.349999999999</v>
      </c>
      <c r="K12" s="42">
        <f>SUMIFS('03_Base_Vendas'!$J$4:$J$387, '03_Base_Vendas'!$A$4:$A$387, K$7, '03_Base_Vendas'!$C$4:$C$387, "skincare")</f>
        <v>24142.469999999998</v>
      </c>
      <c r="L12" s="42">
        <f>SUMIFS('03_Base_Vendas'!$J$4:$J$387, '03_Base_Vendas'!$A$4:$A$387, L$7, '03_Base_Vendas'!$C$4:$C$387, "skincare")</f>
        <v>32746.18</v>
      </c>
      <c r="M12" s="42">
        <f>SUMIFS('03_Base_Vendas'!$J$4:$J$387, '03_Base_Vendas'!$A$4:$A$387, M$7, '03_Base_Vendas'!$C$4:$C$387, "skincare")</f>
        <v>29017.4</v>
      </c>
      <c r="N12" s="42">
        <f>SUMIFS('03_Base_Vendas'!$J$4:$J$387, '03_Base_Vendas'!$A$4:$A$387, N$7, '03_Base_Vendas'!$C$4:$C$387, "skincare")</f>
        <v>25385.1</v>
      </c>
      <c r="O12" s="42">
        <f>SUMIFS('03_Base_Vendas'!$J$4:$J$387, '03_Base_Vendas'!$A$4:$A$387, O$7, '03_Base_Vendas'!$C$4:$C$387, "skincare")</f>
        <v>19251.3</v>
      </c>
      <c r="P12" s="42">
        <f>SUMIFS('03_Base_Vendas'!$J$4:$J$387, '03_Base_Vendas'!$A$4:$A$387, P$7, '03_Base_Vendas'!$C$4:$C$387, "skincare")</f>
        <v>24734.799999999999</v>
      </c>
      <c r="Q12" s="42">
        <f>SUMIFS('03_Base_Vendas'!$J$4:$J$387, '03_Base_Vendas'!$A$4:$A$387, Q$7, '03_Base_Vendas'!$C$4:$C$387, "skincare")</f>
        <v>22489.11</v>
      </c>
      <c r="R12" s="42">
        <f>SUMIFS('03_Base_Vendas'!$J$4:$J$387, '03_Base_Vendas'!$A$4:$A$387, R$7, '03_Base_Vendas'!$C$4:$C$387, "skincare")</f>
        <v>32302.78</v>
      </c>
      <c r="S12" s="42">
        <f>SUMIFS('03_Base_Vendas'!$J$4:$J$387, '03_Base_Vendas'!$A$4:$A$387, S$7, '03_Base_Vendas'!$C$4:$C$387, "skincare")</f>
        <v>25474.670000000002</v>
      </c>
      <c r="T12" s="42">
        <f>SUMIFS('03_Base_Vendas'!$J$4:$J$387, '03_Base_Vendas'!$A$4:$A$387, T$7, '03_Base_Vendas'!$C$4:$C$387, "skincare")</f>
        <v>19626.339999999997</v>
      </c>
      <c r="U12" s="42">
        <f>SUMIFS('03_Base_Vendas'!$J$4:$J$387, '03_Base_Vendas'!$A$4:$A$387, U$7, '03_Base_Vendas'!$C$4:$C$387, "skincare")</f>
        <v>21084.74</v>
      </c>
      <c r="V12" s="42">
        <f>SUMIFS('03_Base_Vendas'!$J$4:$J$387, '03_Base_Vendas'!$A$4:$A$387, V$7, '03_Base_Vendas'!$C$4:$C$387, "skincare")</f>
        <v>23252.12</v>
      </c>
      <c r="W12" s="42">
        <f>SUMIFS('03_Base_Vendas'!$J$4:$J$387, '03_Base_Vendas'!$A$4:$A$387, W$7, '03_Base_Vendas'!$C$4:$C$387, "skincare")</f>
        <v>26350.03</v>
      </c>
      <c r="X12" s="42">
        <f>SUMIFS('03_Base_Vendas'!$J$4:$J$387, '03_Base_Vendas'!$A$4:$A$387, X$7, '03_Base_Vendas'!$C$4:$C$387, "skincare")</f>
        <v>34952.479999999996</v>
      </c>
      <c r="Y12" s="42">
        <f>SUMIFS('03_Base_Vendas'!$J$4:$J$387, '03_Base_Vendas'!$A$4:$A$387, Y$7, '03_Base_Vendas'!$C$4:$C$387, "skincare")</f>
        <v>24417.66</v>
      </c>
      <c r="Z12" s="43">
        <f t="shared" si="0"/>
        <v>589985.79999999993</v>
      </c>
    </row>
    <row r="13" spans="1:26" x14ac:dyDescent="0.25">
      <c r="A13" s="44" t="s">
        <v>336</v>
      </c>
      <c r="B13" s="45">
        <f t="shared" ref="B13:Y13" si="2">B11-B12</f>
        <v>28995.309999999998</v>
      </c>
      <c r="C13" s="45">
        <f t="shared" si="2"/>
        <v>22777.21</v>
      </c>
      <c r="D13" s="45">
        <f t="shared" si="2"/>
        <v>28692.76</v>
      </c>
      <c r="E13" s="45">
        <f t="shared" si="2"/>
        <v>28121.21</v>
      </c>
      <c r="F13" s="45">
        <f t="shared" si="2"/>
        <v>40222.290000000008</v>
      </c>
      <c r="G13" s="45">
        <f t="shared" si="2"/>
        <v>26964.459999999992</v>
      </c>
      <c r="H13" s="45">
        <f t="shared" si="2"/>
        <v>21291.310000000005</v>
      </c>
      <c r="I13" s="45">
        <f t="shared" si="2"/>
        <v>27527.99</v>
      </c>
      <c r="J13" s="45">
        <f t="shared" si="2"/>
        <v>23649.82</v>
      </c>
      <c r="K13" s="45">
        <f t="shared" si="2"/>
        <v>29431.09</v>
      </c>
      <c r="L13" s="45">
        <f t="shared" si="2"/>
        <v>39529.330000000009</v>
      </c>
      <c r="M13" s="45">
        <f t="shared" si="2"/>
        <v>36507.279999999999</v>
      </c>
      <c r="N13" s="45">
        <f t="shared" si="2"/>
        <v>28167.389999999992</v>
      </c>
      <c r="O13" s="45">
        <f t="shared" si="2"/>
        <v>22133.670000000002</v>
      </c>
      <c r="P13" s="45">
        <f t="shared" si="2"/>
        <v>29343.999999999996</v>
      </c>
      <c r="Q13" s="45">
        <f t="shared" si="2"/>
        <v>26398.429999999993</v>
      </c>
      <c r="R13" s="45">
        <f t="shared" si="2"/>
        <v>38938.029999999984</v>
      </c>
      <c r="S13" s="45">
        <f t="shared" si="2"/>
        <v>29244.529999999995</v>
      </c>
      <c r="T13" s="45">
        <f t="shared" si="2"/>
        <v>22429.080000000009</v>
      </c>
      <c r="U13" s="45">
        <f t="shared" si="2"/>
        <v>26008.929999999997</v>
      </c>
      <c r="V13" s="45">
        <f t="shared" si="2"/>
        <v>26606.170000000009</v>
      </c>
      <c r="W13" s="45">
        <f t="shared" si="2"/>
        <v>30734.039999999994</v>
      </c>
      <c r="X13" s="45">
        <f t="shared" si="2"/>
        <v>44893.939999999988</v>
      </c>
      <c r="Y13" s="45">
        <f t="shared" si="2"/>
        <v>31538.209999999995</v>
      </c>
      <c r="Z13" s="43">
        <f t="shared" si="0"/>
        <v>710146.48</v>
      </c>
    </row>
    <row r="14" spans="1:26" x14ac:dyDescent="0.25">
      <c r="A14" s="41" t="s">
        <v>337</v>
      </c>
      <c r="B14" s="46">
        <f t="shared" ref="B14:Y14" si="3">IFERROR(B13/B11,0)</f>
        <v>0.55120810140827936</v>
      </c>
      <c r="C14" s="46">
        <f t="shared" si="3"/>
        <v>0.5400646402356658</v>
      </c>
      <c r="D14" s="46">
        <f t="shared" si="3"/>
        <v>0.55819243199666013</v>
      </c>
      <c r="E14" s="46">
        <f t="shared" si="3"/>
        <v>0.54359000231769694</v>
      </c>
      <c r="F14" s="46">
        <f t="shared" si="3"/>
        <v>0.54611911589136519</v>
      </c>
      <c r="G14" s="46">
        <f t="shared" si="3"/>
        <v>0.55305314421059792</v>
      </c>
      <c r="H14" s="46">
        <f t="shared" si="3"/>
        <v>0.55062631505990578</v>
      </c>
      <c r="I14" s="46">
        <f t="shared" si="3"/>
        <v>0.55572751011657406</v>
      </c>
      <c r="J14" s="46">
        <f t="shared" si="3"/>
        <v>0.53171746949121335</v>
      </c>
      <c r="K14" s="46">
        <f t="shared" si="3"/>
        <v>0.54935848952356348</v>
      </c>
      <c r="L14" s="46">
        <f t="shared" si="3"/>
        <v>0.54692564604525107</v>
      </c>
      <c r="M14" s="46">
        <f t="shared" si="3"/>
        <v>0.55715312154137953</v>
      </c>
      <c r="N14" s="46">
        <f t="shared" si="3"/>
        <v>0.52597722346804032</v>
      </c>
      <c r="O14" s="46">
        <f t="shared" si="3"/>
        <v>0.53482387446457014</v>
      </c>
      <c r="P14" s="46">
        <f t="shared" si="3"/>
        <v>0.5426155905826312</v>
      </c>
      <c r="Q14" s="46">
        <f t="shared" si="3"/>
        <v>0.53998278497956731</v>
      </c>
      <c r="R14" s="46">
        <f t="shared" si="3"/>
        <v>0.54656916449995441</v>
      </c>
      <c r="S14" s="46">
        <f t="shared" si="3"/>
        <v>0.53444732379128346</v>
      </c>
      <c r="T14" s="46">
        <f t="shared" si="3"/>
        <v>0.53332198323069901</v>
      </c>
      <c r="U14" s="46">
        <f t="shared" si="3"/>
        <v>0.55228080546706171</v>
      </c>
      <c r="V14" s="46">
        <f t="shared" si="3"/>
        <v>0.53363583067128861</v>
      </c>
      <c r="W14" s="46">
        <f t="shared" si="3"/>
        <v>0.53839959204030119</v>
      </c>
      <c r="X14" s="46">
        <f t="shared" si="3"/>
        <v>0.56225363641851445</v>
      </c>
      <c r="Y14" s="46">
        <f t="shared" si="3"/>
        <v>0.56362647922371678</v>
      </c>
      <c r="Z14" s="47">
        <f>IFERROR($Z$13/$Z$11,0)</f>
        <v>0.54621094401255832</v>
      </c>
    </row>
    <row r="15" spans="1:26" x14ac:dyDescent="0.25">
      <c r="A15" s="41" t="s">
        <v>338</v>
      </c>
      <c r="B15" s="42">
        <f>(SUMIFS('04_Base_Despesas'!$D$4:$D$219, '04_Base_Despesas'!$A$4:$A$219, B$7, '04_Base_Despesas'!$B$4:$B$219, "pessoal"))*(IFERROR(SUMIFS('03_Base_Vendas'!$I$4:$I$387, '03_Base_Vendas'!$A$4:$A$387, B$7, '03_Base_Vendas'!$C$4:$C$387, "skincare")/SUMIFS('03_Base_Vendas'!$I$4:$I$387, '03_Base_Vendas'!$A$4:$A$387, B$7),0))</f>
        <v>17760.534650329962</v>
      </c>
      <c r="C15" s="42">
        <f>(SUMIFS('04_Base_Despesas'!$D$4:$D$219, '04_Base_Despesas'!$A$4:$A$219, C$7, '04_Base_Despesas'!$B$4:$B$219, "pessoal"))*(IFERROR(SUMIFS('03_Base_Vendas'!$I$4:$I$387, '03_Base_Vendas'!$A$4:$A$387, C$7, '03_Base_Vendas'!$C$4:$C$387, "skincare")/SUMIFS('03_Base_Vendas'!$I$4:$I$387, '03_Base_Vendas'!$A$4:$A$387, C$7),0))</f>
        <v>17627.349500859189</v>
      </c>
      <c r="D15" s="42">
        <f>(SUMIFS('04_Base_Despesas'!$D$4:$D$219, '04_Base_Despesas'!$A$4:$A$219, D$7, '04_Base_Despesas'!$B$4:$B$219, "pessoal"))*(IFERROR(SUMIFS('03_Base_Vendas'!$I$4:$I$387, '03_Base_Vendas'!$A$4:$A$387, D$7, '03_Base_Vendas'!$C$4:$C$387, "skincare")/SUMIFS('03_Base_Vendas'!$I$4:$I$387, '03_Base_Vendas'!$A$4:$A$387, D$7),0))</f>
        <v>16939.72078570076</v>
      </c>
      <c r="E15" s="42">
        <f>(SUMIFS('04_Base_Despesas'!$D$4:$D$219, '04_Base_Despesas'!$A$4:$A$219, E$7, '04_Base_Despesas'!$B$4:$B$219, "pessoal"))*(IFERROR(SUMIFS('03_Base_Vendas'!$I$4:$I$387, '03_Base_Vendas'!$A$4:$A$387, E$7, '03_Base_Vendas'!$C$4:$C$387, "skincare")/SUMIFS('03_Base_Vendas'!$I$4:$I$387, '03_Base_Vendas'!$A$4:$A$387, E$7),0))</f>
        <v>18305.092458294523</v>
      </c>
      <c r="F15" s="42">
        <f>(SUMIFS('04_Base_Despesas'!$D$4:$D$219, '04_Base_Despesas'!$A$4:$A$219, F$7, '04_Base_Despesas'!$B$4:$B$219, "pessoal"))*(IFERROR(SUMIFS('03_Base_Vendas'!$I$4:$I$387, '03_Base_Vendas'!$A$4:$A$387, F$7, '03_Base_Vendas'!$C$4:$C$387, "skincare")/SUMIFS('03_Base_Vendas'!$I$4:$I$387, '03_Base_Vendas'!$A$4:$A$387, F$7),0))</f>
        <v>19635.068828160685</v>
      </c>
      <c r="G15" s="42">
        <f>(SUMIFS('04_Base_Despesas'!$D$4:$D$219, '04_Base_Despesas'!$A$4:$A$219, G$7, '04_Base_Despesas'!$B$4:$B$219, "pessoal"))*(IFERROR(SUMIFS('03_Base_Vendas'!$I$4:$I$387, '03_Base_Vendas'!$A$4:$A$387, G$7, '03_Base_Vendas'!$C$4:$C$387, "skincare")/SUMIFS('03_Base_Vendas'!$I$4:$I$387, '03_Base_Vendas'!$A$4:$A$387, G$7),0))</f>
        <v>14530.790737422249</v>
      </c>
      <c r="H15" s="42">
        <f>(SUMIFS('04_Base_Despesas'!$D$4:$D$219, '04_Base_Despesas'!$A$4:$A$219, H$7, '04_Base_Despesas'!$B$4:$B$219, "pessoal"))*(IFERROR(SUMIFS('03_Base_Vendas'!$I$4:$I$387, '03_Base_Vendas'!$A$4:$A$387, H$7, '03_Base_Vendas'!$C$4:$C$387, "skincare")/SUMIFS('03_Base_Vendas'!$I$4:$I$387, '03_Base_Vendas'!$A$4:$A$387, H$7),0))</f>
        <v>15526.678443829613</v>
      </c>
      <c r="I15" s="42">
        <f>(SUMIFS('04_Base_Despesas'!$D$4:$D$219, '04_Base_Despesas'!$A$4:$A$219, I$7, '04_Base_Despesas'!$B$4:$B$219, "pessoal"))*(IFERROR(SUMIFS('03_Base_Vendas'!$I$4:$I$387, '03_Base_Vendas'!$A$4:$A$387, I$7, '03_Base_Vendas'!$C$4:$C$387, "skincare")/SUMIFS('03_Base_Vendas'!$I$4:$I$387, '03_Base_Vendas'!$A$4:$A$387, I$7),0))</f>
        <v>19939.491916535389</v>
      </c>
      <c r="J15" s="42">
        <f>(SUMIFS('04_Base_Despesas'!$D$4:$D$219, '04_Base_Despesas'!$A$4:$A$219, J$7, '04_Base_Despesas'!$B$4:$B$219, "pessoal"))*(IFERROR(SUMIFS('03_Base_Vendas'!$I$4:$I$387, '03_Base_Vendas'!$A$4:$A$387, J$7, '03_Base_Vendas'!$C$4:$C$387, "skincare")/SUMIFS('03_Base_Vendas'!$I$4:$I$387, '03_Base_Vendas'!$A$4:$A$387, J$7),0))</f>
        <v>17168.063846741352</v>
      </c>
      <c r="K15" s="42">
        <f>(SUMIFS('04_Base_Despesas'!$D$4:$D$219, '04_Base_Despesas'!$A$4:$A$219, K$7, '04_Base_Despesas'!$B$4:$B$219, "pessoal"))*(IFERROR(SUMIFS('03_Base_Vendas'!$I$4:$I$387, '03_Base_Vendas'!$A$4:$A$387, K$7, '03_Base_Vendas'!$C$4:$C$387, "skincare")/SUMIFS('03_Base_Vendas'!$I$4:$I$387, '03_Base_Vendas'!$A$4:$A$387, K$7),0))</f>
        <v>18949.643693105485</v>
      </c>
      <c r="L15" s="42">
        <f>(SUMIFS('04_Base_Despesas'!$D$4:$D$219, '04_Base_Despesas'!$A$4:$A$219, L$7, '04_Base_Despesas'!$B$4:$B$219, "pessoal"))*(IFERROR(SUMIFS('03_Base_Vendas'!$I$4:$I$387, '03_Base_Vendas'!$A$4:$A$387, L$7, '03_Base_Vendas'!$C$4:$C$387, "skincare")/SUMIFS('03_Base_Vendas'!$I$4:$I$387, '03_Base_Vendas'!$A$4:$A$387, L$7),0))</f>
        <v>18021.338259153701</v>
      </c>
      <c r="M15" s="42">
        <f>(SUMIFS('04_Base_Despesas'!$D$4:$D$219, '04_Base_Despesas'!$A$4:$A$219, M$7, '04_Base_Despesas'!$B$4:$B$219, "pessoal"))*(IFERROR(SUMIFS('03_Base_Vendas'!$I$4:$I$387, '03_Base_Vendas'!$A$4:$A$387, M$7, '03_Base_Vendas'!$C$4:$C$387, "skincare")/SUMIFS('03_Base_Vendas'!$I$4:$I$387, '03_Base_Vendas'!$A$4:$A$387, M$7),0))</f>
        <v>17278.215058850346</v>
      </c>
      <c r="N15" s="42">
        <f>(SUMIFS('04_Base_Despesas'!$D$4:$D$219, '04_Base_Despesas'!$A$4:$A$219, N$7, '04_Base_Despesas'!$B$4:$B$219, "pessoal"))*(IFERROR(SUMIFS('03_Base_Vendas'!$I$4:$I$387, '03_Base_Vendas'!$A$4:$A$387, N$7, '03_Base_Vendas'!$C$4:$C$387, "skincare")/SUMIFS('03_Base_Vendas'!$I$4:$I$387, '03_Base_Vendas'!$A$4:$A$387, N$7),0))</f>
        <v>15733.394223471601</v>
      </c>
      <c r="O15" s="42">
        <f>(SUMIFS('04_Base_Despesas'!$D$4:$D$219, '04_Base_Despesas'!$A$4:$A$219, O$7, '04_Base_Despesas'!$B$4:$B$219, "pessoal"))*(IFERROR(SUMIFS('03_Base_Vendas'!$I$4:$I$387, '03_Base_Vendas'!$A$4:$A$387, O$7, '03_Base_Vendas'!$C$4:$C$387, "skincare")/SUMIFS('03_Base_Vendas'!$I$4:$I$387, '03_Base_Vendas'!$A$4:$A$387, O$7),0))</f>
        <v>14741.305545858653</v>
      </c>
      <c r="P15" s="42">
        <f>(SUMIFS('04_Base_Despesas'!$D$4:$D$219, '04_Base_Despesas'!$A$4:$A$219, P$7, '04_Base_Despesas'!$B$4:$B$219, "pessoal"))*(IFERROR(SUMIFS('03_Base_Vendas'!$I$4:$I$387, '03_Base_Vendas'!$A$4:$A$387, P$7, '03_Base_Vendas'!$C$4:$C$387, "skincare")/SUMIFS('03_Base_Vendas'!$I$4:$I$387, '03_Base_Vendas'!$A$4:$A$387, P$7),0))</f>
        <v>16512.373828444008</v>
      </c>
      <c r="Q15" s="42">
        <f>(SUMIFS('04_Base_Despesas'!$D$4:$D$219, '04_Base_Despesas'!$A$4:$A$219, Q$7, '04_Base_Despesas'!$B$4:$B$219, "pessoal"))*(IFERROR(SUMIFS('03_Base_Vendas'!$I$4:$I$387, '03_Base_Vendas'!$A$4:$A$387, Q$7, '03_Base_Vendas'!$C$4:$C$387, "skincare")/SUMIFS('03_Base_Vendas'!$I$4:$I$387, '03_Base_Vendas'!$A$4:$A$387, Q$7),0))</f>
        <v>17517.523090667633</v>
      </c>
      <c r="R15" s="42">
        <f>(SUMIFS('04_Base_Despesas'!$D$4:$D$219, '04_Base_Despesas'!$A$4:$A$219, R$7, '04_Base_Despesas'!$B$4:$B$219, "pessoal"))*(IFERROR(SUMIFS('03_Base_Vendas'!$I$4:$I$387, '03_Base_Vendas'!$A$4:$A$387, R$7, '03_Base_Vendas'!$C$4:$C$387, "skincare")/SUMIFS('03_Base_Vendas'!$I$4:$I$387, '03_Base_Vendas'!$A$4:$A$387, R$7),0))</f>
        <v>17808.346593674116</v>
      </c>
      <c r="S15" s="42">
        <f>(SUMIFS('04_Base_Despesas'!$D$4:$D$219, '04_Base_Despesas'!$A$4:$A$219, S$7, '04_Base_Despesas'!$B$4:$B$219, "pessoal"))*(IFERROR(SUMIFS('03_Base_Vendas'!$I$4:$I$387, '03_Base_Vendas'!$A$4:$A$387, S$7, '03_Base_Vendas'!$C$4:$C$387, "skincare")/SUMIFS('03_Base_Vendas'!$I$4:$I$387, '03_Base_Vendas'!$A$4:$A$387, S$7),0))</f>
        <v>14946.637686103475</v>
      </c>
      <c r="T15" s="42">
        <f>(SUMIFS('04_Base_Despesas'!$D$4:$D$219, '04_Base_Despesas'!$A$4:$A$219, T$7, '04_Base_Despesas'!$B$4:$B$219, "pessoal"))*(IFERROR(SUMIFS('03_Base_Vendas'!$I$4:$I$387, '03_Base_Vendas'!$A$4:$A$387, T$7, '03_Base_Vendas'!$C$4:$C$387, "skincare")/SUMIFS('03_Base_Vendas'!$I$4:$I$387, '03_Base_Vendas'!$A$4:$A$387, T$7),0))</f>
        <v>13800.857959364848</v>
      </c>
      <c r="U15" s="42">
        <f>(SUMIFS('04_Base_Despesas'!$D$4:$D$219, '04_Base_Despesas'!$A$4:$A$219, U$7, '04_Base_Despesas'!$B$4:$B$219, "pessoal"))*(IFERROR(SUMIFS('03_Base_Vendas'!$I$4:$I$387, '03_Base_Vendas'!$A$4:$A$387, U$7, '03_Base_Vendas'!$C$4:$C$387, "skincare")/SUMIFS('03_Base_Vendas'!$I$4:$I$387, '03_Base_Vendas'!$A$4:$A$387, U$7),0))</f>
        <v>15954.147996100801</v>
      </c>
      <c r="V15" s="42">
        <f>(SUMIFS('04_Base_Despesas'!$D$4:$D$219, '04_Base_Despesas'!$A$4:$A$219, V$7, '04_Base_Despesas'!$B$4:$B$219, "pessoal"))*(IFERROR(SUMIFS('03_Base_Vendas'!$I$4:$I$387, '03_Base_Vendas'!$A$4:$A$387, V$7, '03_Base_Vendas'!$C$4:$C$387, "skincare")/SUMIFS('03_Base_Vendas'!$I$4:$I$387, '03_Base_Vendas'!$A$4:$A$387, V$7),0))</f>
        <v>16341.747370116167</v>
      </c>
      <c r="W15" s="42">
        <f>(SUMIFS('04_Base_Despesas'!$D$4:$D$219, '04_Base_Despesas'!$A$4:$A$219, W$7, '04_Base_Despesas'!$B$4:$B$219, "pessoal"))*(IFERROR(SUMIFS('03_Base_Vendas'!$I$4:$I$387, '03_Base_Vendas'!$A$4:$A$387, W$7, '03_Base_Vendas'!$C$4:$C$387, "skincare")/SUMIFS('03_Base_Vendas'!$I$4:$I$387, '03_Base_Vendas'!$A$4:$A$387, W$7),0))</f>
        <v>17374.451546616892</v>
      </c>
      <c r="X15" s="42">
        <f>(SUMIFS('04_Base_Despesas'!$D$4:$D$219, '04_Base_Despesas'!$A$4:$A$219, X$7, '04_Base_Despesas'!$B$4:$B$219, "pessoal"))*(IFERROR(SUMIFS('03_Base_Vendas'!$I$4:$I$387, '03_Base_Vendas'!$A$4:$A$387, X$7, '03_Base_Vendas'!$C$4:$C$387, "skincare")/SUMIFS('03_Base_Vendas'!$I$4:$I$387, '03_Base_Vendas'!$A$4:$A$387, X$7),0))</f>
        <v>16474.129708201668</v>
      </c>
      <c r="Y15" s="42">
        <f>(SUMIFS('04_Base_Despesas'!$D$4:$D$219, '04_Base_Despesas'!$A$4:$A$219, Y$7, '04_Base_Despesas'!$B$4:$B$219, "pessoal"))*(IFERROR(SUMIFS('03_Base_Vendas'!$I$4:$I$387, '03_Base_Vendas'!$A$4:$A$387, Y$7, '03_Base_Vendas'!$C$4:$C$387, "skincare")/SUMIFS('03_Base_Vendas'!$I$4:$I$387, '03_Base_Vendas'!$A$4:$A$387, Y$7),0))</f>
        <v>14720.696060508386</v>
      </c>
      <c r="Z15" s="43">
        <f t="shared" ref="Z15:Z23" si="4">SUM(B15:Y15)</f>
        <v>403607.59978811152</v>
      </c>
    </row>
    <row r="16" spans="1:26" x14ac:dyDescent="0.25">
      <c r="A16" s="41" t="s">
        <v>339</v>
      </c>
      <c r="B16" s="42">
        <f>(SUMIFS('04_Base_Despesas'!$D$4:$D$219, '04_Base_Despesas'!$A$4:$A$219, B$7, '04_Base_Despesas'!$B$4:$B$219, "aluguel"))*(IFERROR(SUMIFS('03_Base_Vendas'!$I$4:$I$387, '03_Base_Vendas'!$A$4:$A$387, B$7, '03_Base_Vendas'!$C$4:$C$387, "skincare")/SUMIFS('03_Base_Vendas'!$I$4:$I$387, '03_Base_Vendas'!$A$4:$A$387, B$7),0))</f>
        <v>3331.0476221811241</v>
      </c>
      <c r="C16" s="42">
        <f>(SUMIFS('04_Base_Despesas'!$D$4:$D$219, '04_Base_Despesas'!$A$4:$A$219, C$7, '04_Base_Despesas'!$B$4:$B$219, "aluguel"))*(IFERROR(SUMIFS('03_Base_Vendas'!$I$4:$I$387, '03_Base_Vendas'!$A$4:$A$387, C$7, '03_Base_Vendas'!$C$4:$C$387, "skincare")/SUMIFS('03_Base_Vendas'!$I$4:$I$387, '03_Base_Vendas'!$A$4:$A$387, C$7),0))</f>
        <v>3212.7126608211761</v>
      </c>
      <c r="D16" s="42">
        <f>(SUMIFS('04_Base_Despesas'!$D$4:$D$219, '04_Base_Despesas'!$A$4:$A$219, D$7, '04_Base_Despesas'!$B$4:$B$219, "aluguel"))*(IFERROR(SUMIFS('03_Base_Vendas'!$I$4:$I$387, '03_Base_Vendas'!$A$4:$A$387, D$7, '03_Base_Vendas'!$C$4:$C$387, "skincare")/SUMIFS('03_Base_Vendas'!$I$4:$I$387, '03_Base_Vendas'!$A$4:$A$387, D$7),0))</f>
        <v>3210.5366603156567</v>
      </c>
      <c r="E16" s="42">
        <f>(SUMIFS('04_Base_Despesas'!$D$4:$D$219, '04_Base_Despesas'!$A$4:$A$219, E$7, '04_Base_Despesas'!$B$4:$B$219, "aluguel"))*(IFERROR(SUMIFS('03_Base_Vendas'!$I$4:$I$387, '03_Base_Vendas'!$A$4:$A$387, E$7, '03_Base_Vendas'!$C$4:$C$387, "skincare")/SUMIFS('03_Base_Vendas'!$I$4:$I$387, '03_Base_Vendas'!$A$4:$A$387, E$7),0))</f>
        <v>3515.0279123672112</v>
      </c>
      <c r="F16" s="42">
        <f>(SUMIFS('04_Base_Despesas'!$D$4:$D$219, '04_Base_Despesas'!$A$4:$A$219, F$7, '04_Base_Despesas'!$B$4:$B$219, "aluguel"))*(IFERROR(SUMIFS('03_Base_Vendas'!$I$4:$I$387, '03_Base_Vendas'!$A$4:$A$387, F$7, '03_Base_Vendas'!$C$4:$C$387, "skincare")/SUMIFS('03_Base_Vendas'!$I$4:$I$387, '03_Base_Vendas'!$A$4:$A$387, F$7),0))</f>
        <v>3588.2193797028385</v>
      </c>
      <c r="G16" s="42">
        <f>(SUMIFS('04_Base_Despesas'!$D$4:$D$219, '04_Base_Despesas'!$A$4:$A$219, G$7, '04_Base_Despesas'!$B$4:$B$219, "aluguel"))*(IFERROR(SUMIFS('03_Base_Vendas'!$I$4:$I$387, '03_Base_Vendas'!$A$4:$A$387, G$7, '03_Base_Vendas'!$C$4:$C$387, "skincare")/SUMIFS('03_Base_Vendas'!$I$4:$I$387, '03_Base_Vendas'!$A$4:$A$387, G$7),0))</f>
        <v>2729.0378459401036</v>
      </c>
      <c r="H16" s="42">
        <f>(SUMIFS('04_Base_Despesas'!$D$4:$D$219, '04_Base_Despesas'!$A$4:$A$219, H$7, '04_Base_Despesas'!$B$4:$B$219, "aluguel"))*(IFERROR(SUMIFS('03_Base_Vendas'!$I$4:$I$387, '03_Base_Vendas'!$A$4:$A$387, H$7, '03_Base_Vendas'!$C$4:$C$387, "skincare")/SUMIFS('03_Base_Vendas'!$I$4:$I$387, '03_Base_Vendas'!$A$4:$A$387, H$7),0))</f>
        <v>2843.0020169689778</v>
      </c>
      <c r="I16" s="42">
        <f>(SUMIFS('04_Base_Despesas'!$D$4:$D$219, '04_Base_Despesas'!$A$4:$A$219, I$7, '04_Base_Despesas'!$B$4:$B$219, "aluguel"))*(IFERROR(SUMIFS('03_Base_Vendas'!$I$4:$I$387, '03_Base_Vendas'!$A$4:$A$387, I$7, '03_Base_Vendas'!$C$4:$C$387, "skincare")/SUMIFS('03_Base_Vendas'!$I$4:$I$387, '03_Base_Vendas'!$A$4:$A$387, I$7),0))</f>
        <v>3649.4942289606142</v>
      </c>
      <c r="J16" s="42">
        <f>(SUMIFS('04_Base_Despesas'!$D$4:$D$219, '04_Base_Despesas'!$A$4:$A$219, J$7, '04_Base_Despesas'!$B$4:$B$219, "aluguel"))*(IFERROR(SUMIFS('03_Base_Vendas'!$I$4:$I$387, '03_Base_Vendas'!$A$4:$A$387, J$7, '03_Base_Vendas'!$C$4:$C$387, "skincare")/SUMIFS('03_Base_Vendas'!$I$4:$I$387, '03_Base_Vendas'!$A$4:$A$387, J$7),0))</f>
        <v>3131.0829230916866</v>
      </c>
      <c r="K16" s="42">
        <f>(SUMIFS('04_Base_Despesas'!$D$4:$D$219, '04_Base_Despesas'!$A$4:$A$219, K$7, '04_Base_Despesas'!$B$4:$B$219, "aluguel"))*(IFERROR(SUMIFS('03_Base_Vendas'!$I$4:$I$387, '03_Base_Vendas'!$A$4:$A$387, K$7, '03_Base_Vendas'!$C$4:$C$387, "skincare")/SUMIFS('03_Base_Vendas'!$I$4:$I$387, '03_Base_Vendas'!$A$4:$A$387, K$7),0))</f>
        <v>3431.6559141872999</v>
      </c>
      <c r="L16" s="42">
        <f>(SUMIFS('04_Base_Despesas'!$D$4:$D$219, '04_Base_Despesas'!$A$4:$A$219, L$7, '04_Base_Despesas'!$B$4:$B$219, "aluguel"))*(IFERROR(SUMIFS('03_Base_Vendas'!$I$4:$I$387, '03_Base_Vendas'!$A$4:$A$387, L$7, '03_Base_Vendas'!$C$4:$C$387, "skincare")/SUMIFS('03_Base_Vendas'!$I$4:$I$387, '03_Base_Vendas'!$A$4:$A$387, L$7),0))</f>
        <v>3381.3591991749017</v>
      </c>
      <c r="M16" s="42">
        <f>(SUMIFS('04_Base_Despesas'!$D$4:$D$219, '04_Base_Despesas'!$A$4:$A$219, M$7, '04_Base_Despesas'!$B$4:$B$219, "aluguel"))*(IFERROR(SUMIFS('03_Base_Vendas'!$I$4:$I$387, '03_Base_Vendas'!$A$4:$A$387, M$7, '03_Base_Vendas'!$C$4:$C$387, "skincare")/SUMIFS('03_Base_Vendas'!$I$4:$I$387, '03_Base_Vendas'!$A$4:$A$387, M$7),0))</f>
        <v>3161.8292011892431</v>
      </c>
      <c r="N16" s="42">
        <f>(SUMIFS('04_Base_Despesas'!$D$4:$D$219, '04_Base_Despesas'!$A$4:$A$219, N$7, '04_Base_Despesas'!$B$4:$B$219, "aluguel"))*(IFERROR(SUMIFS('03_Base_Vendas'!$I$4:$I$387, '03_Base_Vendas'!$A$4:$A$387, N$7, '03_Base_Vendas'!$C$4:$C$387, "skincare")/SUMIFS('03_Base_Vendas'!$I$4:$I$387, '03_Base_Vendas'!$A$4:$A$387, N$7),0))</f>
        <v>2894.8895403699034</v>
      </c>
      <c r="O16" s="42">
        <f>(SUMIFS('04_Base_Despesas'!$D$4:$D$219, '04_Base_Despesas'!$A$4:$A$219, O$7, '04_Base_Despesas'!$B$4:$B$219, "aluguel"))*(IFERROR(SUMIFS('03_Base_Vendas'!$I$4:$I$387, '03_Base_Vendas'!$A$4:$A$387, O$7, '03_Base_Vendas'!$C$4:$C$387, "skincare")/SUMIFS('03_Base_Vendas'!$I$4:$I$387, '03_Base_Vendas'!$A$4:$A$387, O$7),0))</f>
        <v>2708.9375936724682</v>
      </c>
      <c r="P16" s="42">
        <f>(SUMIFS('04_Base_Despesas'!$D$4:$D$219, '04_Base_Despesas'!$A$4:$A$219, P$7, '04_Base_Despesas'!$B$4:$B$219, "aluguel"))*(IFERROR(SUMIFS('03_Base_Vendas'!$I$4:$I$387, '03_Base_Vendas'!$A$4:$A$387, P$7, '03_Base_Vendas'!$C$4:$C$387, "skincare")/SUMIFS('03_Base_Vendas'!$I$4:$I$387, '03_Base_Vendas'!$A$4:$A$387, P$7),0))</f>
        <v>3006.9417671290353</v>
      </c>
      <c r="Q16" s="42">
        <f>(SUMIFS('04_Base_Despesas'!$D$4:$D$219, '04_Base_Despesas'!$A$4:$A$219, Q$7, '04_Base_Despesas'!$B$4:$B$219, "aluguel"))*(IFERROR(SUMIFS('03_Base_Vendas'!$I$4:$I$387, '03_Base_Vendas'!$A$4:$A$387, Q$7, '03_Base_Vendas'!$C$4:$C$387, "skincare")/SUMIFS('03_Base_Vendas'!$I$4:$I$387, '03_Base_Vendas'!$A$4:$A$387, Q$7),0))</f>
        <v>3204.8676305226977</v>
      </c>
      <c r="R16" s="42">
        <f>(SUMIFS('04_Base_Despesas'!$D$4:$D$219, '04_Base_Despesas'!$A$4:$A$219, R$7, '04_Base_Despesas'!$B$4:$B$219, "aluguel"))*(IFERROR(SUMIFS('03_Base_Vendas'!$I$4:$I$387, '03_Base_Vendas'!$A$4:$A$387, R$7, '03_Base_Vendas'!$C$4:$C$387, "skincare")/SUMIFS('03_Base_Vendas'!$I$4:$I$387, '03_Base_Vendas'!$A$4:$A$387, R$7),0))</f>
        <v>3238.0401570174959</v>
      </c>
      <c r="S16" s="42">
        <f>(SUMIFS('04_Base_Despesas'!$D$4:$D$219, '04_Base_Despesas'!$A$4:$A$219, S$7, '04_Base_Despesas'!$B$4:$B$219, "aluguel"))*(IFERROR(SUMIFS('03_Base_Vendas'!$I$4:$I$387, '03_Base_Vendas'!$A$4:$A$387, S$7, '03_Base_Vendas'!$C$4:$C$387, "skincare")/SUMIFS('03_Base_Vendas'!$I$4:$I$387, '03_Base_Vendas'!$A$4:$A$387, S$7),0))</f>
        <v>2816.1052330569432</v>
      </c>
      <c r="T16" s="42">
        <f>(SUMIFS('04_Base_Despesas'!$D$4:$D$219, '04_Base_Despesas'!$A$4:$A$219, T$7, '04_Base_Despesas'!$B$4:$B$219, "aluguel"))*(IFERROR(SUMIFS('03_Base_Vendas'!$I$4:$I$387, '03_Base_Vendas'!$A$4:$A$387, T$7, '03_Base_Vendas'!$C$4:$C$387, "skincare")/SUMIFS('03_Base_Vendas'!$I$4:$I$387, '03_Base_Vendas'!$A$4:$A$387, T$7),0))</f>
        <v>2599.195640894076</v>
      </c>
      <c r="U16" s="42">
        <f>(SUMIFS('04_Base_Despesas'!$D$4:$D$219, '04_Base_Despesas'!$A$4:$A$219, U$7, '04_Base_Despesas'!$B$4:$B$219, "aluguel"))*(IFERROR(SUMIFS('03_Base_Vendas'!$I$4:$I$387, '03_Base_Vendas'!$A$4:$A$387, U$7, '03_Base_Vendas'!$C$4:$C$387, "skincare")/SUMIFS('03_Base_Vendas'!$I$4:$I$387, '03_Base_Vendas'!$A$4:$A$387, U$7),0))</f>
        <v>2960.2266933935625</v>
      </c>
      <c r="V16" s="42">
        <f>(SUMIFS('04_Base_Despesas'!$D$4:$D$219, '04_Base_Despesas'!$A$4:$A$219, V$7, '04_Base_Despesas'!$B$4:$B$219, "aluguel"))*(IFERROR(SUMIFS('03_Base_Vendas'!$I$4:$I$387, '03_Base_Vendas'!$A$4:$A$387, V$7, '03_Base_Vendas'!$C$4:$C$387, "skincare")/SUMIFS('03_Base_Vendas'!$I$4:$I$387, '03_Base_Vendas'!$A$4:$A$387, V$7),0))</f>
        <v>3029.9841308518003</v>
      </c>
      <c r="W16" s="42">
        <f>(SUMIFS('04_Base_Despesas'!$D$4:$D$219, '04_Base_Despesas'!$A$4:$A$219, W$7, '04_Base_Despesas'!$B$4:$B$219, "aluguel"))*(IFERROR(SUMIFS('03_Base_Vendas'!$I$4:$I$387, '03_Base_Vendas'!$A$4:$A$387, W$7, '03_Base_Vendas'!$C$4:$C$387, "skincare")/SUMIFS('03_Base_Vendas'!$I$4:$I$387, '03_Base_Vendas'!$A$4:$A$387, W$7),0))</f>
        <v>3221.7986913274585</v>
      </c>
      <c r="X16" s="42">
        <f>(SUMIFS('04_Base_Despesas'!$D$4:$D$219, '04_Base_Despesas'!$A$4:$A$219, X$7, '04_Base_Despesas'!$B$4:$B$219, "aluguel"))*(IFERROR(SUMIFS('03_Base_Vendas'!$I$4:$I$387, '03_Base_Vendas'!$A$4:$A$387, X$7, '03_Base_Vendas'!$C$4:$C$387, "skincare")/SUMIFS('03_Base_Vendas'!$I$4:$I$387, '03_Base_Vendas'!$A$4:$A$387, X$7),0))</f>
        <v>3054.6393296119627</v>
      </c>
      <c r="Y16" s="42">
        <f>(SUMIFS('04_Base_Despesas'!$D$4:$D$219, '04_Base_Despesas'!$A$4:$A$219, Y$7, '04_Base_Despesas'!$B$4:$B$219, "aluguel"))*(IFERROR(SUMIFS('03_Base_Vendas'!$I$4:$I$387, '03_Base_Vendas'!$A$4:$A$387, Y$7, '03_Base_Vendas'!$C$4:$C$387, "skincare")/SUMIFS('03_Base_Vendas'!$I$4:$I$387, '03_Base_Vendas'!$A$4:$A$387, Y$7),0))</f>
        <v>2736.2281435517098</v>
      </c>
      <c r="Z16" s="43">
        <f t="shared" si="4"/>
        <v>74656.860116299955</v>
      </c>
    </row>
    <row r="17" spans="1:26" x14ac:dyDescent="0.25">
      <c r="A17" s="41" t="s">
        <v>340</v>
      </c>
      <c r="B17" s="42">
        <f>(SUMIFS('04_Base_Despesas'!$D$4:$D$219, '04_Base_Despesas'!$A$4:$A$219, B$7, '04_Base_Despesas'!$B$4:$B$219, "marketing"))*(IFERROR(SUMIFS('03_Base_Vendas'!$I$4:$I$387, '03_Base_Vendas'!$A$4:$A$387, B$7, '03_Base_Vendas'!$C$4:$C$387, "skincare")/SUMIFS('03_Base_Vendas'!$I$4:$I$387, '03_Base_Vendas'!$A$4:$A$387, B$7),0))</f>
        <v>6257.5907787483366</v>
      </c>
      <c r="C17" s="42">
        <f>(SUMIFS('04_Base_Despesas'!$D$4:$D$219, '04_Base_Despesas'!$A$4:$A$219, C$7, '04_Base_Despesas'!$B$4:$B$219, "marketing"))*(IFERROR(SUMIFS('03_Base_Vendas'!$I$4:$I$387, '03_Base_Vendas'!$A$4:$A$387, C$7, '03_Base_Vendas'!$C$4:$C$387, "skincare")/SUMIFS('03_Base_Vendas'!$I$4:$I$387, '03_Base_Vendas'!$A$4:$A$387, C$7),0))</f>
        <v>4108.2918239544879</v>
      </c>
      <c r="D17" s="42">
        <f>(SUMIFS('04_Base_Despesas'!$D$4:$D$219, '04_Base_Despesas'!$A$4:$A$219, D$7, '04_Base_Despesas'!$B$4:$B$219, "marketing"))*(IFERROR(SUMIFS('03_Base_Vendas'!$I$4:$I$387, '03_Base_Vendas'!$A$4:$A$387, D$7, '03_Base_Vendas'!$C$4:$C$387, "skincare")/SUMIFS('03_Base_Vendas'!$I$4:$I$387, '03_Base_Vendas'!$A$4:$A$387, D$7),0))</f>
        <v>3714.4489764697059</v>
      </c>
      <c r="E17" s="42">
        <f>(SUMIFS('04_Base_Despesas'!$D$4:$D$219, '04_Base_Despesas'!$A$4:$A$219, E$7, '04_Base_Despesas'!$B$4:$B$219, "marketing"))*(IFERROR(SUMIFS('03_Base_Vendas'!$I$4:$I$387, '03_Base_Vendas'!$A$4:$A$387, E$7, '03_Base_Vendas'!$C$4:$C$387, "skincare")/SUMIFS('03_Base_Vendas'!$I$4:$I$387, '03_Base_Vendas'!$A$4:$A$387, E$7),0))</f>
        <v>4577.1916468675727</v>
      </c>
      <c r="F17" s="42">
        <f>(SUMIFS('04_Base_Despesas'!$D$4:$D$219, '04_Base_Despesas'!$A$4:$A$219, F$7, '04_Base_Despesas'!$B$4:$B$219, "marketing"))*(IFERROR(SUMIFS('03_Base_Vendas'!$I$4:$I$387, '03_Base_Vendas'!$A$4:$A$387, F$7, '03_Base_Vendas'!$C$4:$C$387, "skincare")/SUMIFS('03_Base_Vendas'!$I$4:$I$387, '03_Base_Vendas'!$A$4:$A$387, F$7),0))</f>
        <v>6459.7542600150518</v>
      </c>
      <c r="G17" s="42">
        <f>(SUMIFS('04_Base_Despesas'!$D$4:$D$219, '04_Base_Despesas'!$A$4:$A$219, G$7, '04_Base_Despesas'!$B$4:$B$219, "marketing"))*(IFERROR(SUMIFS('03_Base_Vendas'!$I$4:$I$387, '03_Base_Vendas'!$A$4:$A$387, G$7, '03_Base_Vendas'!$C$4:$C$387, "skincare")/SUMIFS('03_Base_Vendas'!$I$4:$I$387, '03_Base_Vendas'!$A$4:$A$387, G$7),0))</f>
        <v>5092.6115615661583</v>
      </c>
      <c r="H17" s="42">
        <f>(SUMIFS('04_Base_Despesas'!$D$4:$D$219, '04_Base_Despesas'!$A$4:$A$219, H$7, '04_Base_Despesas'!$B$4:$B$219, "marketing"))*(IFERROR(SUMIFS('03_Base_Vendas'!$I$4:$I$387, '03_Base_Vendas'!$A$4:$A$387, H$7, '03_Base_Vendas'!$C$4:$C$387, "skincare")/SUMIFS('03_Base_Vendas'!$I$4:$I$387, '03_Base_Vendas'!$A$4:$A$387, H$7),0))</f>
        <v>2977.2186458732326</v>
      </c>
      <c r="I17" s="42">
        <f>(SUMIFS('04_Base_Despesas'!$D$4:$D$219, '04_Base_Despesas'!$A$4:$A$219, I$7, '04_Base_Despesas'!$B$4:$B$219, "marketing"))*(IFERROR(SUMIFS('03_Base_Vendas'!$I$4:$I$387, '03_Base_Vendas'!$A$4:$A$387, I$7, '03_Base_Vendas'!$C$4:$C$387, "skincare")/SUMIFS('03_Base_Vendas'!$I$4:$I$387, '03_Base_Vendas'!$A$4:$A$387, I$7),0))</f>
        <v>4936.2136963431849</v>
      </c>
      <c r="J17" s="42">
        <f>(SUMIFS('04_Base_Despesas'!$D$4:$D$219, '04_Base_Despesas'!$A$4:$A$219, J$7, '04_Base_Despesas'!$B$4:$B$219, "marketing"))*(IFERROR(SUMIFS('03_Base_Vendas'!$I$4:$I$387, '03_Base_Vendas'!$A$4:$A$387, J$7, '03_Base_Vendas'!$C$4:$C$387, "skincare")/SUMIFS('03_Base_Vendas'!$I$4:$I$387, '03_Base_Vendas'!$A$4:$A$387, J$7),0))</f>
        <v>4701.769248261684</v>
      </c>
      <c r="K17" s="42">
        <f>(SUMIFS('04_Base_Despesas'!$D$4:$D$219, '04_Base_Despesas'!$A$4:$A$219, K$7, '04_Base_Despesas'!$B$4:$B$219, "marketing"))*(IFERROR(SUMIFS('03_Base_Vendas'!$I$4:$I$387, '03_Base_Vendas'!$A$4:$A$387, K$7, '03_Base_Vendas'!$C$4:$C$387, "skincare")/SUMIFS('03_Base_Vendas'!$I$4:$I$387, '03_Base_Vendas'!$A$4:$A$387, K$7),0))</f>
        <v>5243.5052160292935</v>
      </c>
      <c r="L17" s="42">
        <f>(SUMIFS('04_Base_Despesas'!$D$4:$D$219, '04_Base_Despesas'!$A$4:$A$219, L$7, '04_Base_Despesas'!$B$4:$B$219, "marketing"))*(IFERROR(SUMIFS('03_Base_Vendas'!$I$4:$I$387, '03_Base_Vendas'!$A$4:$A$387, L$7, '03_Base_Vendas'!$C$4:$C$387, "skincare")/SUMIFS('03_Base_Vendas'!$I$4:$I$387, '03_Base_Vendas'!$A$4:$A$387, L$7),0))</f>
        <v>5726.7090923028145</v>
      </c>
      <c r="M17" s="42">
        <f>(SUMIFS('04_Base_Despesas'!$D$4:$D$219, '04_Base_Despesas'!$A$4:$A$219, M$7, '04_Base_Despesas'!$B$4:$B$219, "marketing"))*(IFERROR(SUMIFS('03_Base_Vendas'!$I$4:$I$387, '03_Base_Vendas'!$A$4:$A$387, M$7, '03_Base_Vendas'!$C$4:$C$387, "skincare")/SUMIFS('03_Base_Vendas'!$I$4:$I$387, '03_Base_Vendas'!$A$4:$A$387, M$7),0))</f>
        <v>6051.4415493624147</v>
      </c>
      <c r="N17" s="42">
        <f>(SUMIFS('04_Base_Despesas'!$D$4:$D$219, '04_Base_Despesas'!$A$4:$A$219, N$7, '04_Base_Despesas'!$B$4:$B$219, "marketing"))*(IFERROR(SUMIFS('03_Base_Vendas'!$I$4:$I$387, '03_Base_Vendas'!$A$4:$A$387, N$7, '03_Base_Vendas'!$C$4:$C$387, "skincare")/SUMIFS('03_Base_Vendas'!$I$4:$I$387, '03_Base_Vendas'!$A$4:$A$387, N$7),0))</f>
        <v>4584.4367152235009</v>
      </c>
      <c r="O17" s="42">
        <f>(SUMIFS('04_Base_Despesas'!$D$4:$D$219, '04_Base_Despesas'!$A$4:$A$219, O$7, '04_Base_Despesas'!$B$4:$B$219, "marketing"))*(IFERROR(SUMIFS('03_Base_Vendas'!$I$4:$I$387, '03_Base_Vendas'!$A$4:$A$387, O$7, '03_Base_Vendas'!$C$4:$C$387, "skincare")/SUMIFS('03_Base_Vendas'!$I$4:$I$387, '03_Base_Vendas'!$A$4:$A$387, O$7),0))</f>
        <v>3455.0388887482527</v>
      </c>
      <c r="P17" s="42">
        <f>(SUMIFS('04_Base_Despesas'!$D$4:$D$219, '04_Base_Despesas'!$A$4:$A$219, P$7, '04_Base_Despesas'!$B$4:$B$219, "marketing"))*(IFERROR(SUMIFS('03_Base_Vendas'!$I$4:$I$387, '03_Base_Vendas'!$A$4:$A$387, P$7, '03_Base_Vendas'!$C$4:$C$387, "skincare")/SUMIFS('03_Base_Vendas'!$I$4:$I$387, '03_Base_Vendas'!$A$4:$A$387, P$7),0))</f>
        <v>5043.8567809896849</v>
      </c>
      <c r="Q17" s="42">
        <f>(SUMIFS('04_Base_Despesas'!$D$4:$D$219, '04_Base_Despesas'!$A$4:$A$219, Q$7, '04_Base_Despesas'!$B$4:$B$219, "marketing"))*(IFERROR(SUMIFS('03_Base_Vendas'!$I$4:$I$387, '03_Base_Vendas'!$A$4:$A$387, Q$7, '03_Base_Vendas'!$C$4:$C$387, "skincare")/SUMIFS('03_Base_Vendas'!$I$4:$I$387, '03_Base_Vendas'!$A$4:$A$387, Q$7),0))</f>
        <v>4076.5612641210037</v>
      </c>
      <c r="R17" s="42">
        <f>(SUMIFS('04_Base_Despesas'!$D$4:$D$219, '04_Base_Despesas'!$A$4:$A$219, R$7, '04_Base_Despesas'!$B$4:$B$219, "marketing"))*(IFERROR(SUMIFS('03_Base_Vendas'!$I$4:$I$387, '03_Base_Vendas'!$A$4:$A$387, R$7, '03_Base_Vendas'!$C$4:$C$387, "skincare")/SUMIFS('03_Base_Vendas'!$I$4:$I$387, '03_Base_Vendas'!$A$4:$A$387, R$7),0))</f>
        <v>7119.1203277012091</v>
      </c>
      <c r="S17" s="42">
        <f>(SUMIFS('04_Base_Despesas'!$D$4:$D$219, '04_Base_Despesas'!$A$4:$A$219, S$7, '04_Base_Despesas'!$B$4:$B$219, "marketing"))*(IFERROR(SUMIFS('03_Base_Vendas'!$I$4:$I$387, '03_Base_Vendas'!$A$4:$A$387, S$7, '03_Base_Vendas'!$C$4:$C$387, "skincare")/SUMIFS('03_Base_Vendas'!$I$4:$I$387, '03_Base_Vendas'!$A$4:$A$387, S$7),0))</f>
        <v>4457.4007789141588</v>
      </c>
      <c r="T17" s="42">
        <f>(SUMIFS('04_Base_Despesas'!$D$4:$D$219, '04_Base_Despesas'!$A$4:$A$219, T$7, '04_Base_Despesas'!$B$4:$B$219, "marketing"))*(IFERROR(SUMIFS('03_Base_Vendas'!$I$4:$I$387, '03_Base_Vendas'!$A$4:$A$387, T$7, '03_Base_Vendas'!$C$4:$C$387, "skincare")/SUMIFS('03_Base_Vendas'!$I$4:$I$387, '03_Base_Vendas'!$A$4:$A$387, T$7),0))</f>
        <v>3786.9501906432001</v>
      </c>
      <c r="U17" s="42">
        <f>(SUMIFS('04_Base_Despesas'!$D$4:$D$219, '04_Base_Despesas'!$A$4:$A$219, U$7, '04_Base_Despesas'!$B$4:$B$219, "marketing"))*(IFERROR(SUMIFS('03_Base_Vendas'!$I$4:$I$387, '03_Base_Vendas'!$A$4:$A$387, U$7, '03_Base_Vendas'!$C$4:$C$387, "skincare")/SUMIFS('03_Base_Vendas'!$I$4:$I$387, '03_Base_Vendas'!$A$4:$A$387, U$7),0))</f>
        <v>4048.1100032156969</v>
      </c>
      <c r="V17" s="42">
        <f>(SUMIFS('04_Base_Despesas'!$D$4:$D$219, '04_Base_Despesas'!$A$4:$A$219, V$7, '04_Base_Despesas'!$B$4:$B$219, "marketing"))*(IFERROR(SUMIFS('03_Base_Vendas'!$I$4:$I$387, '03_Base_Vendas'!$A$4:$A$387, V$7, '03_Base_Vendas'!$C$4:$C$387, "skincare")/SUMIFS('03_Base_Vendas'!$I$4:$I$387, '03_Base_Vendas'!$A$4:$A$387, V$7),0))</f>
        <v>3768.1775699227342</v>
      </c>
      <c r="W17" s="42">
        <f>(SUMIFS('04_Base_Despesas'!$D$4:$D$219, '04_Base_Despesas'!$A$4:$A$219, W$7, '04_Base_Despesas'!$B$4:$B$219, "marketing"))*(IFERROR(SUMIFS('03_Base_Vendas'!$I$4:$I$387, '03_Base_Vendas'!$A$4:$A$387, W$7, '03_Base_Vendas'!$C$4:$C$387, "skincare")/SUMIFS('03_Base_Vendas'!$I$4:$I$387, '03_Base_Vendas'!$A$4:$A$387, W$7),0))</f>
        <v>5135.0587571217038</v>
      </c>
      <c r="X17" s="42">
        <f>(SUMIFS('04_Base_Despesas'!$D$4:$D$219, '04_Base_Despesas'!$A$4:$A$219, X$7, '04_Base_Despesas'!$B$4:$B$219, "marketing"))*(IFERROR(SUMIFS('03_Base_Vendas'!$I$4:$I$387, '03_Base_Vendas'!$A$4:$A$387, X$7, '03_Base_Vendas'!$C$4:$C$387, "skincare")/SUMIFS('03_Base_Vendas'!$I$4:$I$387, '03_Base_Vendas'!$A$4:$A$387, X$7),0))</f>
        <v>5508.3571486633773</v>
      </c>
      <c r="Y17" s="42">
        <f>(SUMIFS('04_Base_Despesas'!$D$4:$D$219, '04_Base_Despesas'!$A$4:$A$219, Y$7, '04_Base_Despesas'!$B$4:$B$219, "marketing"))*(IFERROR(SUMIFS('03_Base_Vendas'!$I$4:$I$387, '03_Base_Vendas'!$A$4:$A$387, Y$7, '03_Base_Vendas'!$C$4:$C$387, "skincare")/SUMIFS('03_Base_Vendas'!$I$4:$I$387, '03_Base_Vendas'!$A$4:$A$387, Y$7),0))</f>
        <v>4070.0544325411138</v>
      </c>
      <c r="Z17" s="43">
        <f t="shared" si="4"/>
        <v>114899.86935359957</v>
      </c>
    </row>
    <row r="18" spans="1:26" x14ac:dyDescent="0.25">
      <c r="A18" s="41" t="s">
        <v>341</v>
      </c>
      <c r="B18" s="42">
        <f>(SUMIFS('04_Base_Despesas'!$D$4:$D$219, '04_Base_Despesas'!$A$4:$A$219, B$7, '04_Base_Despesas'!$B$4:$B$219, "logistica"))*(IFERROR(SUMIFS('03_Base_Vendas'!$I$4:$I$387, '03_Base_Vendas'!$A$4:$A$387, B$7, '03_Base_Vendas'!$C$4:$C$387, "skincare")/SUMIFS('03_Base_Vendas'!$I$4:$I$387, '03_Base_Vendas'!$A$4:$A$387, B$7),0))</f>
        <v>3153.6046553125652</v>
      </c>
      <c r="C18" s="42">
        <f>(SUMIFS('04_Base_Despesas'!$D$4:$D$219, '04_Base_Despesas'!$A$4:$A$219, C$7, '04_Base_Despesas'!$B$4:$B$219, "logistica"))*(IFERROR(SUMIFS('03_Base_Vendas'!$I$4:$I$387, '03_Base_Vendas'!$A$4:$A$387, C$7, '03_Base_Vendas'!$C$4:$C$387, "skincare")/SUMIFS('03_Base_Vendas'!$I$4:$I$387, '03_Base_Vendas'!$A$4:$A$387, C$7),0))</f>
        <v>3097.9275101542366</v>
      </c>
      <c r="D18" s="42">
        <f>(SUMIFS('04_Base_Despesas'!$D$4:$D$219, '04_Base_Despesas'!$A$4:$A$219, D$7, '04_Base_Despesas'!$B$4:$B$219, "logistica"))*(IFERROR(SUMIFS('03_Base_Vendas'!$I$4:$I$387, '03_Base_Vendas'!$A$4:$A$387, D$7, '03_Base_Vendas'!$C$4:$C$387, "skincare")/SUMIFS('03_Base_Vendas'!$I$4:$I$387, '03_Base_Vendas'!$A$4:$A$387, D$7),0))</f>
        <v>3299.7794409356097</v>
      </c>
      <c r="E18" s="42">
        <f>(SUMIFS('04_Base_Despesas'!$D$4:$D$219, '04_Base_Despesas'!$A$4:$A$219, E$7, '04_Base_Despesas'!$B$4:$B$219, "logistica"))*(IFERROR(SUMIFS('03_Base_Vendas'!$I$4:$I$387, '03_Base_Vendas'!$A$4:$A$387, E$7, '03_Base_Vendas'!$C$4:$C$387, "skincare")/SUMIFS('03_Base_Vendas'!$I$4:$I$387, '03_Base_Vendas'!$A$4:$A$387, E$7),0))</f>
        <v>4017.5363027192284</v>
      </c>
      <c r="F18" s="42">
        <f>(SUMIFS('04_Base_Despesas'!$D$4:$D$219, '04_Base_Despesas'!$A$4:$A$219, F$7, '04_Base_Despesas'!$B$4:$B$219, "logistica"))*(IFERROR(SUMIFS('03_Base_Vendas'!$I$4:$I$387, '03_Base_Vendas'!$A$4:$A$387, F$7, '03_Base_Vendas'!$C$4:$C$387, "skincare")/SUMIFS('03_Base_Vendas'!$I$4:$I$387, '03_Base_Vendas'!$A$4:$A$387, F$7),0))</f>
        <v>3726.807743366056</v>
      </c>
      <c r="G18" s="42">
        <f>(SUMIFS('04_Base_Despesas'!$D$4:$D$219, '04_Base_Despesas'!$A$4:$A$219, G$7, '04_Base_Despesas'!$B$4:$B$219, "logistica"))*(IFERROR(SUMIFS('03_Base_Vendas'!$I$4:$I$387, '03_Base_Vendas'!$A$4:$A$387, G$7, '03_Base_Vendas'!$C$4:$C$387, "skincare")/SUMIFS('03_Base_Vendas'!$I$4:$I$387, '03_Base_Vendas'!$A$4:$A$387, G$7),0))</f>
        <v>2707.759968756021</v>
      </c>
      <c r="H18" s="42">
        <f>(SUMIFS('04_Base_Despesas'!$D$4:$D$219, '04_Base_Despesas'!$A$4:$A$219, H$7, '04_Base_Despesas'!$B$4:$B$219, "logistica"))*(IFERROR(SUMIFS('03_Base_Vendas'!$I$4:$I$387, '03_Base_Vendas'!$A$4:$A$387, H$7, '03_Base_Vendas'!$C$4:$C$387, "skincare")/SUMIFS('03_Base_Vendas'!$I$4:$I$387, '03_Base_Vendas'!$A$4:$A$387, H$7),0))</f>
        <v>3213.9449496082821</v>
      </c>
      <c r="I18" s="42">
        <f>(SUMIFS('04_Base_Despesas'!$D$4:$D$219, '04_Base_Despesas'!$A$4:$A$219, I$7, '04_Base_Despesas'!$B$4:$B$219, "logistica"))*(IFERROR(SUMIFS('03_Base_Vendas'!$I$4:$I$387, '03_Base_Vendas'!$A$4:$A$387, I$7, '03_Base_Vendas'!$C$4:$C$387, "skincare")/SUMIFS('03_Base_Vendas'!$I$4:$I$387, '03_Base_Vendas'!$A$4:$A$387, I$7),0))</f>
        <v>4132.4913446584978</v>
      </c>
      <c r="J18" s="42">
        <f>(SUMIFS('04_Base_Despesas'!$D$4:$D$219, '04_Base_Despesas'!$A$4:$A$219, J$7, '04_Base_Despesas'!$B$4:$B$219, "logistica"))*(IFERROR(SUMIFS('03_Base_Vendas'!$I$4:$I$387, '03_Base_Vendas'!$A$4:$A$387, J$7, '03_Base_Vendas'!$C$4:$C$387, "skincare")/SUMIFS('03_Base_Vendas'!$I$4:$I$387, '03_Base_Vendas'!$A$4:$A$387, J$7),0))</f>
        <v>3557.889076030217</v>
      </c>
      <c r="K18" s="42">
        <f>(SUMIFS('04_Base_Despesas'!$D$4:$D$219, '04_Base_Despesas'!$A$4:$A$219, K$7, '04_Base_Despesas'!$B$4:$B$219, "logistica"))*(IFERROR(SUMIFS('03_Base_Vendas'!$I$4:$I$387, '03_Base_Vendas'!$A$4:$A$387, K$7, '03_Base_Vendas'!$C$4:$C$387, "skincare")/SUMIFS('03_Base_Vendas'!$I$4:$I$387, '03_Base_Vendas'!$A$4:$A$387, K$7),0))</f>
        <v>3675.9717539305188</v>
      </c>
      <c r="L18" s="42">
        <f>(SUMIFS('04_Base_Despesas'!$D$4:$D$219, '04_Base_Despesas'!$A$4:$A$219, L$7, '04_Base_Despesas'!$B$4:$B$219, "logistica"))*(IFERROR(SUMIFS('03_Base_Vendas'!$I$4:$I$387, '03_Base_Vendas'!$A$4:$A$387, L$7, '03_Base_Vendas'!$C$4:$C$387, "skincare")/SUMIFS('03_Base_Vendas'!$I$4:$I$387, '03_Base_Vendas'!$A$4:$A$387, L$7),0))</f>
        <v>3649.5116616458895</v>
      </c>
      <c r="M18" s="42">
        <f>(SUMIFS('04_Base_Despesas'!$D$4:$D$219, '04_Base_Despesas'!$A$4:$A$219, M$7, '04_Base_Despesas'!$B$4:$B$219, "logistica"))*(IFERROR(SUMIFS('03_Base_Vendas'!$I$4:$I$387, '03_Base_Vendas'!$A$4:$A$387, M$7, '03_Base_Vendas'!$C$4:$C$387, "skincare")/SUMIFS('03_Base_Vendas'!$I$4:$I$387, '03_Base_Vendas'!$A$4:$A$387, M$7),0))</f>
        <v>3300.9962814192713</v>
      </c>
      <c r="N18" s="42">
        <f>(SUMIFS('04_Base_Despesas'!$D$4:$D$219, '04_Base_Despesas'!$A$4:$A$219, N$7, '04_Base_Despesas'!$B$4:$B$219, "logistica"))*(IFERROR(SUMIFS('03_Base_Vendas'!$I$4:$I$387, '03_Base_Vendas'!$A$4:$A$387, N$7, '03_Base_Vendas'!$C$4:$C$387, "skincare")/SUMIFS('03_Base_Vendas'!$I$4:$I$387, '03_Base_Vendas'!$A$4:$A$387, N$7),0))</f>
        <v>2884.0260978983492</v>
      </c>
      <c r="O18" s="42">
        <f>(SUMIFS('04_Base_Despesas'!$D$4:$D$219, '04_Base_Despesas'!$A$4:$A$219, O$7, '04_Base_Despesas'!$B$4:$B$219, "logistica"))*(IFERROR(SUMIFS('03_Base_Vendas'!$I$4:$I$387, '03_Base_Vendas'!$A$4:$A$387, O$7, '03_Base_Vendas'!$C$4:$C$387, "skincare")/SUMIFS('03_Base_Vendas'!$I$4:$I$387, '03_Base_Vendas'!$A$4:$A$387, O$7),0))</f>
        <v>2962.2916949989999</v>
      </c>
      <c r="P18" s="42">
        <f>(SUMIFS('04_Base_Despesas'!$D$4:$D$219, '04_Base_Despesas'!$A$4:$A$219, P$7, '04_Base_Despesas'!$B$4:$B$219, "logistica"))*(IFERROR(SUMIFS('03_Base_Vendas'!$I$4:$I$387, '03_Base_Vendas'!$A$4:$A$387, P$7, '03_Base_Vendas'!$C$4:$C$387, "skincare")/SUMIFS('03_Base_Vendas'!$I$4:$I$387, '03_Base_Vendas'!$A$4:$A$387, P$7),0))</f>
        <v>3531.7100791265348</v>
      </c>
      <c r="Q18" s="42">
        <f>(SUMIFS('04_Base_Despesas'!$D$4:$D$219, '04_Base_Despesas'!$A$4:$A$219, Q$7, '04_Base_Despesas'!$B$4:$B$219, "logistica"))*(IFERROR(SUMIFS('03_Base_Vendas'!$I$4:$I$387, '03_Base_Vendas'!$A$4:$A$387, Q$7, '03_Base_Vendas'!$C$4:$C$387, "skincare")/SUMIFS('03_Base_Vendas'!$I$4:$I$387, '03_Base_Vendas'!$A$4:$A$387, Q$7),0))</f>
        <v>3185.9218025089972</v>
      </c>
      <c r="R18" s="42">
        <f>(SUMIFS('04_Base_Despesas'!$D$4:$D$219, '04_Base_Despesas'!$A$4:$A$219, R$7, '04_Base_Despesas'!$B$4:$B$219, "logistica"))*(IFERROR(SUMIFS('03_Base_Vendas'!$I$4:$I$387, '03_Base_Vendas'!$A$4:$A$387, R$7, '03_Base_Vendas'!$C$4:$C$387, "skincare")/SUMIFS('03_Base_Vendas'!$I$4:$I$387, '03_Base_Vendas'!$A$4:$A$387, R$7),0))</f>
        <v>3578.6236791502715</v>
      </c>
      <c r="S18" s="42">
        <f>(SUMIFS('04_Base_Despesas'!$D$4:$D$219, '04_Base_Despesas'!$A$4:$A$219, S$7, '04_Base_Despesas'!$B$4:$B$219, "logistica"))*(IFERROR(SUMIFS('03_Base_Vendas'!$I$4:$I$387, '03_Base_Vendas'!$A$4:$A$387, S$7, '03_Base_Vendas'!$C$4:$C$387, "skincare")/SUMIFS('03_Base_Vendas'!$I$4:$I$387, '03_Base_Vendas'!$A$4:$A$387, S$7),0))</f>
        <v>2890.8594088601581</v>
      </c>
      <c r="T18" s="42">
        <f>(SUMIFS('04_Base_Despesas'!$D$4:$D$219, '04_Base_Despesas'!$A$4:$A$219, T$7, '04_Base_Despesas'!$B$4:$B$219, "logistica"))*(IFERROR(SUMIFS('03_Base_Vendas'!$I$4:$I$387, '03_Base_Vendas'!$A$4:$A$387, T$7, '03_Base_Vendas'!$C$4:$C$387, "skincare")/SUMIFS('03_Base_Vendas'!$I$4:$I$387, '03_Base_Vendas'!$A$4:$A$387, T$7),0))</f>
        <v>2570.8015104024248</v>
      </c>
      <c r="U18" s="42">
        <f>(SUMIFS('04_Base_Despesas'!$D$4:$D$219, '04_Base_Despesas'!$A$4:$A$219, U$7, '04_Base_Despesas'!$B$4:$B$219, "logistica"))*(IFERROR(SUMIFS('03_Base_Vendas'!$I$4:$I$387, '03_Base_Vendas'!$A$4:$A$387, U$7, '03_Base_Vendas'!$C$4:$C$387, "skincare")/SUMIFS('03_Base_Vendas'!$I$4:$I$387, '03_Base_Vendas'!$A$4:$A$387, U$7),0))</f>
        <v>3064.6884193612741</v>
      </c>
      <c r="V18" s="42">
        <f>(SUMIFS('04_Base_Despesas'!$D$4:$D$219, '04_Base_Despesas'!$A$4:$A$219, V$7, '04_Base_Despesas'!$B$4:$B$219, "logistica"))*(IFERROR(SUMIFS('03_Base_Vendas'!$I$4:$I$387, '03_Base_Vendas'!$A$4:$A$387, V$7, '03_Base_Vendas'!$C$4:$C$387, "skincare")/SUMIFS('03_Base_Vendas'!$I$4:$I$387, '03_Base_Vendas'!$A$4:$A$387, V$7),0))</f>
        <v>2892.454745880927</v>
      </c>
      <c r="W18" s="42">
        <f>(SUMIFS('04_Base_Despesas'!$D$4:$D$219, '04_Base_Despesas'!$A$4:$A$219, W$7, '04_Base_Despesas'!$B$4:$B$219, "logistica"))*(IFERROR(SUMIFS('03_Base_Vendas'!$I$4:$I$387, '03_Base_Vendas'!$A$4:$A$387, W$7, '03_Base_Vendas'!$C$4:$C$387, "skincare")/SUMIFS('03_Base_Vendas'!$I$4:$I$387, '03_Base_Vendas'!$A$4:$A$387, W$7),0))</f>
        <v>3246.2131426736332</v>
      </c>
      <c r="X18" s="42">
        <f>(SUMIFS('04_Base_Despesas'!$D$4:$D$219, '04_Base_Despesas'!$A$4:$A$219, X$7, '04_Base_Despesas'!$B$4:$B$219, "logistica"))*(IFERROR(SUMIFS('03_Base_Vendas'!$I$4:$I$387, '03_Base_Vendas'!$A$4:$A$387, X$7, '03_Base_Vendas'!$C$4:$C$387, "skincare")/SUMIFS('03_Base_Vendas'!$I$4:$I$387, '03_Base_Vendas'!$A$4:$A$387, X$7),0))</f>
        <v>3275.2260895376148</v>
      </c>
      <c r="Y18" s="42">
        <f>(SUMIFS('04_Base_Despesas'!$D$4:$D$219, '04_Base_Despesas'!$A$4:$A$219, Y$7, '04_Base_Despesas'!$B$4:$B$219, "logistica"))*(IFERROR(SUMIFS('03_Base_Vendas'!$I$4:$I$387, '03_Base_Vendas'!$A$4:$A$387, Y$7, '03_Base_Vendas'!$C$4:$C$387, "skincare")/SUMIFS('03_Base_Vendas'!$I$4:$I$387, '03_Base_Vendas'!$A$4:$A$387, Y$7),0))</f>
        <v>2679.5335560958315</v>
      </c>
      <c r="Z18" s="43">
        <f t="shared" si="4"/>
        <v>78296.570915031407</v>
      </c>
    </row>
    <row r="19" spans="1:26" x14ac:dyDescent="0.25">
      <c r="A19" s="41" t="s">
        <v>342</v>
      </c>
      <c r="B19" s="42">
        <f>(SUMIFS('04_Base_Despesas'!$D$4:$D$219, '04_Base_Despesas'!$A$4:$A$219, B$7, '04_Base_Despesas'!$B$4:$B$219, "tecnologia"))*(IFERROR(SUMIFS('03_Base_Vendas'!$I$4:$I$387, '03_Base_Vendas'!$A$4:$A$387, B$7, '03_Base_Vendas'!$C$4:$C$387, "skincare")/SUMIFS('03_Base_Vendas'!$I$4:$I$387, '03_Base_Vendas'!$A$4:$A$387, B$7),0))</f>
        <v>2354.5397673610191</v>
      </c>
      <c r="C19" s="42">
        <f>(SUMIFS('04_Base_Despesas'!$D$4:$D$219, '04_Base_Despesas'!$A$4:$A$219, C$7, '04_Base_Despesas'!$B$4:$B$219, "tecnologia"))*(IFERROR(SUMIFS('03_Base_Vendas'!$I$4:$I$387, '03_Base_Vendas'!$A$4:$A$387, C$7, '03_Base_Vendas'!$C$4:$C$387, "skincare")/SUMIFS('03_Base_Vendas'!$I$4:$I$387, '03_Base_Vendas'!$A$4:$A$387, C$7),0))</f>
        <v>2237.7828767683818</v>
      </c>
      <c r="D19" s="42">
        <f>(SUMIFS('04_Base_Despesas'!$D$4:$D$219, '04_Base_Despesas'!$A$4:$A$219, D$7, '04_Base_Despesas'!$B$4:$B$219, "tecnologia"))*(IFERROR(SUMIFS('03_Base_Vendas'!$I$4:$I$387, '03_Base_Vendas'!$A$4:$A$387, D$7, '03_Base_Vendas'!$C$4:$C$387, "skincare")/SUMIFS('03_Base_Vendas'!$I$4:$I$387, '03_Base_Vendas'!$A$4:$A$387, D$7),0))</f>
        <v>2248.4131724890826</v>
      </c>
      <c r="E19" s="42">
        <f>(SUMIFS('04_Base_Despesas'!$D$4:$D$219, '04_Base_Despesas'!$A$4:$A$219, E$7, '04_Base_Despesas'!$B$4:$B$219, "tecnologia"))*(IFERROR(SUMIFS('03_Base_Vendas'!$I$4:$I$387, '03_Base_Vendas'!$A$4:$A$387, E$7, '03_Base_Vendas'!$C$4:$C$387, "skincare")/SUMIFS('03_Base_Vendas'!$I$4:$I$387, '03_Base_Vendas'!$A$4:$A$387, E$7),0))</f>
        <v>2437.8568586957331</v>
      </c>
      <c r="F19" s="42">
        <f>(SUMIFS('04_Base_Despesas'!$D$4:$D$219, '04_Base_Despesas'!$A$4:$A$219, F$7, '04_Base_Despesas'!$B$4:$B$219, "tecnologia"))*(IFERROR(SUMIFS('03_Base_Vendas'!$I$4:$I$387, '03_Base_Vendas'!$A$4:$A$387, F$7, '03_Base_Vendas'!$C$4:$C$387, "skincare")/SUMIFS('03_Base_Vendas'!$I$4:$I$387, '03_Base_Vendas'!$A$4:$A$387, F$7),0))</f>
        <v>2489.2044397953282</v>
      </c>
      <c r="G19" s="42">
        <f>(SUMIFS('04_Base_Despesas'!$D$4:$D$219, '04_Base_Despesas'!$A$4:$A$219, G$7, '04_Base_Despesas'!$B$4:$B$219, "tecnologia"))*(IFERROR(SUMIFS('03_Base_Vendas'!$I$4:$I$387, '03_Base_Vendas'!$A$4:$A$387, G$7, '03_Base_Vendas'!$C$4:$C$387, "skincare")/SUMIFS('03_Base_Vendas'!$I$4:$I$387, '03_Base_Vendas'!$A$4:$A$387, G$7),0))</f>
        <v>1924.8133741128893</v>
      </c>
      <c r="H19" s="42">
        <f>(SUMIFS('04_Base_Despesas'!$D$4:$D$219, '04_Base_Despesas'!$A$4:$A$219, H$7, '04_Base_Despesas'!$B$4:$B$219, "tecnologia"))*(IFERROR(SUMIFS('03_Base_Vendas'!$I$4:$I$387, '03_Base_Vendas'!$A$4:$A$387, H$7, '03_Base_Vendas'!$C$4:$C$387, "skincare")/SUMIFS('03_Base_Vendas'!$I$4:$I$387, '03_Base_Vendas'!$A$4:$A$387, H$7),0))</f>
        <v>1982.4073506302559</v>
      </c>
      <c r="I19" s="42">
        <f>(SUMIFS('04_Base_Despesas'!$D$4:$D$219, '04_Base_Despesas'!$A$4:$A$219, I$7, '04_Base_Despesas'!$B$4:$B$219, "tecnologia"))*(IFERROR(SUMIFS('03_Base_Vendas'!$I$4:$I$387, '03_Base_Vendas'!$A$4:$A$387, I$7, '03_Base_Vendas'!$C$4:$C$387, "skincare")/SUMIFS('03_Base_Vendas'!$I$4:$I$387, '03_Base_Vendas'!$A$4:$A$387, I$7),0))</f>
        <v>2610.2527276031719</v>
      </c>
      <c r="J19" s="42">
        <f>(SUMIFS('04_Base_Despesas'!$D$4:$D$219, '04_Base_Despesas'!$A$4:$A$219, J$7, '04_Base_Despesas'!$B$4:$B$219, "tecnologia"))*(IFERROR(SUMIFS('03_Base_Vendas'!$I$4:$I$387, '03_Base_Vendas'!$A$4:$A$387, J$7, '03_Base_Vendas'!$C$4:$C$387, "skincare")/SUMIFS('03_Base_Vendas'!$I$4:$I$387, '03_Base_Vendas'!$A$4:$A$387, J$7),0))</f>
        <v>2235.2833946719161</v>
      </c>
      <c r="K19" s="42">
        <f>(SUMIFS('04_Base_Despesas'!$D$4:$D$219, '04_Base_Despesas'!$A$4:$A$219, K$7, '04_Base_Despesas'!$B$4:$B$219, "tecnologia"))*(IFERROR(SUMIFS('03_Base_Vendas'!$I$4:$I$387, '03_Base_Vendas'!$A$4:$A$387, K$7, '03_Base_Vendas'!$C$4:$C$387, "skincare")/SUMIFS('03_Base_Vendas'!$I$4:$I$387, '03_Base_Vendas'!$A$4:$A$387, K$7),0))</f>
        <v>2443.1511728934229</v>
      </c>
      <c r="L19" s="42">
        <f>(SUMIFS('04_Base_Despesas'!$D$4:$D$219, '04_Base_Despesas'!$A$4:$A$219, L$7, '04_Base_Despesas'!$B$4:$B$219, "tecnologia"))*(IFERROR(SUMIFS('03_Base_Vendas'!$I$4:$I$387, '03_Base_Vendas'!$A$4:$A$387, L$7, '03_Base_Vendas'!$C$4:$C$387, "skincare")/SUMIFS('03_Base_Vendas'!$I$4:$I$387, '03_Base_Vendas'!$A$4:$A$387, L$7),0))</f>
        <v>2318.8649522846913</v>
      </c>
      <c r="M19" s="42">
        <f>(SUMIFS('04_Base_Despesas'!$D$4:$D$219, '04_Base_Despesas'!$A$4:$A$219, M$7, '04_Base_Despesas'!$B$4:$B$219, "tecnologia"))*(IFERROR(SUMIFS('03_Base_Vendas'!$I$4:$I$387, '03_Base_Vendas'!$A$4:$A$387, M$7, '03_Base_Vendas'!$C$4:$C$387, "skincare")/SUMIFS('03_Base_Vendas'!$I$4:$I$387, '03_Base_Vendas'!$A$4:$A$387, M$7),0))</f>
        <v>2175.1554371486568</v>
      </c>
      <c r="N19" s="42">
        <f>(SUMIFS('04_Base_Despesas'!$D$4:$D$219, '04_Base_Despesas'!$A$4:$A$219, N$7, '04_Base_Despesas'!$B$4:$B$219, "tecnologia"))*(IFERROR(SUMIFS('03_Base_Vendas'!$I$4:$I$387, '03_Base_Vendas'!$A$4:$A$387, N$7, '03_Base_Vendas'!$C$4:$C$387, "skincare")/SUMIFS('03_Base_Vendas'!$I$4:$I$387, '03_Base_Vendas'!$A$4:$A$387, N$7),0))</f>
        <v>1986.9952383973066</v>
      </c>
      <c r="O19" s="42">
        <f>(SUMIFS('04_Base_Despesas'!$D$4:$D$219, '04_Base_Despesas'!$A$4:$A$219, O$7, '04_Base_Despesas'!$B$4:$B$219, "tecnologia"))*(IFERROR(SUMIFS('03_Base_Vendas'!$I$4:$I$387, '03_Base_Vendas'!$A$4:$A$387, O$7, '03_Base_Vendas'!$C$4:$C$387, "skincare")/SUMIFS('03_Base_Vendas'!$I$4:$I$387, '03_Base_Vendas'!$A$4:$A$387, O$7),0))</f>
        <v>1906.675745009969</v>
      </c>
      <c r="P19" s="42">
        <f>(SUMIFS('04_Base_Despesas'!$D$4:$D$219, '04_Base_Despesas'!$A$4:$A$219, P$7, '04_Base_Despesas'!$B$4:$B$219, "tecnologia"))*(IFERROR(SUMIFS('03_Base_Vendas'!$I$4:$I$387, '03_Base_Vendas'!$A$4:$A$387, P$7, '03_Base_Vendas'!$C$4:$C$387, "skincare")/SUMIFS('03_Base_Vendas'!$I$4:$I$387, '03_Base_Vendas'!$A$4:$A$387, P$7),0))</f>
        <v>2126.5725217508566</v>
      </c>
      <c r="Q19" s="42">
        <f>(SUMIFS('04_Base_Despesas'!$D$4:$D$219, '04_Base_Despesas'!$A$4:$A$219, Q$7, '04_Base_Despesas'!$B$4:$B$219, "tecnologia"))*(IFERROR(SUMIFS('03_Base_Vendas'!$I$4:$I$387, '03_Base_Vendas'!$A$4:$A$387, Q$7, '03_Base_Vendas'!$C$4:$C$387, "skincare")/SUMIFS('03_Base_Vendas'!$I$4:$I$387, '03_Base_Vendas'!$A$4:$A$387, Q$7),0))</f>
        <v>2266.0708158309953</v>
      </c>
      <c r="R19" s="42">
        <f>(SUMIFS('04_Base_Despesas'!$D$4:$D$219, '04_Base_Despesas'!$A$4:$A$219, R$7, '04_Base_Despesas'!$B$4:$B$219, "tecnologia"))*(IFERROR(SUMIFS('03_Base_Vendas'!$I$4:$I$387, '03_Base_Vendas'!$A$4:$A$387, R$7, '03_Base_Vendas'!$C$4:$C$387, "skincare")/SUMIFS('03_Base_Vendas'!$I$4:$I$387, '03_Base_Vendas'!$A$4:$A$387, R$7),0))</f>
        <v>2249.2937062363098</v>
      </c>
      <c r="S19" s="42">
        <f>(SUMIFS('04_Base_Despesas'!$D$4:$D$219, '04_Base_Despesas'!$A$4:$A$219, S$7, '04_Base_Despesas'!$B$4:$B$219, "tecnologia"))*(IFERROR(SUMIFS('03_Base_Vendas'!$I$4:$I$387, '03_Base_Vendas'!$A$4:$A$387, S$7, '03_Base_Vendas'!$C$4:$C$387, "skincare")/SUMIFS('03_Base_Vendas'!$I$4:$I$387, '03_Base_Vendas'!$A$4:$A$387, S$7),0))</f>
        <v>1989.2264633189786</v>
      </c>
      <c r="T19" s="42">
        <f>(SUMIFS('04_Base_Despesas'!$D$4:$D$219, '04_Base_Despesas'!$A$4:$A$219, T$7, '04_Base_Despesas'!$B$4:$B$219, "tecnologia"))*(IFERROR(SUMIFS('03_Base_Vendas'!$I$4:$I$387, '03_Base_Vendas'!$A$4:$A$387, T$7, '03_Base_Vendas'!$C$4:$C$387, "skincare")/SUMIFS('03_Base_Vendas'!$I$4:$I$387, '03_Base_Vendas'!$A$4:$A$387, T$7),0))</f>
        <v>1868.4776995577758</v>
      </c>
      <c r="U19" s="42">
        <f>(SUMIFS('04_Base_Despesas'!$D$4:$D$219, '04_Base_Despesas'!$A$4:$A$219, U$7, '04_Base_Despesas'!$B$4:$B$219, "tecnologia"))*(IFERROR(SUMIFS('03_Base_Vendas'!$I$4:$I$387, '03_Base_Vendas'!$A$4:$A$387, U$7, '03_Base_Vendas'!$C$4:$C$387, "skincare")/SUMIFS('03_Base_Vendas'!$I$4:$I$387, '03_Base_Vendas'!$A$4:$A$387, U$7),0))</f>
        <v>2140.9512377018623</v>
      </c>
      <c r="V19" s="42">
        <f>(SUMIFS('04_Base_Despesas'!$D$4:$D$219, '04_Base_Despesas'!$A$4:$A$219, V$7, '04_Base_Despesas'!$B$4:$B$219, "tecnologia"))*(IFERROR(SUMIFS('03_Base_Vendas'!$I$4:$I$387, '03_Base_Vendas'!$A$4:$A$387, V$7, '03_Base_Vendas'!$C$4:$C$387, "skincare")/SUMIFS('03_Base_Vendas'!$I$4:$I$387, '03_Base_Vendas'!$A$4:$A$387, V$7),0))</f>
        <v>2142.0967178888677</v>
      </c>
      <c r="W19" s="42">
        <f>(SUMIFS('04_Base_Despesas'!$D$4:$D$219, '04_Base_Despesas'!$A$4:$A$219, W$7, '04_Base_Despesas'!$B$4:$B$219, "tecnologia"))*(IFERROR(SUMIFS('03_Base_Vendas'!$I$4:$I$387, '03_Base_Vendas'!$A$4:$A$387, W$7, '03_Base_Vendas'!$C$4:$C$387, "skincare")/SUMIFS('03_Base_Vendas'!$I$4:$I$387, '03_Base_Vendas'!$A$4:$A$387, W$7),0))</f>
        <v>2261.7501604504851</v>
      </c>
      <c r="X19" s="42">
        <f>(SUMIFS('04_Base_Despesas'!$D$4:$D$219, '04_Base_Despesas'!$A$4:$A$219, X$7, '04_Base_Despesas'!$B$4:$B$219, "tecnologia"))*(IFERROR(SUMIFS('03_Base_Vendas'!$I$4:$I$387, '03_Base_Vendas'!$A$4:$A$387, X$7, '03_Base_Vendas'!$C$4:$C$387, "skincare")/SUMIFS('03_Base_Vendas'!$I$4:$I$387, '03_Base_Vendas'!$A$4:$A$387, X$7),0))</f>
        <v>2170.9868335221727</v>
      </c>
      <c r="Y19" s="42">
        <f>(SUMIFS('04_Base_Despesas'!$D$4:$D$219, '04_Base_Despesas'!$A$4:$A$219, Y$7, '04_Base_Despesas'!$B$4:$B$219, "tecnologia"))*(IFERROR(SUMIFS('03_Base_Vendas'!$I$4:$I$387, '03_Base_Vendas'!$A$4:$A$387, Y$7, '03_Base_Vendas'!$C$4:$C$387, "skincare")/SUMIFS('03_Base_Vendas'!$I$4:$I$387, '03_Base_Vendas'!$A$4:$A$387, Y$7),0))</f>
        <v>0</v>
      </c>
      <c r="Z19" s="43">
        <f t="shared" si="4"/>
        <v>50566.822664120133</v>
      </c>
    </row>
    <row r="20" spans="1:26" x14ac:dyDescent="0.25">
      <c r="A20" s="41" t="s">
        <v>343</v>
      </c>
      <c r="B20" s="42">
        <f>(SUMIFS('04_Base_Despesas'!$D$4:$D$219, '04_Base_Despesas'!$A$4:$A$219, B$7, '04_Base_Despesas'!$B$4:$B$219, "administrativo"))*(IFERROR(SUMIFS('03_Base_Vendas'!$I$4:$I$387, '03_Base_Vendas'!$A$4:$A$387, B$7, '03_Base_Vendas'!$C$4:$C$387, "skincare")/SUMIFS('03_Base_Vendas'!$I$4:$I$387, '03_Base_Vendas'!$A$4:$A$387, B$7),0))</f>
        <v>1440.7957964073969</v>
      </c>
      <c r="C20" s="42">
        <f>(SUMIFS('04_Base_Despesas'!$D$4:$D$219, '04_Base_Despesas'!$A$4:$A$219, C$7, '04_Base_Despesas'!$B$4:$B$219, "administrativo"))*(IFERROR(SUMIFS('03_Base_Vendas'!$I$4:$I$387, '03_Base_Vendas'!$A$4:$A$387, C$7, '03_Base_Vendas'!$C$4:$C$387, "skincare")/SUMIFS('03_Base_Vendas'!$I$4:$I$387, '03_Base_Vendas'!$A$4:$A$387, C$7),0))</f>
        <v>845.45070021609899</v>
      </c>
      <c r="D20" s="42">
        <f>(SUMIFS('04_Base_Despesas'!$D$4:$D$219, '04_Base_Despesas'!$A$4:$A$219, D$7, '04_Base_Despesas'!$B$4:$B$219, "administrativo"))*(IFERROR(SUMIFS('03_Base_Vendas'!$I$4:$I$387, '03_Base_Vendas'!$A$4:$A$387, D$7, '03_Base_Vendas'!$C$4:$C$387, "skincare")/SUMIFS('03_Base_Vendas'!$I$4:$I$387, '03_Base_Vendas'!$A$4:$A$387, D$7),0))</f>
        <v>844.87806850412017</v>
      </c>
      <c r="E20" s="42">
        <f>(SUMIFS('04_Base_Despesas'!$D$4:$D$219, '04_Base_Despesas'!$A$4:$A$219, E$7, '04_Base_Despesas'!$B$4:$B$219, "administrativo"))*(IFERROR(SUMIFS('03_Base_Vendas'!$I$4:$I$387, '03_Base_Vendas'!$A$4:$A$387, E$7, '03_Base_Vendas'!$C$4:$C$387, "skincare")/SUMIFS('03_Base_Vendas'!$I$4:$I$387, '03_Base_Vendas'!$A$4:$A$387, E$7),0))</f>
        <v>1686.20698994451</v>
      </c>
      <c r="F20" s="42">
        <f>(SUMIFS('04_Base_Despesas'!$D$4:$D$219, '04_Base_Despesas'!$A$4:$A$219, F$7, '04_Base_Despesas'!$B$4:$B$219, "administrativo"))*(IFERROR(SUMIFS('03_Base_Vendas'!$I$4:$I$387, '03_Base_Vendas'!$A$4:$A$387, F$7, '03_Base_Vendas'!$C$4:$C$387, "skincare")/SUMIFS('03_Base_Vendas'!$I$4:$I$387, '03_Base_Vendas'!$A$4:$A$387, F$7),0))</f>
        <v>944.26825781653656</v>
      </c>
      <c r="G20" s="42">
        <f>(SUMIFS('04_Base_Despesas'!$D$4:$D$219, '04_Base_Despesas'!$A$4:$A$219, G$7, '04_Base_Despesas'!$B$4:$B$219, "administrativo"))*(IFERROR(SUMIFS('03_Base_Vendas'!$I$4:$I$387, '03_Base_Vendas'!$A$4:$A$387, G$7, '03_Base_Vendas'!$C$4:$C$387, "skincare")/SUMIFS('03_Base_Vendas'!$I$4:$I$387, '03_Base_Vendas'!$A$4:$A$387, G$7),0))</f>
        <v>718.167854194764</v>
      </c>
      <c r="H20" s="42">
        <f>(SUMIFS('04_Base_Despesas'!$D$4:$D$219, '04_Base_Despesas'!$A$4:$A$219, H$7, '04_Base_Despesas'!$B$4:$B$219, "administrativo"))*(IFERROR(SUMIFS('03_Base_Vendas'!$I$4:$I$387, '03_Base_Vendas'!$A$4:$A$387, H$7, '03_Base_Vendas'!$C$4:$C$387, "skincare")/SUMIFS('03_Base_Vendas'!$I$4:$I$387, '03_Base_Vendas'!$A$4:$A$387, H$7),0))</f>
        <v>1272.6922976489286</v>
      </c>
      <c r="I20" s="42">
        <f>(SUMIFS('04_Base_Despesas'!$D$4:$D$219, '04_Base_Despesas'!$A$4:$A$219, I$7, '04_Base_Despesas'!$B$4:$B$219, "administrativo"))*(IFERROR(SUMIFS('03_Base_Vendas'!$I$4:$I$387, '03_Base_Vendas'!$A$4:$A$387, I$7, '03_Base_Vendas'!$C$4:$C$387, "skincare")/SUMIFS('03_Base_Vendas'!$I$4:$I$387, '03_Base_Vendas'!$A$4:$A$387, I$7),0))</f>
        <v>960.39321814753009</v>
      </c>
      <c r="J20" s="42">
        <f>(SUMIFS('04_Base_Despesas'!$D$4:$D$219, '04_Base_Despesas'!$A$4:$A$219, J$7, '04_Base_Despesas'!$B$4:$B$219, "administrativo"))*(IFERROR(SUMIFS('03_Base_Vendas'!$I$4:$I$387, '03_Base_Vendas'!$A$4:$A$387, J$7, '03_Base_Vendas'!$C$4:$C$387, "skincare")/SUMIFS('03_Base_Vendas'!$I$4:$I$387, '03_Base_Vendas'!$A$4:$A$387, J$7),0))</f>
        <v>823.9658944105247</v>
      </c>
      <c r="K20" s="42">
        <f>(SUMIFS('04_Base_Despesas'!$D$4:$D$219, '04_Base_Despesas'!$A$4:$A$219, K$7, '04_Base_Despesas'!$B$4:$B$219, "administrativo"))*(IFERROR(SUMIFS('03_Base_Vendas'!$I$4:$I$387, '03_Base_Vendas'!$A$4:$A$387, K$7, '03_Base_Vendas'!$C$4:$C$387, "skincare")/SUMIFS('03_Base_Vendas'!$I$4:$I$387, '03_Base_Vendas'!$A$4:$A$387, K$7),0))</f>
        <v>1639.0816817748885</v>
      </c>
      <c r="L20" s="42">
        <f>(SUMIFS('04_Base_Despesas'!$D$4:$D$219, '04_Base_Despesas'!$A$4:$A$219, L$7, '04_Base_Despesas'!$B$4:$B$219, "administrativo"))*(IFERROR(SUMIFS('03_Base_Vendas'!$I$4:$I$387, '03_Base_Vendas'!$A$4:$A$387, L$7, '03_Base_Vendas'!$C$4:$C$387, "skincare")/SUMIFS('03_Base_Vendas'!$I$4:$I$387, '03_Base_Vendas'!$A$4:$A$387, L$7),0))</f>
        <v>889.83136820392144</v>
      </c>
      <c r="M20" s="42">
        <f>(SUMIFS('04_Base_Despesas'!$D$4:$D$219, '04_Base_Despesas'!$A$4:$A$219, M$7, '04_Base_Despesas'!$B$4:$B$219, "administrativo"))*(IFERROR(SUMIFS('03_Base_Vendas'!$I$4:$I$387, '03_Base_Vendas'!$A$4:$A$387, M$7, '03_Base_Vendas'!$C$4:$C$387, "skincare")/SUMIFS('03_Base_Vendas'!$I$4:$I$387, '03_Base_Vendas'!$A$4:$A$387, M$7),0))</f>
        <v>832.06031610243247</v>
      </c>
      <c r="N20" s="42">
        <f>(SUMIFS('04_Base_Despesas'!$D$4:$D$219, '04_Base_Despesas'!$A$4:$A$219, N$7, '04_Base_Despesas'!$B$4:$B$219, "administrativo"))*(IFERROR(SUMIFS('03_Base_Vendas'!$I$4:$I$387, '03_Base_Vendas'!$A$4:$A$387, N$7, '03_Base_Vendas'!$C$4:$C$387, "skincare")/SUMIFS('03_Base_Vendas'!$I$4:$I$387, '03_Base_Vendas'!$A$4:$A$387, N$7),0))</f>
        <v>1387.2570327440264</v>
      </c>
      <c r="O20" s="42">
        <f>(SUMIFS('04_Base_Despesas'!$D$4:$D$219, '04_Base_Despesas'!$A$4:$A$219, O$7, '04_Base_Despesas'!$B$4:$B$219, "administrativo"))*(IFERROR(SUMIFS('03_Base_Vendas'!$I$4:$I$387, '03_Base_Vendas'!$A$4:$A$387, O$7, '03_Base_Vendas'!$C$4:$C$387, "skincare")/SUMIFS('03_Base_Vendas'!$I$4:$I$387, '03_Base_Vendas'!$A$4:$A$387, O$7),0))</f>
        <v>712.87546261107718</v>
      </c>
      <c r="P20" s="42">
        <f>(SUMIFS('04_Base_Despesas'!$D$4:$D$219, '04_Base_Despesas'!$A$4:$A$219, P$7, '04_Base_Despesas'!$B$4:$B$219, "administrativo"))*(IFERROR(SUMIFS('03_Base_Vendas'!$I$4:$I$387, '03_Base_Vendas'!$A$4:$A$387, P$7, '03_Base_Vendas'!$C$4:$C$387, "skincare")/SUMIFS('03_Base_Vendas'!$I$4:$I$387, '03_Base_Vendas'!$A$4:$A$387, P$7),0))</f>
        <v>791.3004650339567</v>
      </c>
      <c r="Q20" s="42">
        <f>(SUMIFS('04_Base_Despesas'!$D$4:$D$219, '04_Base_Despesas'!$A$4:$A$219, Q$7, '04_Base_Despesas'!$B$4:$B$219, "administrativo"))*(IFERROR(SUMIFS('03_Base_Vendas'!$I$4:$I$387, '03_Base_Vendas'!$A$4:$A$387, Q$7, '03_Base_Vendas'!$C$4:$C$387, "skincare")/SUMIFS('03_Base_Vendas'!$I$4:$I$387, '03_Base_Vendas'!$A$4:$A$387, Q$7),0))</f>
        <v>1512.1172718883449</v>
      </c>
      <c r="R20" s="42">
        <f>(SUMIFS('04_Base_Despesas'!$D$4:$D$219, '04_Base_Despesas'!$A$4:$A$219, R$7, '04_Base_Despesas'!$B$4:$B$219, "administrativo"))*(IFERROR(SUMIFS('03_Base_Vendas'!$I$4:$I$387, '03_Base_Vendas'!$A$4:$A$387, R$7, '03_Base_Vendas'!$C$4:$C$387, "skincare")/SUMIFS('03_Base_Vendas'!$I$4:$I$387, '03_Base_Vendas'!$A$4:$A$387, R$7),0))</f>
        <v>852.11152537125417</v>
      </c>
      <c r="S20" s="42">
        <f>(SUMIFS('04_Base_Despesas'!$D$4:$D$219, '04_Base_Despesas'!$A$4:$A$219, S$7, '04_Base_Despesas'!$B$4:$B$219, "administrativo"))*(IFERROR(SUMIFS('03_Base_Vendas'!$I$4:$I$387, '03_Base_Vendas'!$A$4:$A$387, S$7, '03_Base_Vendas'!$C$4:$C$387, "skincare")/SUMIFS('03_Base_Vendas'!$I$4:$I$387, '03_Base_Vendas'!$A$4:$A$387, S$7),0))</f>
        <v>741.0765800867606</v>
      </c>
      <c r="T20" s="42">
        <f>(SUMIFS('04_Base_Despesas'!$D$4:$D$219, '04_Base_Despesas'!$A$4:$A$219, T$7, '04_Base_Despesas'!$B$4:$B$219, "administrativo"))*(IFERROR(SUMIFS('03_Base_Vendas'!$I$4:$I$387, '03_Base_Vendas'!$A$4:$A$387, T$7, '03_Base_Vendas'!$C$4:$C$387, "skincare")/SUMIFS('03_Base_Vendas'!$I$4:$I$387, '03_Base_Vendas'!$A$4:$A$387, T$7),0))</f>
        <v>1139.3958817552984</v>
      </c>
      <c r="U20" s="42">
        <f>(SUMIFS('04_Base_Despesas'!$D$4:$D$219, '04_Base_Despesas'!$A$4:$A$219, U$7, '04_Base_Despesas'!$B$4:$B$219, "administrativo"))*(IFERROR(SUMIFS('03_Base_Vendas'!$I$4:$I$387, '03_Base_Vendas'!$A$4:$A$387, U$7, '03_Base_Vendas'!$C$4:$C$387, "skincare")/SUMIFS('03_Base_Vendas'!$I$4:$I$387, '03_Base_Vendas'!$A$4:$A$387, U$7),0))</f>
        <v>779.00702457725333</v>
      </c>
      <c r="V20" s="42">
        <f>(SUMIFS('04_Base_Despesas'!$D$4:$D$219, '04_Base_Despesas'!$A$4:$A$219, V$7, '04_Base_Despesas'!$B$4:$B$219, "administrativo"))*(IFERROR(SUMIFS('03_Base_Vendas'!$I$4:$I$387, '03_Base_Vendas'!$A$4:$A$387, V$7, '03_Base_Vendas'!$C$4:$C$387, "skincare")/SUMIFS('03_Base_Vendas'!$I$4:$I$387, '03_Base_Vendas'!$A$4:$A$387, V$7),0))</f>
        <v>797.36424496100005</v>
      </c>
      <c r="W20" s="42">
        <f>(SUMIFS('04_Base_Despesas'!$D$4:$D$219, '04_Base_Despesas'!$A$4:$A$219, W$7, '04_Base_Despesas'!$B$4:$B$219, "administrativo"))*(IFERROR(SUMIFS('03_Base_Vendas'!$I$4:$I$387, '03_Base_Vendas'!$A$4:$A$387, W$7, '03_Base_Vendas'!$C$4:$C$387, "skincare")/SUMIFS('03_Base_Vendas'!$I$4:$I$387, '03_Base_Vendas'!$A$4:$A$387, W$7),0))</f>
        <v>1518.0979778853243</v>
      </c>
      <c r="X20" s="42">
        <f>(SUMIFS('04_Base_Despesas'!$D$4:$D$219, '04_Base_Despesas'!$A$4:$A$219, X$7, '04_Base_Despesas'!$B$4:$B$219, "administrativo"))*(IFERROR(SUMIFS('03_Base_Vendas'!$I$4:$I$387, '03_Base_Vendas'!$A$4:$A$387, X$7, '03_Base_Vendas'!$C$4:$C$387, "skincare")/SUMIFS('03_Base_Vendas'!$I$4:$I$387, '03_Base_Vendas'!$A$4:$A$387, X$7),0))</f>
        <v>803.85245516104283</v>
      </c>
      <c r="Y20" s="42">
        <f>(SUMIFS('04_Base_Despesas'!$D$4:$D$219, '04_Base_Despesas'!$A$4:$A$219, Y$7, '04_Base_Despesas'!$B$4:$B$219, "administrativo"))*(IFERROR(SUMIFS('03_Base_Vendas'!$I$4:$I$387, '03_Base_Vendas'!$A$4:$A$387, Y$7, '03_Base_Vendas'!$C$4:$C$387, "skincare")/SUMIFS('03_Base_Vendas'!$I$4:$I$387, '03_Base_Vendas'!$A$4:$A$387, Y$7),0))</f>
        <v>720.05927981962907</v>
      </c>
      <c r="Z20" s="43">
        <f t="shared" si="4"/>
        <v>24652.307645266621</v>
      </c>
    </row>
    <row r="21" spans="1:26" x14ac:dyDescent="0.25">
      <c r="A21" s="41" t="s">
        <v>344</v>
      </c>
      <c r="B21" s="42">
        <f>(SUMIFS('04_Base_Despesas'!$D$4:$D$219, '04_Base_Despesas'!$A$4:$A$219, B$7, '04_Base_Despesas'!$B$4:$B$219, "outros"))*(IFERROR(SUMIFS('03_Base_Vendas'!$I$4:$I$387, '03_Base_Vendas'!$A$4:$A$387, B$7, '03_Base_Vendas'!$C$4:$C$387, "skincare")/SUMIFS('03_Base_Vendas'!$I$4:$I$387, '03_Base_Vendas'!$A$4:$A$387, B$7),0))</f>
        <v>277.50402574553152</v>
      </c>
      <c r="C21" s="42">
        <f>(SUMIFS('04_Base_Despesas'!$D$4:$D$219, '04_Base_Despesas'!$A$4:$A$219, C$7, '04_Base_Despesas'!$B$4:$B$219, "outros"))*(IFERROR(SUMIFS('03_Base_Vendas'!$I$4:$I$387, '03_Base_Vendas'!$A$4:$A$387, C$7, '03_Base_Vendas'!$C$4:$C$387, "skincare")/SUMIFS('03_Base_Vendas'!$I$4:$I$387, '03_Base_Vendas'!$A$4:$A$387, C$7),0))</f>
        <v>297.14886670355185</v>
      </c>
      <c r="D21" s="42">
        <f>(SUMIFS('04_Base_Despesas'!$D$4:$D$219, '04_Base_Despesas'!$A$4:$A$219, D$7, '04_Base_Despesas'!$B$4:$B$219, "outros"))*(IFERROR(SUMIFS('03_Base_Vendas'!$I$4:$I$387, '03_Base_Vendas'!$A$4:$A$387, D$7, '03_Base_Vendas'!$C$4:$C$387, "skincare")/SUMIFS('03_Base_Vendas'!$I$4:$I$387, '03_Base_Vendas'!$A$4:$A$387, D$7),0))</f>
        <v>292.26360096921923</v>
      </c>
      <c r="E21" s="42">
        <f>(SUMIFS('04_Base_Despesas'!$D$4:$D$219, '04_Base_Despesas'!$A$4:$A$219, E$7, '04_Base_Despesas'!$B$4:$B$219, "outros"))*(IFERROR(SUMIFS('03_Base_Vendas'!$I$4:$I$387, '03_Base_Vendas'!$A$4:$A$387, E$7, '03_Base_Vendas'!$C$4:$C$387, "skincare")/SUMIFS('03_Base_Vendas'!$I$4:$I$387, '03_Base_Vendas'!$A$4:$A$387, E$7),0))</f>
        <v>254.76552305899403</v>
      </c>
      <c r="F21" s="42">
        <f>(SUMIFS('04_Base_Despesas'!$D$4:$D$219, '04_Base_Despesas'!$A$4:$A$219, F$7, '04_Base_Despesas'!$B$4:$B$219, "outros"))*(IFERROR(SUMIFS('03_Base_Vendas'!$I$4:$I$387, '03_Base_Vendas'!$A$4:$A$387, F$7, '03_Base_Vendas'!$C$4:$C$387, "skincare")/SUMIFS('03_Base_Vendas'!$I$4:$I$387, '03_Base_Vendas'!$A$4:$A$387, F$7),0))</f>
        <v>292.23969457512425</v>
      </c>
      <c r="G21" s="42">
        <f>(SUMIFS('04_Base_Despesas'!$D$4:$D$219, '04_Base_Despesas'!$A$4:$A$219, G$7, '04_Base_Despesas'!$B$4:$B$219, "outros"))*(IFERROR(SUMIFS('03_Base_Vendas'!$I$4:$I$387, '03_Base_Vendas'!$A$4:$A$387, G$7, '03_Base_Vendas'!$C$4:$C$387, "skincare")/SUMIFS('03_Base_Vendas'!$I$4:$I$387, '03_Base_Vendas'!$A$4:$A$387, G$7),0))</f>
        <v>221.43125814816324</v>
      </c>
      <c r="H21" s="42">
        <f>(SUMIFS('04_Base_Despesas'!$D$4:$D$219, '04_Base_Despesas'!$A$4:$A$219, H$7, '04_Base_Despesas'!$B$4:$B$219, "outros"))*(IFERROR(SUMIFS('03_Base_Vendas'!$I$4:$I$387, '03_Base_Vendas'!$A$4:$A$387, H$7, '03_Base_Vendas'!$C$4:$C$387, "skincare")/SUMIFS('03_Base_Vendas'!$I$4:$I$387, '03_Base_Vendas'!$A$4:$A$387, H$7),0))</f>
        <v>294.64274377126071</v>
      </c>
      <c r="I21" s="42">
        <f>(SUMIFS('04_Base_Despesas'!$D$4:$D$219, '04_Base_Despesas'!$A$4:$A$219, I$7, '04_Base_Despesas'!$B$4:$B$219, "outros"))*(IFERROR(SUMIFS('03_Base_Vendas'!$I$4:$I$387, '03_Base_Vendas'!$A$4:$A$387, I$7, '03_Base_Vendas'!$C$4:$C$387, "skincare")/SUMIFS('03_Base_Vendas'!$I$4:$I$387, '03_Base_Vendas'!$A$4:$A$387, I$7),0))</f>
        <v>335.68047917979732</v>
      </c>
      <c r="J21" s="42">
        <f>(SUMIFS('04_Base_Despesas'!$D$4:$D$219, '04_Base_Despesas'!$A$4:$A$219, J$7, '04_Base_Despesas'!$B$4:$B$219, "outros"))*(IFERROR(SUMIFS('03_Base_Vendas'!$I$4:$I$387, '03_Base_Vendas'!$A$4:$A$387, J$7, '03_Base_Vendas'!$C$4:$C$387, "skincare")/SUMIFS('03_Base_Vendas'!$I$4:$I$387, '03_Base_Vendas'!$A$4:$A$387, J$7),0))</f>
        <v>346.16593622349455</v>
      </c>
      <c r="K21" s="42">
        <f>(SUMIFS('04_Base_Despesas'!$D$4:$D$219, '04_Base_Despesas'!$A$4:$A$219, K$7, '04_Base_Despesas'!$B$4:$B$219, "outros"))*(IFERROR(SUMIFS('03_Base_Vendas'!$I$4:$I$387, '03_Base_Vendas'!$A$4:$A$387, K$7, '03_Base_Vendas'!$C$4:$C$387, "skincare")/SUMIFS('03_Base_Vendas'!$I$4:$I$387, '03_Base_Vendas'!$A$4:$A$387, K$7),0))</f>
        <v>408.9269555427087</v>
      </c>
      <c r="L21" s="42">
        <f>(SUMIFS('04_Base_Despesas'!$D$4:$D$219, '04_Base_Despesas'!$A$4:$A$219, L$7, '04_Base_Despesas'!$B$4:$B$219, "outros"))*(IFERROR(SUMIFS('03_Base_Vendas'!$I$4:$I$387, '03_Base_Vendas'!$A$4:$A$387, L$7, '03_Base_Vendas'!$C$4:$C$387, "skincare")/SUMIFS('03_Base_Vendas'!$I$4:$I$387, '03_Base_Vendas'!$A$4:$A$387, L$7),0))</f>
        <v>283.73163006550237</v>
      </c>
      <c r="M21" s="42">
        <f>(SUMIFS('04_Base_Despesas'!$D$4:$D$219, '04_Base_Despesas'!$A$4:$A$219, M$7, '04_Base_Despesas'!$B$4:$B$219, "outros"))*(IFERROR(SUMIFS('03_Base_Vendas'!$I$4:$I$387, '03_Base_Vendas'!$A$4:$A$387, M$7, '03_Base_Vendas'!$C$4:$C$387, "skincare")/SUMIFS('03_Base_Vendas'!$I$4:$I$387, '03_Base_Vendas'!$A$4:$A$387, M$7),0))</f>
        <v>255.3193721166636</v>
      </c>
      <c r="N21" s="42">
        <f>(SUMIFS('04_Base_Despesas'!$D$4:$D$219, '04_Base_Despesas'!$A$4:$A$219, N$7, '04_Base_Despesas'!$B$4:$B$219, "outros"))*(IFERROR(SUMIFS('03_Base_Vendas'!$I$4:$I$387, '03_Base_Vendas'!$A$4:$A$387, N$7, '03_Base_Vendas'!$C$4:$C$387, "skincare")/SUMIFS('03_Base_Vendas'!$I$4:$I$387, '03_Base_Vendas'!$A$4:$A$387, N$7),0))</f>
        <v>179.7694039738717</v>
      </c>
      <c r="O21" s="42">
        <f>(SUMIFS('04_Base_Despesas'!$D$4:$D$219, '04_Base_Despesas'!$A$4:$A$219, O$7, '04_Base_Despesas'!$B$4:$B$219, "outros"))*(IFERROR(SUMIFS('03_Base_Vendas'!$I$4:$I$387, '03_Base_Vendas'!$A$4:$A$387, O$7, '03_Base_Vendas'!$C$4:$C$387, "skincare")/SUMIFS('03_Base_Vendas'!$I$4:$I$387, '03_Base_Vendas'!$A$4:$A$387, O$7),0))</f>
        <v>180.46086795069036</v>
      </c>
      <c r="P21" s="42">
        <f>(SUMIFS('04_Base_Despesas'!$D$4:$D$219, '04_Base_Despesas'!$A$4:$A$219, P$7, '04_Base_Despesas'!$B$4:$B$219, "outros"))*(IFERROR(SUMIFS('03_Base_Vendas'!$I$4:$I$387, '03_Base_Vendas'!$A$4:$A$387, P$7, '03_Base_Vendas'!$C$4:$C$387, "skincare")/SUMIFS('03_Base_Vendas'!$I$4:$I$387, '03_Base_Vendas'!$A$4:$A$387, P$7),0))</f>
        <v>291.89808074358609</v>
      </c>
      <c r="Q21" s="42">
        <f>(SUMIFS('04_Base_Despesas'!$D$4:$D$219, '04_Base_Despesas'!$A$4:$A$219, Q$7, '04_Base_Despesas'!$B$4:$B$219, "outros"))*(IFERROR(SUMIFS('03_Base_Vendas'!$I$4:$I$387, '03_Base_Vendas'!$A$4:$A$387, Q$7, '03_Base_Vendas'!$C$4:$C$387, "skincare")/SUMIFS('03_Base_Vendas'!$I$4:$I$387, '03_Base_Vendas'!$A$4:$A$387, Q$7),0))</f>
        <v>297.593887535715</v>
      </c>
      <c r="R21" s="42">
        <f>(SUMIFS('04_Base_Despesas'!$D$4:$D$219, '04_Base_Despesas'!$A$4:$A$219, R$7, '04_Base_Despesas'!$B$4:$B$219, "outros"))*(IFERROR(SUMIFS('03_Base_Vendas'!$I$4:$I$387, '03_Base_Vendas'!$A$4:$A$387, R$7, '03_Base_Vendas'!$C$4:$C$387, "skincare")/SUMIFS('03_Base_Vendas'!$I$4:$I$387, '03_Base_Vendas'!$A$4:$A$387, R$7),0))</f>
        <v>294.36139966204769</v>
      </c>
      <c r="S21" s="42">
        <f>(SUMIFS('04_Base_Despesas'!$D$4:$D$219, '04_Base_Despesas'!$A$4:$A$219, S$7, '04_Base_Despesas'!$B$4:$B$219, "outros"))*(IFERROR(SUMIFS('03_Base_Vendas'!$I$4:$I$387, '03_Base_Vendas'!$A$4:$A$387, S$7, '03_Base_Vendas'!$C$4:$C$387, "skincare")/SUMIFS('03_Base_Vendas'!$I$4:$I$387, '03_Base_Vendas'!$A$4:$A$387, S$7),0))</f>
        <v>296.41996048926484</v>
      </c>
      <c r="T21" s="42">
        <f>(SUMIFS('04_Base_Despesas'!$D$4:$D$219, '04_Base_Despesas'!$A$4:$A$219, T$7, '04_Base_Despesas'!$B$4:$B$219, "outros"))*(IFERROR(SUMIFS('03_Base_Vendas'!$I$4:$I$387, '03_Base_Vendas'!$A$4:$A$387, T$7, '03_Base_Vendas'!$C$4:$C$387, "skincare")/SUMIFS('03_Base_Vendas'!$I$4:$I$387, '03_Base_Vendas'!$A$4:$A$387, T$7),0))</f>
        <v>223.94372469378558</v>
      </c>
      <c r="U21" s="42">
        <f>(SUMIFS('04_Base_Despesas'!$D$4:$D$219, '04_Base_Despesas'!$A$4:$A$219, U$7, '04_Base_Despesas'!$B$4:$B$219, "outros"))*(IFERROR(SUMIFS('03_Base_Vendas'!$I$4:$I$387, '03_Base_Vendas'!$A$4:$A$387, U$7, '03_Base_Vendas'!$C$4:$C$387, "skincare")/SUMIFS('03_Base_Vendas'!$I$4:$I$387, '03_Base_Vendas'!$A$4:$A$387, U$7),0))</f>
        <v>329.74120939115812</v>
      </c>
      <c r="V21" s="42">
        <f>(SUMIFS('04_Base_Despesas'!$D$4:$D$219, '04_Base_Despesas'!$A$4:$A$219, V$7, '04_Base_Despesas'!$B$4:$B$219, "outros"))*(IFERROR(SUMIFS('03_Base_Vendas'!$I$4:$I$387, '03_Base_Vendas'!$A$4:$A$387, V$7, '03_Base_Vendas'!$C$4:$C$387, "skincare")/SUMIFS('03_Base_Vendas'!$I$4:$I$387, '03_Base_Vendas'!$A$4:$A$387, V$7),0))</f>
        <v>285.94757607093402</v>
      </c>
      <c r="W21" s="42">
        <f>(SUMIFS('04_Base_Despesas'!$D$4:$D$219, '04_Base_Despesas'!$A$4:$A$219, W$7, '04_Base_Despesas'!$B$4:$B$219, "outros"))*(IFERROR(SUMIFS('03_Base_Vendas'!$I$4:$I$387, '03_Base_Vendas'!$A$4:$A$387, W$7, '03_Base_Vendas'!$C$4:$C$387, "skincare")/SUMIFS('03_Base_Vendas'!$I$4:$I$387, '03_Base_Vendas'!$A$4:$A$387, W$7),0))</f>
        <v>289.08351815520405</v>
      </c>
      <c r="X21" s="42">
        <f>(SUMIFS('04_Base_Despesas'!$D$4:$D$219, '04_Base_Despesas'!$A$4:$A$219, X$7, '04_Base_Despesas'!$B$4:$B$219, "outros"))*(IFERROR(SUMIFS('03_Base_Vendas'!$I$4:$I$387, '03_Base_Vendas'!$A$4:$A$387, X$7, '03_Base_Vendas'!$C$4:$C$387, "skincare")/SUMIFS('03_Base_Vendas'!$I$4:$I$387, '03_Base_Vendas'!$A$4:$A$387, X$7),0))</f>
        <v>286.1489661685867</v>
      </c>
      <c r="Y21" s="42">
        <f>(SUMIFS('04_Base_Despesas'!$D$4:$D$219, '04_Base_Despesas'!$A$4:$A$219, Y$7, '04_Base_Despesas'!$B$4:$B$219, "outros"))*(IFERROR(SUMIFS('03_Base_Vendas'!$I$4:$I$387, '03_Base_Vendas'!$A$4:$A$387, Y$7, '03_Base_Vendas'!$C$4:$C$387, "skincare")/SUMIFS('03_Base_Vendas'!$I$4:$I$387, '03_Base_Vendas'!$A$4:$A$387, Y$7),0))</f>
        <v>186.77473647385398</v>
      </c>
      <c r="Z21" s="43">
        <f t="shared" si="4"/>
        <v>6701.9634174087096</v>
      </c>
    </row>
    <row r="22" spans="1:26" x14ac:dyDescent="0.25">
      <c r="A22" s="44" t="s">
        <v>345</v>
      </c>
      <c r="B22" s="45">
        <f t="shared" ref="B22:Y22" si="5">B15+B16+B17+B18+B19+B20+B21</f>
        <v>34575.617296085933</v>
      </c>
      <c r="C22" s="45">
        <f t="shared" si="5"/>
        <v>31426.663939477126</v>
      </c>
      <c r="D22" s="45">
        <f t="shared" si="5"/>
        <v>30550.040705384155</v>
      </c>
      <c r="E22" s="45">
        <f t="shared" si="5"/>
        <v>34793.677691947778</v>
      </c>
      <c r="F22" s="45">
        <f t="shared" si="5"/>
        <v>37135.562603431616</v>
      </c>
      <c r="G22" s="45">
        <f t="shared" si="5"/>
        <v>27924.612600140346</v>
      </c>
      <c r="H22" s="45">
        <f t="shared" si="5"/>
        <v>28110.586448330549</v>
      </c>
      <c r="I22" s="45">
        <f t="shared" si="5"/>
        <v>36564.017611428186</v>
      </c>
      <c r="J22" s="45">
        <f t="shared" si="5"/>
        <v>31964.220319430871</v>
      </c>
      <c r="K22" s="45">
        <f t="shared" si="5"/>
        <v>35791.936387463618</v>
      </c>
      <c r="L22" s="45">
        <f t="shared" si="5"/>
        <v>34271.346162831425</v>
      </c>
      <c r="M22" s="45">
        <f t="shared" si="5"/>
        <v>33055.01721618903</v>
      </c>
      <c r="N22" s="45">
        <f t="shared" si="5"/>
        <v>29650.76825207856</v>
      </c>
      <c r="O22" s="45">
        <f t="shared" si="5"/>
        <v>26667.585798850108</v>
      </c>
      <c r="P22" s="45">
        <f t="shared" si="5"/>
        <v>31304.653523217665</v>
      </c>
      <c r="Q22" s="45">
        <f t="shared" si="5"/>
        <v>32060.655763075385</v>
      </c>
      <c r="R22" s="45">
        <f t="shared" si="5"/>
        <v>35139.897388812708</v>
      </c>
      <c r="S22" s="45">
        <f t="shared" si="5"/>
        <v>28137.726110829732</v>
      </c>
      <c r="T22" s="45">
        <f t="shared" si="5"/>
        <v>25989.622607311412</v>
      </c>
      <c r="U22" s="45">
        <f t="shared" si="5"/>
        <v>29276.87258374161</v>
      </c>
      <c r="V22" s="45">
        <f t="shared" si="5"/>
        <v>29257.772355692432</v>
      </c>
      <c r="W22" s="45">
        <f t="shared" si="5"/>
        <v>33046.453794230707</v>
      </c>
      <c r="X22" s="45">
        <f t="shared" si="5"/>
        <v>31573.340530866426</v>
      </c>
      <c r="Y22" s="45">
        <f t="shared" si="5"/>
        <v>25113.346208990522</v>
      </c>
      <c r="Z22" s="43">
        <f t="shared" si="4"/>
        <v>753381.99389983795</v>
      </c>
    </row>
    <row r="23" spans="1:26" x14ac:dyDescent="0.25">
      <c r="A23" s="44" t="s">
        <v>115</v>
      </c>
      <c r="B23" s="45">
        <f t="shared" ref="B23:Y23" si="6">B13-B22</f>
        <v>-5580.3072960859354</v>
      </c>
      <c r="C23" s="45">
        <f t="shared" si="6"/>
        <v>-8649.4539394771273</v>
      </c>
      <c r="D23" s="45">
        <f t="shared" si="6"/>
        <v>-1857.280705384157</v>
      </c>
      <c r="E23" s="45">
        <f t="shared" si="6"/>
        <v>-6672.4676919477788</v>
      </c>
      <c r="F23" s="45">
        <f t="shared" si="6"/>
        <v>3086.7273965683926</v>
      </c>
      <c r="G23" s="45">
        <f t="shared" si="6"/>
        <v>-960.15260014035448</v>
      </c>
      <c r="H23" s="45">
        <f t="shared" si="6"/>
        <v>-6819.2764483305436</v>
      </c>
      <c r="I23" s="45">
        <f t="shared" si="6"/>
        <v>-9036.0276114281842</v>
      </c>
      <c r="J23" s="45">
        <f t="shared" si="6"/>
        <v>-8314.4003194308716</v>
      </c>
      <c r="K23" s="45">
        <f t="shared" si="6"/>
        <v>-6360.8463874636182</v>
      </c>
      <c r="L23" s="45">
        <f t="shared" si="6"/>
        <v>5257.9838371685837</v>
      </c>
      <c r="M23" s="45">
        <f t="shared" si="6"/>
        <v>3452.2627838109693</v>
      </c>
      <c r="N23" s="45">
        <f t="shared" si="6"/>
        <v>-1483.378252078568</v>
      </c>
      <c r="O23" s="45">
        <f t="shared" si="6"/>
        <v>-4533.9157988501065</v>
      </c>
      <c r="P23" s="45">
        <f t="shared" si="6"/>
        <v>-1960.6535232176684</v>
      </c>
      <c r="Q23" s="45">
        <f t="shared" si="6"/>
        <v>-5662.225763075392</v>
      </c>
      <c r="R23" s="45">
        <f t="shared" si="6"/>
        <v>3798.1326111872768</v>
      </c>
      <c r="S23" s="45">
        <f t="shared" si="6"/>
        <v>1106.8038891702636</v>
      </c>
      <c r="T23" s="45">
        <f t="shared" si="6"/>
        <v>-3560.5426073114031</v>
      </c>
      <c r="U23" s="45">
        <f t="shared" si="6"/>
        <v>-3267.9425837416129</v>
      </c>
      <c r="V23" s="45">
        <f t="shared" si="6"/>
        <v>-2651.6023556924229</v>
      </c>
      <c r="W23" s="45">
        <f t="shared" si="6"/>
        <v>-2312.4137942307134</v>
      </c>
      <c r="X23" s="45">
        <f t="shared" si="6"/>
        <v>13320.599469133562</v>
      </c>
      <c r="Y23" s="45">
        <f t="shared" si="6"/>
        <v>6424.8637910094731</v>
      </c>
      <c r="Z23" s="43">
        <f t="shared" si="4"/>
        <v>-43235.513899837941</v>
      </c>
    </row>
    <row r="24" spans="1:26" x14ac:dyDescent="0.25">
      <c r="A24" s="41" t="s">
        <v>346</v>
      </c>
      <c r="B24" s="46">
        <f t="shared" ref="B24:Y24" si="7">IFERROR(B23/B11,0)</f>
        <v>-0.10608303860004592</v>
      </c>
      <c r="C24" s="46">
        <f t="shared" si="7"/>
        <v>-0.20508500514587508</v>
      </c>
      <c r="D24" s="46">
        <f t="shared" si="7"/>
        <v>-3.6131764035208014E-2</v>
      </c>
      <c r="E24" s="46">
        <f t="shared" si="7"/>
        <v>-0.12898046450101724</v>
      </c>
      <c r="F24" s="46">
        <f t="shared" si="7"/>
        <v>4.1910115928545731E-2</v>
      </c>
      <c r="G24" s="46">
        <f t="shared" si="7"/>
        <v>-1.9693159604516619E-2</v>
      </c>
      <c r="H24" s="46">
        <f t="shared" si="7"/>
        <v>-0.17635707066023878</v>
      </c>
      <c r="I24" s="46">
        <f t="shared" si="7"/>
        <v>-0.18241684648401857</v>
      </c>
      <c r="J24" s="46">
        <f t="shared" si="7"/>
        <v>-0.18693215839210273</v>
      </c>
      <c r="K24" s="46">
        <f t="shared" si="7"/>
        <v>-0.11873107531893752</v>
      </c>
      <c r="L24" s="46">
        <f t="shared" si="7"/>
        <v>7.2749176549132377E-2</v>
      </c>
      <c r="M24" s="46">
        <f t="shared" si="7"/>
        <v>5.2686450110263329E-2</v>
      </c>
      <c r="N24" s="46">
        <f t="shared" si="7"/>
        <v>-2.769951970633986E-2</v>
      </c>
      <c r="O24" s="46">
        <f t="shared" si="7"/>
        <v>-0.10955464746863672</v>
      </c>
      <c r="P24" s="46">
        <f t="shared" si="7"/>
        <v>-3.6255492415099233E-2</v>
      </c>
      <c r="Q24" s="46">
        <f t="shared" si="7"/>
        <v>-0.11582144986381791</v>
      </c>
      <c r="R24" s="46">
        <f t="shared" si="7"/>
        <v>5.3314000938328436E-2</v>
      </c>
      <c r="S24" s="46">
        <f t="shared" si="7"/>
        <v>2.0226974977160916E-2</v>
      </c>
      <c r="T24" s="46">
        <f t="shared" si="7"/>
        <v>-8.4663108995496963E-2</v>
      </c>
      <c r="U24" s="46">
        <f t="shared" si="7"/>
        <v>-6.9392395702896223E-2</v>
      </c>
      <c r="V24" s="46">
        <f t="shared" si="7"/>
        <v>-5.3182777742526319E-2</v>
      </c>
      <c r="W24" s="46">
        <f t="shared" si="7"/>
        <v>-4.0508915959053267E-2</v>
      </c>
      <c r="X24" s="46">
        <f t="shared" si="7"/>
        <v>0.16682776095826921</v>
      </c>
      <c r="Y24" s="46">
        <f t="shared" si="7"/>
        <v>0.11482019296651939</v>
      </c>
      <c r="Z24" s="47">
        <f>IFERROR($Z$23/$Z$11,0)</f>
        <v>-3.3254703821243431E-2</v>
      </c>
    </row>
    <row r="25" spans="1:26" x14ac:dyDescent="0.25">
      <c r="A25" s="41" t="s">
        <v>347</v>
      </c>
      <c r="B25" s="42">
        <f>(SUMIFS('04_Base_Despesas'!$D$4:$D$219, '04_Base_Despesas'!$A$4:$A$219, B$7, '04_Base_Despesas'!$B$4:$B$219, "depreciacao"))*(IFERROR(SUMIFS('03_Base_Vendas'!$I$4:$I$387, '03_Base_Vendas'!$A$4:$A$387, B$7, '03_Base_Vendas'!$C$4:$C$387, "skincare")/SUMIFS('03_Base_Vendas'!$I$4:$I$387, '03_Base_Vendas'!$A$4:$A$387, B$7),0))</f>
        <v>771.39618361688565</v>
      </c>
      <c r="C25" s="42">
        <f>(SUMIFS('04_Base_Despesas'!$D$4:$D$219, '04_Base_Despesas'!$A$4:$A$219, C$7, '04_Base_Despesas'!$B$4:$B$219, "depreciacao"))*(IFERROR(SUMIFS('03_Base_Vendas'!$I$4:$I$387, '03_Base_Vendas'!$A$4:$A$387, C$7, '03_Base_Vendas'!$C$4:$C$387, "skincare")/SUMIFS('03_Base_Vendas'!$I$4:$I$387, '03_Base_Vendas'!$A$4:$A$387, C$7),0))</f>
        <v>743.99661619016706</v>
      </c>
      <c r="D25" s="42">
        <f>(SUMIFS('04_Base_Despesas'!$D$4:$D$219, '04_Base_Despesas'!$A$4:$A$219, D$7, '04_Base_Despesas'!$B$4:$B$219, "depreciacao"))*(IFERROR(SUMIFS('03_Base_Vendas'!$I$4:$I$387, '03_Base_Vendas'!$A$4:$A$387, D$7, '03_Base_Vendas'!$C$4:$C$387, "skincare")/SUMIFS('03_Base_Vendas'!$I$4:$I$387, '03_Base_Vendas'!$A$4:$A$387, D$7),0))</f>
        <v>743.48932077135169</v>
      </c>
      <c r="E25" s="42">
        <f>(SUMIFS('04_Base_Despesas'!$D$4:$D$219, '04_Base_Despesas'!$A$4:$A$219, E$7, '04_Base_Despesas'!$B$4:$B$219, "depreciacao"))*(IFERROR(SUMIFS('03_Base_Vendas'!$I$4:$I$387, '03_Base_Vendas'!$A$4:$A$387, E$7, '03_Base_Vendas'!$C$4:$C$387, "skincare")/SUMIFS('03_Base_Vendas'!$I$4:$I$387, '03_Base_Vendas'!$A$4:$A$387, E$7),0))</f>
        <v>814.00276388723591</v>
      </c>
      <c r="F25" s="42">
        <f>(SUMIFS('04_Base_Despesas'!$D$4:$D$219, '04_Base_Despesas'!$A$4:$A$219, F$7, '04_Base_Despesas'!$B$4:$B$219, "depreciacao"))*(IFERROR(SUMIFS('03_Base_Vendas'!$I$4:$I$387, '03_Base_Vendas'!$A$4:$A$387, F$7, '03_Base_Vendas'!$C$4:$C$387, "skincare")/SUMIFS('03_Base_Vendas'!$I$4:$I$387, '03_Base_Vendas'!$A$4:$A$387, F$7),0))</f>
        <v>830.95228980552076</v>
      </c>
      <c r="G25" s="42">
        <f>(SUMIFS('04_Base_Despesas'!$D$4:$D$219, '04_Base_Despesas'!$A$4:$A$219, G$7, '04_Base_Despesas'!$B$4:$B$219, "depreciacao"))*(IFERROR(SUMIFS('03_Base_Vendas'!$I$4:$I$387, '03_Base_Vendas'!$A$4:$A$387, G$7, '03_Base_Vendas'!$C$4:$C$387, "skincare")/SUMIFS('03_Base_Vendas'!$I$4:$I$387, '03_Base_Vendas'!$A$4:$A$387, G$7),0))</f>
        <v>631.98483901997554</v>
      </c>
      <c r="H25" s="42">
        <f>(SUMIFS('04_Base_Despesas'!$D$4:$D$219, '04_Base_Despesas'!$A$4:$A$219, H$7, '04_Base_Despesas'!$B$4:$B$219, "depreciacao"))*(IFERROR(SUMIFS('03_Base_Vendas'!$I$4:$I$387, '03_Base_Vendas'!$A$4:$A$387, H$7, '03_Base_Vendas'!$C$4:$C$387, "skincare")/SUMIFS('03_Base_Vendas'!$I$4:$I$387, '03_Base_Vendas'!$A$4:$A$387, H$7),0))</f>
        <v>658.37642182227171</v>
      </c>
      <c r="I25" s="42">
        <f>(SUMIFS('04_Base_Despesas'!$D$4:$D$219, '04_Base_Despesas'!$A$4:$A$219, I$7, '04_Base_Despesas'!$B$4:$B$219, "depreciacao"))*(IFERROR(SUMIFS('03_Base_Vendas'!$I$4:$I$387, '03_Base_Vendas'!$A$4:$A$387, I$7, '03_Base_Vendas'!$C$4:$C$387, "skincare")/SUMIFS('03_Base_Vendas'!$I$4:$I$387, '03_Base_Vendas'!$A$4:$A$387, I$7),0))</f>
        <v>845.14603196982648</v>
      </c>
      <c r="J25" s="42">
        <f>(SUMIFS('04_Base_Despesas'!$D$4:$D$219, '04_Base_Despesas'!$A$4:$A$219, J$7, '04_Base_Despesas'!$B$4:$B$219, "depreciacao"))*(IFERROR(SUMIFS('03_Base_Vendas'!$I$4:$I$387, '03_Base_Vendas'!$A$4:$A$387, J$7, '03_Base_Vendas'!$C$4:$C$387, "skincare")/SUMIFS('03_Base_Vendas'!$I$4:$I$387, '03_Base_Vendas'!$A$4:$A$387, J$7),0))</f>
        <v>725.08959157605034</v>
      </c>
      <c r="K25" s="42">
        <f>(SUMIFS('04_Base_Despesas'!$D$4:$D$219, '04_Base_Despesas'!$A$4:$A$219, K$7, '04_Base_Despesas'!$B$4:$B$219, "depreciacao"))*(IFERROR(SUMIFS('03_Base_Vendas'!$I$4:$I$387, '03_Base_Vendas'!$A$4:$A$387, K$7, '03_Base_Vendas'!$C$4:$C$387, "skincare")/SUMIFS('03_Base_Vendas'!$I$4:$I$387, '03_Base_Vendas'!$A$4:$A$387, K$7),0))</f>
        <v>794.69926433811156</v>
      </c>
      <c r="L25" s="42">
        <f>(SUMIFS('04_Base_Despesas'!$D$4:$D$219, '04_Base_Despesas'!$A$4:$A$219, L$7, '04_Base_Despesas'!$B$4:$B$219, "depreciacao"))*(IFERROR(SUMIFS('03_Base_Vendas'!$I$4:$I$387, '03_Base_Vendas'!$A$4:$A$387, L$7, '03_Base_Vendas'!$C$4:$C$387, "skincare")/SUMIFS('03_Base_Vendas'!$I$4:$I$387, '03_Base_Vendas'!$A$4:$A$387, L$7),0))</f>
        <v>783.05160401945091</v>
      </c>
      <c r="M25" s="42">
        <f>(SUMIFS('04_Base_Despesas'!$D$4:$D$219, '04_Base_Despesas'!$A$4:$A$219, M$7, '04_Base_Despesas'!$B$4:$B$219, "depreciacao"))*(IFERROR(SUMIFS('03_Base_Vendas'!$I$4:$I$387, '03_Base_Vendas'!$A$4:$A$387, M$7, '03_Base_Vendas'!$C$4:$C$387, "skincare")/SUMIFS('03_Base_Vendas'!$I$4:$I$387, '03_Base_Vendas'!$A$4:$A$387, M$7),0))</f>
        <v>732.21307817014053</v>
      </c>
      <c r="N25" s="42">
        <f>(SUMIFS('04_Base_Despesas'!$D$4:$D$219, '04_Base_Despesas'!$A$4:$A$219, N$7, '04_Base_Despesas'!$B$4:$B$219, "depreciacao"))*(IFERROR(SUMIFS('03_Base_Vendas'!$I$4:$I$387, '03_Base_Vendas'!$A$4:$A$387, N$7, '03_Base_Vendas'!$C$4:$C$387, "skincare")/SUMIFS('03_Base_Vendas'!$I$4:$I$387, '03_Base_Vendas'!$A$4:$A$387, N$7),0))</f>
        <v>670.39476682801251</v>
      </c>
      <c r="O25" s="42">
        <f>(SUMIFS('04_Base_Despesas'!$D$4:$D$219, '04_Base_Despesas'!$A$4:$A$219, O$7, '04_Base_Despesas'!$B$4:$B$219, "depreciacao"))*(IFERROR(SUMIFS('03_Base_Vendas'!$I$4:$I$387, '03_Base_Vendas'!$A$4:$A$387, O$7, '03_Base_Vendas'!$C$4:$C$387, "skincare")/SUMIFS('03_Base_Vendas'!$I$4:$I$387, '03_Base_Vendas'!$A$4:$A$387, O$7),0))</f>
        <v>627.33291642941367</v>
      </c>
      <c r="P25" s="42">
        <f>(SUMIFS('04_Base_Despesas'!$D$4:$D$219, '04_Base_Despesas'!$A$4:$A$219, P$7, '04_Base_Despesas'!$B$4:$B$219, "depreciacao"))*(IFERROR(SUMIFS('03_Base_Vendas'!$I$4:$I$387, '03_Base_Vendas'!$A$4:$A$387, P$7, '03_Base_Vendas'!$C$4:$C$387, "skincare")/SUMIFS('03_Base_Vendas'!$I$4:$I$387, '03_Base_Vendas'!$A$4:$A$387, P$7),0))</f>
        <v>696.34440922988188</v>
      </c>
      <c r="Q25" s="42">
        <f>(SUMIFS('04_Base_Despesas'!$D$4:$D$219, '04_Base_Despesas'!$A$4:$A$219, Q$7, '04_Base_Despesas'!$B$4:$B$219, "depreciacao"))*(IFERROR(SUMIFS('03_Base_Vendas'!$I$4:$I$387, '03_Base_Vendas'!$A$4:$A$387, Q$7, '03_Base_Vendas'!$C$4:$C$387, "skincare")/SUMIFS('03_Base_Vendas'!$I$4:$I$387, '03_Base_Vendas'!$A$4:$A$387, Q$7),0))</f>
        <v>742.17987233157214</v>
      </c>
      <c r="R25" s="42">
        <f>(SUMIFS('04_Base_Despesas'!$D$4:$D$219, '04_Base_Despesas'!$A$4:$A$219, R$7, '04_Base_Despesas'!$B$4:$B$219, "depreciacao"))*(IFERROR(SUMIFS('03_Base_Vendas'!$I$4:$I$387, '03_Base_Vendas'!$A$4:$A$387, R$7, '03_Base_Vendas'!$C$4:$C$387, "skincare")/SUMIFS('03_Base_Vendas'!$I$4:$I$387, '03_Base_Vendas'!$A$4:$A$387, R$7),0))</f>
        <v>749.85773331153541</v>
      </c>
      <c r="S25" s="42">
        <f>(SUMIFS('04_Base_Despesas'!$D$4:$D$219, '04_Base_Despesas'!$A$4:$A$219, S$7, '04_Base_Despesas'!$B$4:$B$219, "depreciacao"))*(IFERROR(SUMIFS('03_Base_Vendas'!$I$4:$I$387, '03_Base_Vendas'!$A$4:$A$387, S$7, '03_Base_Vendas'!$C$4:$C$387, "skincare")/SUMIFS('03_Base_Vendas'!$I$4:$I$387, '03_Base_Vendas'!$A$4:$A$387, S$7),0))</f>
        <v>652.14999907634569</v>
      </c>
      <c r="T25" s="42">
        <f>(SUMIFS('04_Base_Despesas'!$D$4:$D$219, '04_Base_Despesas'!$A$4:$A$219, T$7, '04_Base_Despesas'!$B$4:$B$219, "depreciacao"))*(IFERROR(SUMIFS('03_Base_Vendas'!$I$4:$I$387, '03_Base_Vendas'!$A$4:$A$387, T$7, '03_Base_Vendas'!$C$4:$C$387, "skincare")/SUMIFS('03_Base_Vendas'!$I$4:$I$387, '03_Base_Vendas'!$A$4:$A$387, T$7),0))</f>
        <v>601.91835692456812</v>
      </c>
      <c r="U25" s="42">
        <f>(SUMIFS('04_Base_Despesas'!$D$4:$D$219, '04_Base_Despesas'!$A$4:$A$219, U$7, '04_Base_Despesas'!$B$4:$B$219, "depreciacao"))*(IFERROR(SUMIFS('03_Base_Vendas'!$I$4:$I$387, '03_Base_Vendas'!$A$4:$A$387, U$7, '03_Base_Vendas'!$C$4:$C$387, "skincare")/SUMIFS('03_Base_Vendas'!$I$4:$I$387, '03_Base_Vendas'!$A$4:$A$387, U$7),0))</f>
        <v>685.52618162798296</v>
      </c>
      <c r="V25" s="42">
        <f>(SUMIFS('04_Base_Despesas'!$D$4:$D$219, '04_Base_Despesas'!$A$4:$A$219, V$7, '04_Base_Despesas'!$B$4:$B$219, "depreciacao"))*(IFERROR(SUMIFS('03_Base_Vendas'!$I$4:$I$387, '03_Base_Vendas'!$A$4:$A$387, V$7, '03_Base_Vendas'!$C$4:$C$387, "skincare")/SUMIFS('03_Base_Vendas'!$I$4:$I$387, '03_Base_Vendas'!$A$4:$A$387, V$7),0))</f>
        <v>701.68053556568009</v>
      </c>
      <c r="W25" s="42">
        <f>(SUMIFS('04_Base_Despesas'!$D$4:$D$219, '04_Base_Despesas'!$A$4:$A$219, W$7, '04_Base_Despesas'!$B$4:$B$219, "depreciacao"))*(IFERROR(SUMIFS('03_Base_Vendas'!$I$4:$I$387, '03_Base_Vendas'!$A$4:$A$387, W$7, '03_Base_Vendas'!$C$4:$C$387, "skincare")/SUMIFS('03_Base_Vendas'!$I$4:$I$387, '03_Base_Vendas'!$A$4:$A$387, W$7),0))</f>
        <v>746.09735820352569</v>
      </c>
      <c r="X25" s="42">
        <f>(SUMIFS('04_Base_Despesas'!$D$4:$D$219, '04_Base_Despesas'!$A$4:$A$219, X$7, '04_Base_Despesas'!$B$4:$B$219, "depreciacao"))*(IFERROR(SUMIFS('03_Base_Vendas'!$I$4:$I$387, '03_Base_Vendas'!$A$4:$A$387, X$7, '03_Base_Vendas'!$C$4:$C$387, "skincare")/SUMIFS('03_Base_Vendas'!$I$4:$I$387, '03_Base_Vendas'!$A$4:$A$387, X$7),0))</f>
        <v>707.39016054171771</v>
      </c>
      <c r="Y25" s="42">
        <f>(SUMIFS('04_Base_Despesas'!$D$4:$D$219, '04_Base_Despesas'!$A$4:$A$219, Y$7, '04_Base_Despesas'!$B$4:$B$219, "depreciacao"))*(IFERROR(SUMIFS('03_Base_Vendas'!$I$4:$I$387, '03_Base_Vendas'!$A$4:$A$387, Y$7, '03_Base_Vendas'!$C$4:$C$387, "skincare")/SUMIFS('03_Base_Vendas'!$I$4:$I$387, '03_Base_Vendas'!$A$4:$A$387, Y$7),0))</f>
        <v>633.65216624127356</v>
      </c>
      <c r="Z25" s="43">
        <f>SUM(B25:Y25)</f>
        <v>17288.922461498496</v>
      </c>
    </row>
    <row r="26" spans="1:26" x14ac:dyDescent="0.25">
      <c r="A26" s="44" t="s">
        <v>117</v>
      </c>
      <c r="B26" s="45">
        <f t="shared" ref="B26:Y26" si="8">B23-B25</f>
        <v>-6351.7034797028209</v>
      </c>
      <c r="C26" s="45">
        <f t="shared" si="8"/>
        <v>-9393.4505556672939</v>
      </c>
      <c r="D26" s="45">
        <f t="shared" si="8"/>
        <v>-2600.7700261555087</v>
      </c>
      <c r="E26" s="45">
        <f t="shared" si="8"/>
        <v>-7486.4704558350149</v>
      </c>
      <c r="F26" s="45">
        <f t="shared" si="8"/>
        <v>2255.7751067628719</v>
      </c>
      <c r="G26" s="45">
        <f t="shared" si="8"/>
        <v>-1592.1374391603299</v>
      </c>
      <c r="H26" s="45">
        <f t="shared" si="8"/>
        <v>-7477.652870152815</v>
      </c>
      <c r="I26" s="45">
        <f t="shared" si="8"/>
        <v>-9881.1736433980113</v>
      </c>
      <c r="J26" s="45">
        <f t="shared" si="8"/>
        <v>-9039.4899110069218</v>
      </c>
      <c r="K26" s="45">
        <f t="shared" si="8"/>
        <v>-7155.5456518017299</v>
      </c>
      <c r="L26" s="45">
        <f t="shared" si="8"/>
        <v>4474.932233149133</v>
      </c>
      <c r="M26" s="45">
        <f t="shared" si="8"/>
        <v>2720.0497056408285</v>
      </c>
      <c r="N26" s="45">
        <f t="shared" si="8"/>
        <v>-2153.7730189065805</v>
      </c>
      <c r="O26" s="45">
        <f t="shared" si="8"/>
        <v>-5161.2487152795202</v>
      </c>
      <c r="P26" s="45">
        <f t="shared" si="8"/>
        <v>-2656.9979324475503</v>
      </c>
      <c r="Q26" s="45">
        <f t="shared" si="8"/>
        <v>-6404.4056354069644</v>
      </c>
      <c r="R26" s="45">
        <f t="shared" si="8"/>
        <v>3048.2748778757414</v>
      </c>
      <c r="S26" s="45">
        <f t="shared" si="8"/>
        <v>454.65389009391788</v>
      </c>
      <c r="T26" s="45">
        <f t="shared" si="8"/>
        <v>-4162.460964235971</v>
      </c>
      <c r="U26" s="45">
        <f t="shared" si="8"/>
        <v>-3953.468765369596</v>
      </c>
      <c r="V26" s="45">
        <f t="shared" si="8"/>
        <v>-3353.2828912581031</v>
      </c>
      <c r="W26" s="45">
        <f t="shared" si="8"/>
        <v>-3058.5111524342392</v>
      </c>
      <c r="X26" s="45">
        <f t="shared" si="8"/>
        <v>12613.209308591844</v>
      </c>
      <c r="Y26" s="45">
        <f t="shared" si="8"/>
        <v>5791.2116247681997</v>
      </c>
      <c r="Z26" s="43">
        <f>SUM(B26:Y26)</f>
        <v>-60524.436361336455</v>
      </c>
    </row>
    <row r="27" spans="1:26" x14ac:dyDescent="0.25">
      <c r="A27" s="41" t="s">
        <v>348</v>
      </c>
      <c r="B27" s="42">
        <f>(SUMIFS('04_Base_Despesas'!$D$4:$D$219, '04_Base_Despesas'!$A$4:$A$219, B$7, '04_Base_Despesas'!$B$4:$B$219, "financeiro"))*(IFERROR(SUMIFS('03_Base_Vendas'!$I$4:$I$387, '03_Base_Vendas'!$A$4:$A$387, B$7, '03_Base_Vendas'!$C$4:$C$387, "skincare")/SUMIFS('03_Base_Vendas'!$I$4:$I$387, '03_Base_Vendas'!$A$4:$A$387, B$7),0))</f>
        <v>478.77272394776367</v>
      </c>
      <c r="C27" s="42">
        <f>(SUMIFS('04_Base_Despesas'!$D$4:$D$219, '04_Base_Despesas'!$A$4:$A$219, C$7, '04_Base_Despesas'!$B$4:$B$219, "financeiro"))*(IFERROR(SUMIFS('03_Base_Vendas'!$I$4:$I$387, '03_Base_Vendas'!$A$4:$A$387, C$7, '03_Base_Vendas'!$C$4:$C$387, "skincare")/SUMIFS('03_Base_Vendas'!$I$4:$I$387, '03_Base_Vendas'!$A$4:$A$387, C$7),0))</f>
        <v>457.07432115642911</v>
      </c>
      <c r="D27" s="42">
        <f>(SUMIFS('04_Base_Despesas'!$D$4:$D$219, '04_Base_Despesas'!$A$4:$A$219, D$7, '04_Base_Despesas'!$B$4:$B$219, "financeiro"))*(IFERROR(SUMIFS('03_Base_Vendas'!$I$4:$I$387, '03_Base_Vendas'!$A$4:$A$387, D$7, '03_Base_Vendas'!$C$4:$C$387, "skincare")/SUMIFS('03_Base_Vendas'!$I$4:$I$387, '03_Base_Vendas'!$A$4:$A$387, D$7),0))</f>
        <v>454.81814134941197</v>
      </c>
      <c r="E27" s="42">
        <f>(SUMIFS('04_Base_Despesas'!$D$4:$D$219, '04_Base_Despesas'!$A$4:$A$219, E$7, '04_Base_Despesas'!$B$4:$B$219, "financeiro"))*(IFERROR(SUMIFS('03_Base_Vendas'!$I$4:$I$387, '03_Base_Vendas'!$A$4:$A$387, E$7, '03_Base_Vendas'!$C$4:$C$387, "skincare")/SUMIFS('03_Base_Vendas'!$I$4:$I$387, '03_Base_Vendas'!$A$4:$A$387, E$7),0))</f>
        <v>480.30081400461859</v>
      </c>
      <c r="F27" s="42">
        <f>(SUMIFS('04_Base_Despesas'!$D$4:$D$219, '04_Base_Despesas'!$A$4:$A$219, F$7, '04_Base_Despesas'!$B$4:$B$219, "financeiro"))*(IFERROR(SUMIFS('03_Base_Vendas'!$I$4:$I$387, '03_Base_Vendas'!$A$4:$A$387, F$7, '03_Base_Vendas'!$C$4:$C$387, "skincare")/SUMIFS('03_Base_Vendas'!$I$4:$I$387, '03_Base_Vendas'!$A$4:$A$387, F$7),0))</f>
        <v>511.04931234940335</v>
      </c>
      <c r="G27" s="42">
        <f>(SUMIFS('04_Base_Despesas'!$D$4:$D$219, '04_Base_Despesas'!$A$4:$A$219, G$7, '04_Base_Despesas'!$B$4:$B$219, "financeiro"))*(IFERROR(SUMIFS('03_Base_Vendas'!$I$4:$I$387, '03_Base_Vendas'!$A$4:$A$387, G$7, '03_Base_Vendas'!$C$4:$C$387, "skincare")/SUMIFS('03_Base_Vendas'!$I$4:$I$387, '03_Base_Vendas'!$A$4:$A$387, G$7),0))</f>
        <v>367.26242262095201</v>
      </c>
      <c r="H27" s="42">
        <f>(SUMIFS('04_Base_Despesas'!$D$4:$D$219, '04_Base_Despesas'!$A$4:$A$219, H$7, '04_Base_Despesas'!$B$4:$B$219, "financeiro"))*(IFERROR(SUMIFS('03_Base_Vendas'!$I$4:$I$387, '03_Base_Vendas'!$A$4:$A$387, H$7, '03_Base_Vendas'!$C$4:$C$387, "skincare")/SUMIFS('03_Base_Vendas'!$I$4:$I$387, '03_Base_Vendas'!$A$4:$A$387, H$7),0))</f>
        <v>1629.7853215150406</v>
      </c>
      <c r="I27" s="42">
        <f>(SUMIFS('04_Base_Despesas'!$D$4:$D$219, '04_Base_Despesas'!$A$4:$A$219, I$7, '04_Base_Despesas'!$B$4:$B$219, "financeiro"))*(IFERROR(SUMIFS('03_Base_Vendas'!$I$4:$I$387, '03_Base_Vendas'!$A$4:$A$387, I$7, '03_Base_Vendas'!$C$4:$C$387, "skincare")/SUMIFS('03_Base_Vendas'!$I$4:$I$387, '03_Base_Vendas'!$A$4:$A$387, I$7),0))</f>
        <v>504.65974512641895</v>
      </c>
      <c r="J27" s="42">
        <f>(SUMIFS('04_Base_Despesas'!$D$4:$D$219, '04_Base_Despesas'!$A$4:$A$219, J$7, '04_Base_Despesas'!$B$4:$B$219, "financeiro"))*(IFERROR(SUMIFS('03_Base_Vendas'!$I$4:$I$387, '03_Base_Vendas'!$A$4:$A$387, J$7, '03_Base_Vendas'!$C$4:$C$387, "skincare")/SUMIFS('03_Base_Vendas'!$I$4:$I$387, '03_Base_Vendas'!$A$4:$A$387, J$7),0))</f>
        <v>428.86607591424888</v>
      </c>
      <c r="K27" s="42">
        <f>(SUMIFS('04_Base_Despesas'!$D$4:$D$219, '04_Base_Despesas'!$A$4:$A$219, K$7, '04_Base_Despesas'!$B$4:$B$219, "financeiro"))*(IFERROR(SUMIFS('03_Base_Vendas'!$I$4:$I$387, '03_Base_Vendas'!$A$4:$A$387, K$7, '03_Base_Vendas'!$C$4:$C$387, "skincare")/SUMIFS('03_Base_Vendas'!$I$4:$I$387, '03_Base_Vendas'!$A$4:$A$387, K$7),0))</f>
        <v>425.82153944866025</v>
      </c>
      <c r="L27" s="42">
        <f>(SUMIFS('04_Base_Despesas'!$D$4:$D$219, '04_Base_Despesas'!$A$4:$A$219, L$7, '04_Base_Despesas'!$B$4:$B$219, "financeiro"))*(IFERROR(SUMIFS('03_Base_Vendas'!$I$4:$I$387, '03_Base_Vendas'!$A$4:$A$387, L$7, '03_Base_Vendas'!$C$4:$C$387, "skincare")/SUMIFS('03_Base_Vendas'!$I$4:$I$387, '03_Base_Vendas'!$A$4:$A$387, L$7),0))</f>
        <v>459.9289189462973</v>
      </c>
      <c r="M27" s="42">
        <f>(SUMIFS('04_Base_Despesas'!$D$4:$D$219, '04_Base_Despesas'!$A$4:$A$219, M$7, '04_Base_Despesas'!$B$4:$B$219, "financeiro"))*(IFERROR(SUMIFS('03_Base_Vendas'!$I$4:$I$387, '03_Base_Vendas'!$A$4:$A$387, M$7, '03_Base_Vendas'!$C$4:$C$387, "skincare")/SUMIFS('03_Base_Vendas'!$I$4:$I$387, '03_Base_Vendas'!$A$4:$A$387, M$7),0))</f>
        <v>431.8592735047489</v>
      </c>
      <c r="N27" s="42">
        <f>(SUMIFS('04_Base_Despesas'!$D$4:$D$219, '04_Base_Despesas'!$A$4:$A$219, N$7, '04_Base_Despesas'!$B$4:$B$219, "financeiro"))*(IFERROR(SUMIFS('03_Base_Vendas'!$I$4:$I$387, '03_Base_Vendas'!$A$4:$A$387, N$7, '03_Base_Vendas'!$C$4:$C$387, "skincare")/SUMIFS('03_Base_Vendas'!$I$4:$I$387, '03_Base_Vendas'!$A$4:$A$387, N$7),0))</f>
        <v>368.61960978932279</v>
      </c>
      <c r="O27" s="42">
        <f>(SUMIFS('04_Base_Despesas'!$D$4:$D$219, '04_Base_Despesas'!$A$4:$A$219, O$7, '04_Base_Despesas'!$B$4:$B$219, "financeiro"))*(IFERROR(SUMIFS('03_Base_Vendas'!$I$4:$I$387, '03_Base_Vendas'!$A$4:$A$387, O$7, '03_Base_Vendas'!$C$4:$C$387, "skincare")/SUMIFS('03_Base_Vendas'!$I$4:$I$387, '03_Base_Vendas'!$A$4:$A$387, O$7),0))</f>
        <v>362.57846510340562</v>
      </c>
      <c r="P27" s="42">
        <f>(SUMIFS('04_Base_Despesas'!$D$4:$D$219, '04_Base_Despesas'!$A$4:$A$219, P$7, '04_Base_Despesas'!$B$4:$B$219, "financeiro"))*(IFERROR(SUMIFS('03_Base_Vendas'!$I$4:$I$387, '03_Base_Vendas'!$A$4:$A$387, P$7, '03_Base_Vendas'!$C$4:$C$387, "skincare")/SUMIFS('03_Base_Vendas'!$I$4:$I$387, '03_Base_Vendas'!$A$4:$A$387, P$7),0))</f>
        <v>415.86954199952606</v>
      </c>
      <c r="Q27" s="42">
        <f>(SUMIFS('04_Base_Despesas'!$D$4:$D$219, '04_Base_Despesas'!$A$4:$A$219, Q$7, '04_Base_Despesas'!$B$4:$B$219, "financeiro"))*(IFERROR(SUMIFS('03_Base_Vendas'!$I$4:$I$387, '03_Base_Vendas'!$A$4:$A$387, Q$7, '03_Base_Vendas'!$C$4:$C$387, "skincare")/SUMIFS('03_Base_Vendas'!$I$4:$I$387, '03_Base_Vendas'!$A$4:$A$387, Q$7),0))</f>
        <v>470.55215969283938</v>
      </c>
      <c r="R27" s="42">
        <f>(SUMIFS('04_Base_Despesas'!$D$4:$D$219, '04_Base_Despesas'!$A$4:$A$219, R$7, '04_Base_Despesas'!$B$4:$B$219, "financeiro"))*(IFERROR(SUMIFS('03_Base_Vendas'!$I$4:$I$387, '03_Base_Vendas'!$A$4:$A$387, R$7, '03_Base_Vendas'!$C$4:$C$387, "skincare")/SUMIFS('03_Base_Vendas'!$I$4:$I$387, '03_Base_Vendas'!$A$4:$A$387, R$7),0))</f>
        <v>458.31512985060073</v>
      </c>
      <c r="S27" s="42">
        <f>(SUMIFS('04_Base_Despesas'!$D$4:$D$219, '04_Base_Despesas'!$A$4:$A$219, S$7, '04_Base_Despesas'!$B$4:$B$219, "financeiro"))*(IFERROR(SUMIFS('03_Base_Vendas'!$I$4:$I$387, '03_Base_Vendas'!$A$4:$A$387, S$7, '03_Base_Vendas'!$C$4:$C$387, "skincare")/SUMIFS('03_Base_Vendas'!$I$4:$I$387, '03_Base_Vendas'!$A$4:$A$387, S$7),0))</f>
        <v>402.58998033889384</v>
      </c>
      <c r="T27" s="42">
        <f>(SUMIFS('04_Base_Despesas'!$D$4:$D$219, '04_Base_Despesas'!$A$4:$A$219, T$7, '04_Base_Despesas'!$B$4:$B$219, "financeiro"))*(IFERROR(SUMIFS('03_Base_Vendas'!$I$4:$I$387, '03_Base_Vendas'!$A$4:$A$387, T$7, '03_Base_Vendas'!$C$4:$C$387, "skincare")/SUMIFS('03_Base_Vendas'!$I$4:$I$387, '03_Base_Vendas'!$A$4:$A$387, T$7),0))</f>
        <v>358.87193237602196</v>
      </c>
      <c r="U27" s="42">
        <f>(SUMIFS('04_Base_Despesas'!$D$4:$D$219, '04_Base_Despesas'!$A$4:$A$219, U$7, '04_Base_Despesas'!$B$4:$B$219, "financeiro"))*(IFERROR(SUMIFS('03_Base_Vendas'!$I$4:$I$387, '03_Base_Vendas'!$A$4:$A$387, U$7, '03_Base_Vendas'!$C$4:$C$387, "skincare")/SUMIFS('03_Base_Vendas'!$I$4:$I$387, '03_Base_Vendas'!$A$4:$A$387, U$7),0))</f>
        <v>425.18826607046145</v>
      </c>
      <c r="V27" s="42">
        <f>(SUMIFS('04_Base_Despesas'!$D$4:$D$219, '04_Base_Despesas'!$A$4:$A$219, V$7, '04_Base_Despesas'!$B$4:$B$219, "financeiro"))*(IFERROR(SUMIFS('03_Base_Vendas'!$I$4:$I$387, '03_Base_Vendas'!$A$4:$A$387, V$7, '03_Base_Vendas'!$C$4:$C$387, "skincare")/SUMIFS('03_Base_Vendas'!$I$4:$I$387, '03_Base_Vendas'!$A$4:$A$387, V$7),0))</f>
        <v>385.82223193776906</v>
      </c>
      <c r="W27" s="42">
        <f>(SUMIFS('04_Base_Despesas'!$D$4:$D$219, '04_Base_Despesas'!$A$4:$A$219, W$7, '04_Base_Despesas'!$B$4:$B$219, "financeiro"))*(IFERROR(SUMIFS('03_Base_Vendas'!$I$4:$I$387, '03_Base_Vendas'!$A$4:$A$387, W$7, '03_Base_Vendas'!$C$4:$C$387, "skincare")/SUMIFS('03_Base_Vendas'!$I$4:$I$387, '03_Base_Vendas'!$A$4:$A$387, W$7),0))</f>
        <v>452.96454779837967</v>
      </c>
      <c r="X27" s="42">
        <f>(SUMIFS('04_Base_Despesas'!$D$4:$D$219, '04_Base_Despesas'!$A$4:$A$219, X$7, '04_Base_Despesas'!$B$4:$B$219, "financeiro"))*(IFERROR(SUMIFS('03_Base_Vendas'!$I$4:$I$387, '03_Base_Vendas'!$A$4:$A$387, X$7, '03_Base_Vendas'!$C$4:$C$387, "skincare")/SUMIFS('03_Base_Vendas'!$I$4:$I$387, '03_Base_Vendas'!$A$4:$A$387, X$7),0))</f>
        <v>420.78139076877886</v>
      </c>
      <c r="Y27" s="42">
        <f>(SUMIFS('04_Base_Despesas'!$D$4:$D$219, '04_Base_Despesas'!$A$4:$A$219, Y$7, '04_Base_Despesas'!$B$4:$B$219, "financeiro"))*(IFERROR(SUMIFS('03_Base_Vendas'!$I$4:$I$387, '03_Base_Vendas'!$A$4:$A$387, Y$7, '03_Base_Vendas'!$C$4:$C$387, "skincare")/SUMIFS('03_Base_Vendas'!$I$4:$I$387, '03_Base_Vendas'!$A$4:$A$387, Y$7),0))</f>
        <v>398.58449398847677</v>
      </c>
      <c r="Z27" s="43">
        <f>SUM(B27:Y27)</f>
        <v>11550.936359598467</v>
      </c>
    </row>
    <row r="28" spans="1:26" x14ac:dyDescent="0.25">
      <c r="A28" s="44" t="s">
        <v>119</v>
      </c>
      <c r="B28" s="45">
        <f t="shared" ref="B28:Y28" si="9">B26-B27</f>
        <v>-6830.4762036505845</v>
      </c>
      <c r="C28" s="45">
        <f t="shared" si="9"/>
        <v>-9850.5248768237234</v>
      </c>
      <c r="D28" s="45">
        <f t="shared" si="9"/>
        <v>-3055.5881675049209</v>
      </c>
      <c r="E28" s="45">
        <f t="shared" si="9"/>
        <v>-7966.7712698396335</v>
      </c>
      <c r="F28" s="45">
        <f t="shared" si="9"/>
        <v>1744.7257944134685</v>
      </c>
      <c r="G28" s="45">
        <f t="shared" si="9"/>
        <v>-1959.399861781282</v>
      </c>
      <c r="H28" s="45">
        <f t="shared" si="9"/>
        <v>-9107.4381916678558</v>
      </c>
      <c r="I28" s="45">
        <f t="shared" si="9"/>
        <v>-10385.83338852443</v>
      </c>
      <c r="J28" s="45">
        <f t="shared" si="9"/>
        <v>-9468.3559869211713</v>
      </c>
      <c r="K28" s="45">
        <f t="shared" si="9"/>
        <v>-7581.3671912503905</v>
      </c>
      <c r="L28" s="45">
        <f t="shared" si="9"/>
        <v>4015.0033142028356</v>
      </c>
      <c r="M28" s="45">
        <f t="shared" si="9"/>
        <v>2288.1904321360798</v>
      </c>
      <c r="N28" s="45">
        <f t="shared" si="9"/>
        <v>-2522.3926286959031</v>
      </c>
      <c r="O28" s="45">
        <f t="shared" si="9"/>
        <v>-5523.8271803829257</v>
      </c>
      <c r="P28" s="45">
        <f t="shared" si="9"/>
        <v>-3072.8674744470763</v>
      </c>
      <c r="Q28" s="45">
        <f t="shared" si="9"/>
        <v>-6874.9577950998037</v>
      </c>
      <c r="R28" s="45">
        <f t="shared" si="9"/>
        <v>2589.9597480251405</v>
      </c>
      <c r="S28" s="45">
        <f t="shared" si="9"/>
        <v>52.063909755024042</v>
      </c>
      <c r="T28" s="45">
        <f t="shared" si="9"/>
        <v>-4521.3328966119934</v>
      </c>
      <c r="U28" s="45">
        <f t="shared" si="9"/>
        <v>-4378.6570314400578</v>
      </c>
      <c r="V28" s="45">
        <f t="shared" si="9"/>
        <v>-3739.1051231958722</v>
      </c>
      <c r="W28" s="45">
        <f t="shared" si="9"/>
        <v>-3511.4757002326187</v>
      </c>
      <c r="X28" s="45">
        <f t="shared" si="9"/>
        <v>12192.427917823064</v>
      </c>
      <c r="Y28" s="45">
        <f t="shared" si="9"/>
        <v>5392.6271307797233</v>
      </c>
      <c r="Z28" s="43">
        <f>SUM(B28:Y28)</f>
        <v>-72075.372720934887</v>
      </c>
    </row>
    <row r="29" spans="1:26" x14ac:dyDescent="0.25">
      <c r="A29" s="41" t="s">
        <v>349</v>
      </c>
      <c r="B29" s="46">
        <f t="shared" ref="B29:Y29" si="10">IFERROR(B28/B11,0)</f>
        <v>-0.12984906248385242</v>
      </c>
      <c r="C29" s="46">
        <f t="shared" si="10"/>
        <v>-0.23356329303432161</v>
      </c>
      <c r="D29" s="46">
        <f t="shared" si="10"/>
        <v>-5.9443782696394137E-2</v>
      </c>
      <c r="E29" s="46">
        <f t="shared" si="10"/>
        <v>-0.1539996754420129</v>
      </c>
      <c r="F29" s="46">
        <f t="shared" si="10"/>
        <v>2.368905669761575E-2</v>
      </c>
      <c r="G29" s="46">
        <f t="shared" si="10"/>
        <v>-4.0188168215641973E-2</v>
      </c>
      <c r="H29" s="46">
        <f t="shared" si="10"/>
        <v>-0.23553248396242046</v>
      </c>
      <c r="I29" s="46">
        <f t="shared" si="10"/>
        <v>-0.20966635520756371</v>
      </c>
      <c r="J29" s="46">
        <f t="shared" si="10"/>
        <v>-0.21287647371555915</v>
      </c>
      <c r="K29" s="46">
        <f t="shared" si="10"/>
        <v>-0.14151322389720583</v>
      </c>
      <c r="L29" s="46">
        <f t="shared" si="10"/>
        <v>5.5551366074107746E-2</v>
      </c>
      <c r="M29" s="46">
        <f t="shared" si="10"/>
        <v>3.4921047033515916E-2</v>
      </c>
      <c r="N29" s="46">
        <f t="shared" si="10"/>
        <v>-4.7101313658728168E-2</v>
      </c>
      <c r="O29" s="46">
        <f t="shared" si="10"/>
        <v>-0.13347423425419724</v>
      </c>
      <c r="P29" s="46">
        <f t="shared" si="10"/>
        <v>-5.6822035149579439E-2</v>
      </c>
      <c r="Q29" s="46">
        <f t="shared" si="10"/>
        <v>-0.14062801677277695</v>
      </c>
      <c r="R29" s="46">
        <f t="shared" si="10"/>
        <v>3.6355001410359328E-2</v>
      </c>
      <c r="S29" s="46">
        <f t="shared" si="10"/>
        <v>9.514742495325963E-4</v>
      </c>
      <c r="T29" s="46">
        <f t="shared" si="10"/>
        <v>-0.10750892266946788</v>
      </c>
      <c r="U29" s="46">
        <f t="shared" si="10"/>
        <v>-9.2977613157778069E-2</v>
      </c>
      <c r="V29" s="46">
        <f t="shared" si="10"/>
        <v>-7.4994652307487308E-2</v>
      </c>
      <c r="W29" s="46">
        <f t="shared" si="10"/>
        <v>-6.1514108931486823E-2</v>
      </c>
      <c r="X29" s="46">
        <f t="shared" si="10"/>
        <v>0.15269849190261839</v>
      </c>
      <c r="Y29" s="46">
        <f t="shared" si="10"/>
        <v>9.6372858303869172E-2</v>
      </c>
      <c r="Z29" s="47">
        <f>IFERROR($Z$28/$Z$11,0)</f>
        <v>-5.5436953477483744E-2</v>
      </c>
    </row>
    <row r="32" spans="1:26" ht="21.75" customHeight="1" x14ac:dyDescent="0.25">
      <c r="A32" s="4" t="s">
        <v>361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38" t="s">
        <v>329</v>
      </c>
      <c r="B33" s="39" t="s">
        <v>135</v>
      </c>
      <c r="C33" s="39" t="s">
        <v>144</v>
      </c>
      <c r="D33" s="39" t="s">
        <v>145</v>
      </c>
      <c r="E33" s="39" t="s">
        <v>146</v>
      </c>
      <c r="F33" s="39" t="s">
        <v>147</v>
      </c>
      <c r="G33" s="39" t="s">
        <v>148</v>
      </c>
      <c r="H33" s="39" t="s">
        <v>149</v>
      </c>
      <c r="I33" s="39" t="s">
        <v>150</v>
      </c>
      <c r="J33" s="39" t="s">
        <v>151</v>
      </c>
      <c r="K33" s="39" t="s">
        <v>152</v>
      </c>
      <c r="L33" s="39" t="s">
        <v>153</v>
      </c>
      <c r="M33" s="39" t="s">
        <v>154</v>
      </c>
      <c r="N33" s="39" t="s">
        <v>155</v>
      </c>
      <c r="O33" s="39" t="s">
        <v>156</v>
      </c>
      <c r="P33" s="39" t="s">
        <v>157</v>
      </c>
      <c r="Q33" s="39" t="s">
        <v>158</v>
      </c>
      <c r="R33" s="39" t="s">
        <v>159</v>
      </c>
      <c r="S33" s="39" t="s">
        <v>160</v>
      </c>
      <c r="T33" s="39" t="s">
        <v>161</v>
      </c>
      <c r="U33" s="39" t="s">
        <v>162</v>
      </c>
      <c r="V33" s="39" t="s">
        <v>163</v>
      </c>
      <c r="W33" s="39" t="s">
        <v>164</v>
      </c>
      <c r="X33" s="39" t="s">
        <v>165</v>
      </c>
      <c r="Y33" s="39" t="s">
        <v>166</v>
      </c>
      <c r="Z33" s="40" t="s">
        <v>330</v>
      </c>
    </row>
    <row r="34" spans="1:26" x14ac:dyDescent="0.25">
      <c r="A34" s="41" t="s">
        <v>331</v>
      </c>
      <c r="B34" s="42">
        <f>SUMIFS('03_Base_Vendas'!$F$4:$F$387, '03_Base_Vendas'!$A$4:$A$387, B$33, '03_Base_Vendas'!$C$4:$C$387, "maquiagem")</f>
        <v>28984.820000000003</v>
      </c>
      <c r="C34" s="42">
        <f>SUMIFS('03_Base_Vendas'!$F$4:$F$387, '03_Base_Vendas'!$A$4:$A$387, C$33, '03_Base_Vendas'!$C$4:$C$387, "maquiagem")</f>
        <v>22200.9</v>
      </c>
      <c r="D34" s="42">
        <f>SUMIFS('03_Base_Vendas'!$F$4:$F$387, '03_Base_Vendas'!$A$4:$A$387, D$33, '03_Base_Vendas'!$C$4:$C$387, "maquiagem")</f>
        <v>25716.720000000001</v>
      </c>
      <c r="E34" s="42">
        <f>SUMIFS('03_Base_Vendas'!$F$4:$F$387, '03_Base_Vendas'!$A$4:$A$387, E$33, '03_Base_Vendas'!$C$4:$C$387, "maquiagem")</f>
        <v>22153.19</v>
      </c>
      <c r="F34" s="42">
        <f>SUMIFS('03_Base_Vendas'!$F$4:$F$387, '03_Base_Vendas'!$A$4:$A$387, F$33, '03_Base_Vendas'!$C$4:$C$387, "maquiagem")</f>
        <v>35175.14</v>
      </c>
      <c r="G34" s="42">
        <f>SUMIFS('03_Base_Vendas'!$F$4:$F$387, '03_Base_Vendas'!$A$4:$A$387, G$33, '03_Base_Vendas'!$C$4:$C$387, "maquiagem")</f>
        <v>29046.61</v>
      </c>
      <c r="H34" s="42">
        <f>SUMIFS('03_Base_Vendas'!$F$4:$F$387, '03_Base_Vendas'!$A$4:$A$387, H$33, '03_Base_Vendas'!$C$4:$C$387, "maquiagem")</f>
        <v>23186.640000000003</v>
      </c>
      <c r="I34" s="42">
        <f>SUMIFS('03_Base_Vendas'!$F$4:$F$387, '03_Base_Vendas'!$A$4:$A$387, I$33, '03_Base_Vendas'!$C$4:$C$387, "maquiagem")</f>
        <v>23502.76</v>
      </c>
      <c r="J34" s="42">
        <f>SUMIFS('03_Base_Vendas'!$F$4:$F$387, '03_Base_Vendas'!$A$4:$A$387, J$33, '03_Base_Vendas'!$C$4:$C$387, "maquiagem")</f>
        <v>24411.879999999997</v>
      </c>
      <c r="K34" s="42">
        <f>SUMIFS('03_Base_Vendas'!$F$4:$F$387, '03_Base_Vendas'!$A$4:$A$387, K$33, '03_Base_Vendas'!$C$4:$C$387, "maquiagem")</f>
        <v>26863.18</v>
      </c>
      <c r="L34" s="42">
        <f>SUMIFS('03_Base_Vendas'!$F$4:$F$387, '03_Base_Vendas'!$A$4:$A$387, L$33, '03_Base_Vendas'!$C$4:$C$387, "maquiagem")</f>
        <v>38815.33</v>
      </c>
      <c r="M34" s="42">
        <f>SUMIFS('03_Base_Vendas'!$F$4:$F$387, '03_Base_Vendas'!$A$4:$A$387, M$33, '03_Base_Vendas'!$C$4:$C$387, "maquiagem")</f>
        <v>35902.199999999997</v>
      </c>
      <c r="N34" s="42">
        <f>SUMIFS('03_Base_Vendas'!$F$4:$F$387, '03_Base_Vendas'!$A$4:$A$387, N$33, '03_Base_Vendas'!$C$4:$C$387, "maquiagem")</f>
        <v>30959.29</v>
      </c>
      <c r="O34" s="42">
        <f>SUMIFS('03_Base_Vendas'!$F$4:$F$387, '03_Base_Vendas'!$A$4:$A$387, O$33, '03_Base_Vendas'!$C$4:$C$387, "maquiagem")</f>
        <v>23514.01</v>
      </c>
      <c r="P34" s="42">
        <f>SUMIFS('03_Base_Vendas'!$F$4:$F$387, '03_Base_Vendas'!$A$4:$A$387, P$33, '03_Base_Vendas'!$C$4:$C$387, "maquiagem")</f>
        <v>30835.43</v>
      </c>
      <c r="Q34" s="42">
        <f>SUMIFS('03_Base_Vendas'!$F$4:$F$387, '03_Base_Vendas'!$A$4:$A$387, Q$33, '03_Base_Vendas'!$C$4:$C$387, "maquiagem")</f>
        <v>25412.639999999999</v>
      </c>
      <c r="R34" s="42">
        <f>SUMIFS('03_Base_Vendas'!$F$4:$F$387, '03_Base_Vendas'!$A$4:$A$387, R$33, '03_Base_Vendas'!$C$4:$C$387, "maquiagem")</f>
        <v>29521.93</v>
      </c>
      <c r="S34" s="42">
        <f>SUMIFS('03_Base_Vendas'!$F$4:$F$387, '03_Base_Vendas'!$A$4:$A$387, S$33, '03_Base_Vendas'!$C$4:$C$387, "maquiagem")</f>
        <v>34161.699999999997</v>
      </c>
      <c r="T34" s="42">
        <f>SUMIFS('03_Base_Vendas'!$F$4:$F$387, '03_Base_Vendas'!$A$4:$A$387, T$33, '03_Base_Vendas'!$C$4:$C$387, "maquiagem")</f>
        <v>28196.010000000002</v>
      </c>
      <c r="U34" s="42">
        <f>SUMIFS('03_Base_Vendas'!$F$4:$F$387, '03_Base_Vendas'!$A$4:$A$387, U$33, '03_Base_Vendas'!$C$4:$C$387, "maquiagem")</f>
        <v>24849.67</v>
      </c>
      <c r="V34" s="42">
        <f>SUMIFS('03_Base_Vendas'!$F$4:$F$387, '03_Base_Vendas'!$A$4:$A$387, V$33, '03_Base_Vendas'!$C$4:$C$387, "maquiagem")</f>
        <v>27555.4</v>
      </c>
      <c r="W34" s="42">
        <f>SUMIFS('03_Base_Vendas'!$F$4:$F$387, '03_Base_Vendas'!$A$4:$A$387, W$33, '03_Base_Vendas'!$C$4:$C$387, "maquiagem")</f>
        <v>32053.81</v>
      </c>
      <c r="X34" s="42">
        <f>SUMIFS('03_Base_Vendas'!$F$4:$F$387, '03_Base_Vendas'!$A$4:$A$387, X$33, '03_Base_Vendas'!$C$4:$C$387, "maquiagem")</f>
        <v>38913.21</v>
      </c>
      <c r="Y34" s="42">
        <f>SUMIFS('03_Base_Vendas'!$F$4:$F$387, '03_Base_Vendas'!$A$4:$A$387, Y$33, '03_Base_Vendas'!$C$4:$C$387, "maquiagem")</f>
        <v>35071.83</v>
      </c>
      <c r="Z34" s="43">
        <f t="shared" ref="Z34:Z39" si="11">SUM(B34:Y34)</f>
        <v>697004.3</v>
      </c>
    </row>
    <row r="35" spans="1:26" x14ac:dyDescent="0.25">
      <c r="A35" s="41" t="s">
        <v>332</v>
      </c>
      <c r="B35" s="42">
        <f>SUMIFS('03_Base_Vendas'!$G$4:$G$387, '03_Base_Vendas'!$A$4:$A$387, B$33, '03_Base_Vendas'!$C$4:$C$387, "maquiagem")</f>
        <v>656.86999999999989</v>
      </c>
      <c r="C35" s="42">
        <f>SUMIFS('03_Base_Vendas'!$G$4:$G$387, '03_Base_Vendas'!$A$4:$A$387, C$33, '03_Base_Vendas'!$C$4:$C$387, "maquiagem")</f>
        <v>651.11</v>
      </c>
      <c r="D35" s="42">
        <f>SUMIFS('03_Base_Vendas'!$G$4:$G$387, '03_Base_Vendas'!$A$4:$A$387, D$33, '03_Base_Vendas'!$C$4:$C$387, "maquiagem")</f>
        <v>1784.92</v>
      </c>
      <c r="E35" s="42">
        <f>SUMIFS('03_Base_Vendas'!$G$4:$G$387, '03_Base_Vendas'!$A$4:$A$387, E$33, '03_Base_Vendas'!$C$4:$C$387, "maquiagem")</f>
        <v>664.51</v>
      </c>
      <c r="F35" s="42">
        <f>SUMIFS('03_Base_Vendas'!$G$4:$G$387, '03_Base_Vendas'!$A$4:$A$387, F$33, '03_Base_Vendas'!$C$4:$C$387, "maquiagem")</f>
        <v>898.87</v>
      </c>
      <c r="G35" s="42">
        <f>SUMIFS('03_Base_Vendas'!$G$4:$G$387, '03_Base_Vendas'!$A$4:$A$387, G$33, '03_Base_Vendas'!$C$4:$C$387, "maquiagem")</f>
        <v>1116.4000000000001</v>
      </c>
      <c r="H35" s="42">
        <f>SUMIFS('03_Base_Vendas'!$G$4:$G$387, '03_Base_Vendas'!$A$4:$A$387, H$33, '03_Base_Vendas'!$C$4:$C$387, "maquiagem")</f>
        <v>1094.95</v>
      </c>
      <c r="I35" s="42">
        <f>SUMIFS('03_Base_Vendas'!$G$4:$G$387, '03_Base_Vendas'!$A$4:$A$387, I$33, '03_Base_Vendas'!$C$4:$C$387, "maquiagem")</f>
        <v>954.88</v>
      </c>
      <c r="J35" s="42">
        <f>SUMIFS('03_Base_Vendas'!$G$4:$G$387, '03_Base_Vendas'!$A$4:$A$387, J$33, '03_Base_Vendas'!$C$4:$C$387, "maquiagem")</f>
        <v>507.72</v>
      </c>
      <c r="K35" s="42">
        <f>SUMIFS('03_Base_Vendas'!$G$4:$G$387, '03_Base_Vendas'!$A$4:$A$387, K$33, '03_Base_Vendas'!$C$4:$C$387, "maquiagem")</f>
        <v>2321.9900000000002</v>
      </c>
      <c r="L35" s="42">
        <f>SUMIFS('03_Base_Vendas'!$G$4:$G$387, '03_Base_Vendas'!$A$4:$A$387, L$33, '03_Base_Vendas'!$C$4:$C$387, "maquiagem")</f>
        <v>967.48</v>
      </c>
      <c r="M35" s="42">
        <f>SUMIFS('03_Base_Vendas'!$G$4:$G$387, '03_Base_Vendas'!$A$4:$A$387, M$33, '03_Base_Vendas'!$C$4:$C$387, "maquiagem")</f>
        <v>1365.81</v>
      </c>
      <c r="N35" s="42">
        <f>SUMIFS('03_Base_Vendas'!$G$4:$G$387, '03_Base_Vendas'!$A$4:$A$387, N$33, '03_Base_Vendas'!$C$4:$C$387, "maquiagem")</f>
        <v>593.39</v>
      </c>
      <c r="O35" s="42">
        <f>SUMIFS('03_Base_Vendas'!$G$4:$G$387, '03_Base_Vendas'!$A$4:$A$387, O$33, '03_Base_Vendas'!$C$4:$C$387, "maquiagem")</f>
        <v>1404.8799999999999</v>
      </c>
      <c r="P35" s="42">
        <f>SUMIFS('03_Base_Vendas'!$G$4:$G$387, '03_Base_Vendas'!$A$4:$A$387, P$33, '03_Base_Vendas'!$C$4:$C$387, "maquiagem")</f>
        <v>1175.47</v>
      </c>
      <c r="Q35" s="42">
        <f>SUMIFS('03_Base_Vendas'!$G$4:$G$387, '03_Base_Vendas'!$A$4:$A$387, Q$33, '03_Base_Vendas'!$C$4:$C$387, "maquiagem")</f>
        <v>896.96</v>
      </c>
      <c r="R35" s="42">
        <f>SUMIFS('03_Base_Vendas'!$G$4:$G$387, '03_Base_Vendas'!$A$4:$A$387, R$33, '03_Base_Vendas'!$C$4:$C$387, "maquiagem")</f>
        <v>925.02</v>
      </c>
      <c r="S35" s="42">
        <f>SUMIFS('03_Base_Vendas'!$G$4:$G$387, '03_Base_Vendas'!$A$4:$A$387, S$33, '03_Base_Vendas'!$C$4:$C$387, "maquiagem")</f>
        <v>2660.91</v>
      </c>
      <c r="T35" s="42">
        <f>SUMIFS('03_Base_Vendas'!$G$4:$G$387, '03_Base_Vendas'!$A$4:$A$387, T$33, '03_Base_Vendas'!$C$4:$C$387, "maquiagem")</f>
        <v>1443.42</v>
      </c>
      <c r="U35" s="42">
        <f>SUMIFS('03_Base_Vendas'!$G$4:$G$387, '03_Base_Vendas'!$A$4:$A$387, U$33, '03_Base_Vendas'!$C$4:$C$387, "maquiagem")</f>
        <v>328.3</v>
      </c>
      <c r="V35" s="42">
        <f>SUMIFS('03_Base_Vendas'!$G$4:$G$387, '03_Base_Vendas'!$A$4:$A$387, V$33, '03_Base_Vendas'!$C$4:$C$387, "maquiagem")</f>
        <v>1232.5899999999999</v>
      </c>
      <c r="W35" s="42">
        <f>SUMIFS('03_Base_Vendas'!$G$4:$G$387, '03_Base_Vendas'!$A$4:$A$387, W$33, '03_Base_Vendas'!$C$4:$C$387, "maquiagem")</f>
        <v>368.71000000000004</v>
      </c>
      <c r="X35" s="42">
        <f>SUMIFS('03_Base_Vendas'!$G$4:$G$387, '03_Base_Vendas'!$A$4:$A$387, X$33, '03_Base_Vendas'!$C$4:$C$387, "maquiagem")</f>
        <v>2101.86</v>
      </c>
      <c r="Y35" s="42">
        <f>SUMIFS('03_Base_Vendas'!$G$4:$G$387, '03_Base_Vendas'!$A$4:$A$387, Y$33, '03_Base_Vendas'!$C$4:$C$387, "maquiagem")</f>
        <v>1483.6399999999999</v>
      </c>
      <c r="Z35" s="43">
        <f t="shared" si="11"/>
        <v>27600.659999999996</v>
      </c>
    </row>
    <row r="36" spans="1:26" x14ac:dyDescent="0.25">
      <c r="A36" s="41" t="s">
        <v>333</v>
      </c>
      <c r="B36" s="42">
        <f>SUMIFS('03_Base_Vendas'!$H$4:$H$387, '03_Base_Vendas'!$A$4:$A$387, B$33, '03_Base_Vendas'!$C$4:$C$387, "maquiagem")</f>
        <v>2610.67</v>
      </c>
      <c r="C36" s="42">
        <f>SUMIFS('03_Base_Vendas'!$H$4:$H$387, '03_Base_Vendas'!$A$4:$A$387, C$33, '03_Base_Vendas'!$C$4:$C$387, "maquiagem")</f>
        <v>1930.8500000000001</v>
      </c>
      <c r="D36" s="42">
        <f>SUMIFS('03_Base_Vendas'!$H$4:$H$387, '03_Base_Vendas'!$A$4:$A$387, D$33, '03_Base_Vendas'!$C$4:$C$387, "maquiagem")</f>
        <v>2175.54</v>
      </c>
      <c r="E36" s="42">
        <f>SUMIFS('03_Base_Vendas'!$H$4:$H$387, '03_Base_Vendas'!$A$4:$A$387, E$33, '03_Base_Vendas'!$C$4:$C$387, "maquiagem")</f>
        <v>2024.7599999999998</v>
      </c>
      <c r="F36" s="42">
        <f>SUMIFS('03_Base_Vendas'!$H$4:$H$387, '03_Base_Vendas'!$A$4:$A$387, F$33, '03_Base_Vendas'!$C$4:$C$387, "maquiagem")</f>
        <v>2758.2300000000005</v>
      </c>
      <c r="G36" s="42">
        <f>SUMIFS('03_Base_Vendas'!$H$4:$H$387, '03_Base_Vendas'!$A$4:$A$387, G$33, '03_Base_Vendas'!$C$4:$C$387, "maquiagem")</f>
        <v>2404.17</v>
      </c>
      <c r="H36" s="42">
        <f>SUMIFS('03_Base_Vendas'!$H$4:$H$387, '03_Base_Vendas'!$A$4:$A$387, H$33, '03_Base_Vendas'!$C$4:$C$387, "maquiagem")</f>
        <v>2132.46</v>
      </c>
      <c r="I36" s="42">
        <f>SUMIFS('03_Base_Vendas'!$H$4:$H$387, '03_Base_Vendas'!$A$4:$A$387, I$33, '03_Base_Vendas'!$C$4:$C$387, "maquiagem")</f>
        <v>2103.34</v>
      </c>
      <c r="J36" s="42">
        <f>SUMIFS('03_Base_Vendas'!$H$4:$H$387, '03_Base_Vendas'!$A$4:$A$387, J$33, '03_Base_Vendas'!$C$4:$C$387, "maquiagem")</f>
        <v>1780.28</v>
      </c>
      <c r="K36" s="42">
        <f>SUMIFS('03_Base_Vendas'!$H$4:$H$387, '03_Base_Vendas'!$A$4:$A$387, K$33, '03_Base_Vendas'!$C$4:$C$387, "maquiagem")</f>
        <v>2222.3100000000004</v>
      </c>
      <c r="L36" s="42">
        <f>SUMIFS('03_Base_Vendas'!$H$4:$H$387, '03_Base_Vendas'!$A$4:$A$387, L$33, '03_Base_Vendas'!$C$4:$C$387, "maquiagem")</f>
        <v>3105.38</v>
      </c>
      <c r="M36" s="42">
        <f>SUMIFS('03_Base_Vendas'!$H$4:$H$387, '03_Base_Vendas'!$A$4:$A$387, M$33, '03_Base_Vendas'!$C$4:$C$387, "maquiagem")</f>
        <v>3173.8</v>
      </c>
      <c r="N36" s="42">
        <f>SUMIFS('03_Base_Vendas'!$H$4:$H$387, '03_Base_Vendas'!$A$4:$A$387, N$33, '03_Base_Vendas'!$C$4:$C$387, "maquiagem")</f>
        <v>2730.92</v>
      </c>
      <c r="O36" s="42">
        <f>SUMIFS('03_Base_Vendas'!$H$4:$H$387, '03_Base_Vendas'!$A$4:$A$387, O$33, '03_Base_Vendas'!$C$4:$C$387, "maquiagem")</f>
        <v>1891.46</v>
      </c>
      <c r="P36" s="42">
        <f>SUMIFS('03_Base_Vendas'!$H$4:$H$387, '03_Base_Vendas'!$A$4:$A$387, P$33, '03_Base_Vendas'!$C$4:$C$387, "maquiagem")</f>
        <v>2561.19</v>
      </c>
      <c r="Q36" s="42">
        <f>SUMIFS('03_Base_Vendas'!$H$4:$H$387, '03_Base_Vendas'!$A$4:$A$387, Q$33, '03_Base_Vendas'!$C$4:$C$387, "maquiagem")</f>
        <v>2088.7600000000002</v>
      </c>
      <c r="R36" s="42">
        <f>SUMIFS('03_Base_Vendas'!$H$4:$H$387, '03_Base_Vendas'!$A$4:$A$387, R$33, '03_Base_Vendas'!$C$4:$C$387, "maquiagem")</f>
        <v>2605.09</v>
      </c>
      <c r="S36" s="42">
        <f>SUMIFS('03_Base_Vendas'!$H$4:$H$387, '03_Base_Vendas'!$A$4:$A$387, S$33, '03_Base_Vendas'!$C$4:$C$387, "maquiagem")</f>
        <v>2740.9399999999996</v>
      </c>
      <c r="T36" s="42">
        <f>SUMIFS('03_Base_Vendas'!$H$4:$H$387, '03_Base_Vendas'!$A$4:$A$387, T$33, '03_Base_Vendas'!$C$4:$C$387, "maquiagem")</f>
        <v>2631.52</v>
      </c>
      <c r="U36" s="42">
        <f>SUMIFS('03_Base_Vendas'!$H$4:$H$387, '03_Base_Vendas'!$A$4:$A$387, U$33, '03_Base_Vendas'!$C$4:$C$387, "maquiagem")</f>
        <v>2141.6999999999998</v>
      </c>
      <c r="V36" s="42">
        <f>SUMIFS('03_Base_Vendas'!$H$4:$H$387, '03_Base_Vendas'!$A$4:$A$387, V$33, '03_Base_Vendas'!$C$4:$C$387, "maquiagem")</f>
        <v>2394.16</v>
      </c>
      <c r="W36" s="42">
        <f>SUMIFS('03_Base_Vendas'!$H$4:$H$387, '03_Base_Vendas'!$A$4:$A$387, W$33, '03_Base_Vendas'!$C$4:$C$387, "maquiagem")</f>
        <v>2692.15</v>
      </c>
      <c r="X36" s="42">
        <f>SUMIFS('03_Base_Vendas'!$H$4:$H$387, '03_Base_Vendas'!$A$4:$A$387, X$33, '03_Base_Vendas'!$C$4:$C$387, "maquiagem")</f>
        <v>3565.3199999999997</v>
      </c>
      <c r="Y36" s="42">
        <f>SUMIFS('03_Base_Vendas'!$H$4:$H$387, '03_Base_Vendas'!$A$4:$A$387, Y$33, '03_Base_Vendas'!$C$4:$C$387, "maquiagem")</f>
        <v>3088.48</v>
      </c>
      <c r="Z36" s="43">
        <f t="shared" si="11"/>
        <v>59553.48</v>
      </c>
    </row>
    <row r="37" spans="1:26" x14ac:dyDescent="0.25">
      <c r="A37" s="44" t="s">
        <v>334</v>
      </c>
      <c r="B37" s="45">
        <f t="shared" ref="B37:Y37" si="12">B34-B35-B36</f>
        <v>25717.280000000006</v>
      </c>
      <c r="C37" s="45">
        <f t="shared" si="12"/>
        <v>19618.940000000002</v>
      </c>
      <c r="D37" s="45">
        <f t="shared" si="12"/>
        <v>21756.260000000002</v>
      </c>
      <c r="E37" s="45">
        <f t="shared" si="12"/>
        <v>19463.920000000002</v>
      </c>
      <c r="F37" s="45">
        <f t="shared" si="12"/>
        <v>31518.039999999997</v>
      </c>
      <c r="G37" s="45">
        <f t="shared" si="12"/>
        <v>25526.04</v>
      </c>
      <c r="H37" s="45">
        <f t="shared" si="12"/>
        <v>19959.230000000003</v>
      </c>
      <c r="I37" s="45">
        <f t="shared" si="12"/>
        <v>20444.539999999997</v>
      </c>
      <c r="J37" s="45">
        <f t="shared" si="12"/>
        <v>22123.879999999997</v>
      </c>
      <c r="K37" s="45">
        <f t="shared" si="12"/>
        <v>22318.879999999997</v>
      </c>
      <c r="L37" s="45">
        <f t="shared" si="12"/>
        <v>34742.47</v>
      </c>
      <c r="M37" s="45">
        <f t="shared" si="12"/>
        <v>31362.59</v>
      </c>
      <c r="N37" s="45">
        <f t="shared" si="12"/>
        <v>27634.980000000003</v>
      </c>
      <c r="O37" s="45">
        <f t="shared" si="12"/>
        <v>20217.669999999998</v>
      </c>
      <c r="P37" s="45">
        <f t="shared" si="12"/>
        <v>27098.77</v>
      </c>
      <c r="Q37" s="45">
        <f t="shared" si="12"/>
        <v>22426.92</v>
      </c>
      <c r="R37" s="45">
        <f t="shared" si="12"/>
        <v>25991.82</v>
      </c>
      <c r="S37" s="45">
        <f t="shared" si="12"/>
        <v>28759.85</v>
      </c>
      <c r="T37" s="45">
        <f t="shared" si="12"/>
        <v>24121.070000000003</v>
      </c>
      <c r="U37" s="45">
        <f t="shared" si="12"/>
        <v>22379.67</v>
      </c>
      <c r="V37" s="45">
        <f t="shared" si="12"/>
        <v>23928.65</v>
      </c>
      <c r="W37" s="45">
        <f t="shared" si="12"/>
        <v>28992.95</v>
      </c>
      <c r="X37" s="45">
        <f t="shared" si="12"/>
        <v>33246.03</v>
      </c>
      <c r="Y37" s="45">
        <f t="shared" si="12"/>
        <v>30499.710000000003</v>
      </c>
      <c r="Z37" s="43">
        <f t="shared" si="11"/>
        <v>609850.16</v>
      </c>
    </row>
    <row r="38" spans="1:26" x14ac:dyDescent="0.25">
      <c r="A38" s="41" t="s">
        <v>335</v>
      </c>
      <c r="B38" s="42">
        <f>SUMIFS('03_Base_Vendas'!$J$4:$J$387, '03_Base_Vendas'!$A$4:$A$387, B$33, '03_Base_Vendas'!$C$4:$C$387, "maquiagem")</f>
        <v>13880.34</v>
      </c>
      <c r="C38" s="42">
        <f>SUMIFS('03_Base_Vendas'!$J$4:$J$387, '03_Base_Vendas'!$A$4:$A$387, C$33, '03_Base_Vendas'!$C$4:$C$387, "maquiagem")</f>
        <v>10651.3</v>
      </c>
      <c r="D38" s="42">
        <f>SUMIFS('03_Base_Vendas'!$J$4:$J$387, '03_Base_Vendas'!$A$4:$A$387, D$33, '03_Base_Vendas'!$C$4:$C$387, "maquiagem")</f>
        <v>12545.03</v>
      </c>
      <c r="E38" s="42">
        <f>SUMIFS('03_Base_Vendas'!$J$4:$J$387, '03_Base_Vendas'!$A$4:$A$387, E$33, '03_Base_Vendas'!$C$4:$C$387, "maquiagem")</f>
        <v>10558.1</v>
      </c>
      <c r="F38" s="42">
        <f>SUMIFS('03_Base_Vendas'!$J$4:$J$387, '03_Base_Vendas'!$A$4:$A$387, F$33, '03_Base_Vendas'!$C$4:$C$387, "maquiagem")</f>
        <v>16960.600000000002</v>
      </c>
      <c r="G38" s="42">
        <f>SUMIFS('03_Base_Vendas'!$J$4:$J$387, '03_Base_Vendas'!$A$4:$A$387, G$33, '03_Base_Vendas'!$C$4:$C$387, "maquiagem")</f>
        <v>13940.43</v>
      </c>
      <c r="H38" s="42">
        <f>SUMIFS('03_Base_Vendas'!$J$4:$J$387, '03_Base_Vendas'!$A$4:$A$387, H$33, '03_Base_Vendas'!$C$4:$C$387, "maquiagem")</f>
        <v>11199.29</v>
      </c>
      <c r="I38" s="42">
        <f>SUMIFS('03_Base_Vendas'!$J$4:$J$387, '03_Base_Vendas'!$A$4:$A$387, I$33, '03_Base_Vendas'!$C$4:$C$387, "maquiagem")</f>
        <v>11311.119999999999</v>
      </c>
      <c r="J38" s="42">
        <f>SUMIFS('03_Base_Vendas'!$J$4:$J$387, '03_Base_Vendas'!$A$4:$A$387, J$33, '03_Base_Vendas'!$C$4:$C$387, "maquiagem")</f>
        <v>11771.82</v>
      </c>
      <c r="K38" s="42">
        <f>SUMIFS('03_Base_Vendas'!$J$4:$J$387, '03_Base_Vendas'!$A$4:$A$387, K$33, '03_Base_Vendas'!$C$4:$C$387, "maquiagem")</f>
        <v>13009.689999999999</v>
      </c>
      <c r="L38" s="42">
        <f>SUMIFS('03_Base_Vendas'!$J$4:$J$387, '03_Base_Vendas'!$A$4:$A$387, L$33, '03_Base_Vendas'!$C$4:$C$387, "maquiagem")</f>
        <v>18710.36</v>
      </c>
      <c r="M38" s="42">
        <f>SUMIFS('03_Base_Vendas'!$J$4:$J$387, '03_Base_Vendas'!$A$4:$A$387, M$33, '03_Base_Vendas'!$C$4:$C$387, "maquiagem")</f>
        <v>17281.87</v>
      </c>
      <c r="N38" s="42">
        <f>SUMIFS('03_Base_Vendas'!$J$4:$J$387, '03_Base_Vendas'!$A$4:$A$387, N$33, '03_Base_Vendas'!$C$4:$C$387, "maquiagem")</f>
        <v>15056.439999999999</v>
      </c>
      <c r="O38" s="42">
        <f>SUMIFS('03_Base_Vendas'!$J$4:$J$387, '03_Base_Vendas'!$A$4:$A$387, O$33, '03_Base_Vendas'!$C$4:$C$387, "maquiagem")</f>
        <v>11107.400000000001</v>
      </c>
      <c r="P38" s="42">
        <f>SUMIFS('03_Base_Vendas'!$J$4:$J$387, '03_Base_Vendas'!$A$4:$A$387, P$33, '03_Base_Vendas'!$C$4:$C$387, "maquiagem")</f>
        <v>14862.119999999999</v>
      </c>
      <c r="Q38" s="42">
        <f>SUMIFS('03_Base_Vendas'!$J$4:$J$387, '03_Base_Vendas'!$A$4:$A$387, Q$33, '03_Base_Vendas'!$C$4:$C$387, "maquiagem")</f>
        <v>12195.850000000002</v>
      </c>
      <c r="R38" s="42">
        <f>SUMIFS('03_Base_Vendas'!$J$4:$J$387, '03_Base_Vendas'!$A$4:$A$387, R$33, '03_Base_Vendas'!$C$4:$C$387, "maquiagem")</f>
        <v>14366.210000000001</v>
      </c>
      <c r="S38" s="42">
        <f>SUMIFS('03_Base_Vendas'!$J$4:$J$387, '03_Base_Vendas'!$A$4:$A$387, S$33, '03_Base_Vendas'!$C$4:$C$387, "maquiagem")</f>
        <v>16547.329999999998</v>
      </c>
      <c r="T38" s="42">
        <f>SUMIFS('03_Base_Vendas'!$J$4:$J$387, '03_Base_Vendas'!$A$4:$A$387, T$33, '03_Base_Vendas'!$C$4:$C$387, "maquiagem")</f>
        <v>13488.650000000001</v>
      </c>
      <c r="U38" s="42">
        <f>SUMIFS('03_Base_Vendas'!$J$4:$J$387, '03_Base_Vendas'!$A$4:$A$387, U$33, '03_Base_Vendas'!$C$4:$C$387, "maquiagem")</f>
        <v>12061.19</v>
      </c>
      <c r="V38" s="42">
        <f>SUMIFS('03_Base_Vendas'!$J$4:$J$387, '03_Base_Vendas'!$A$4:$A$387, V$33, '03_Base_Vendas'!$C$4:$C$387, "maquiagem")</f>
        <v>13266.04</v>
      </c>
      <c r="W38" s="42">
        <f>SUMIFS('03_Base_Vendas'!$J$4:$J$387, '03_Base_Vendas'!$A$4:$A$387, W$33, '03_Base_Vendas'!$C$4:$C$387, "maquiagem")</f>
        <v>15514.89</v>
      </c>
      <c r="X38" s="42">
        <f>SUMIFS('03_Base_Vendas'!$J$4:$J$387, '03_Base_Vendas'!$A$4:$A$387, X$33, '03_Base_Vendas'!$C$4:$C$387, "maquiagem")</f>
        <v>18421.34</v>
      </c>
      <c r="Y38" s="42">
        <f>SUMIFS('03_Base_Vendas'!$J$4:$J$387, '03_Base_Vendas'!$A$4:$A$387, Y$33, '03_Base_Vendas'!$C$4:$C$387, "maquiagem")</f>
        <v>17033.449999999997</v>
      </c>
      <c r="Z38" s="43">
        <f t="shared" si="11"/>
        <v>335740.86</v>
      </c>
    </row>
    <row r="39" spans="1:26" x14ac:dyDescent="0.25">
      <c r="A39" s="44" t="s">
        <v>336</v>
      </c>
      <c r="B39" s="45">
        <f t="shared" ref="B39:Y39" si="13">B37-B38</f>
        <v>11836.940000000006</v>
      </c>
      <c r="C39" s="45">
        <f t="shared" si="13"/>
        <v>8967.6400000000031</v>
      </c>
      <c r="D39" s="45">
        <f t="shared" si="13"/>
        <v>9211.2300000000014</v>
      </c>
      <c r="E39" s="45">
        <f t="shared" si="13"/>
        <v>8905.8200000000015</v>
      </c>
      <c r="F39" s="45">
        <f t="shared" si="13"/>
        <v>14557.439999999995</v>
      </c>
      <c r="G39" s="45">
        <f t="shared" si="13"/>
        <v>11585.61</v>
      </c>
      <c r="H39" s="45">
        <f t="shared" si="13"/>
        <v>8759.9400000000023</v>
      </c>
      <c r="I39" s="45">
        <f t="shared" si="13"/>
        <v>9133.4199999999983</v>
      </c>
      <c r="J39" s="45">
        <f t="shared" si="13"/>
        <v>10352.059999999998</v>
      </c>
      <c r="K39" s="45">
        <f t="shared" si="13"/>
        <v>9309.1899999999987</v>
      </c>
      <c r="L39" s="45">
        <f t="shared" si="13"/>
        <v>16032.11</v>
      </c>
      <c r="M39" s="45">
        <f t="shared" si="13"/>
        <v>14080.720000000001</v>
      </c>
      <c r="N39" s="45">
        <f t="shared" si="13"/>
        <v>12578.540000000005</v>
      </c>
      <c r="O39" s="45">
        <f t="shared" si="13"/>
        <v>9110.2699999999968</v>
      </c>
      <c r="P39" s="45">
        <f t="shared" si="13"/>
        <v>12236.650000000001</v>
      </c>
      <c r="Q39" s="45">
        <f t="shared" si="13"/>
        <v>10231.069999999996</v>
      </c>
      <c r="R39" s="45">
        <f t="shared" si="13"/>
        <v>11625.609999999999</v>
      </c>
      <c r="S39" s="45">
        <f t="shared" si="13"/>
        <v>12212.52</v>
      </c>
      <c r="T39" s="45">
        <f t="shared" si="13"/>
        <v>10632.420000000002</v>
      </c>
      <c r="U39" s="45">
        <f t="shared" si="13"/>
        <v>10318.479999999998</v>
      </c>
      <c r="V39" s="45">
        <f t="shared" si="13"/>
        <v>10662.61</v>
      </c>
      <c r="W39" s="45">
        <f t="shared" si="13"/>
        <v>13478.060000000001</v>
      </c>
      <c r="X39" s="45">
        <f t="shared" si="13"/>
        <v>14824.689999999999</v>
      </c>
      <c r="Y39" s="45">
        <f t="shared" si="13"/>
        <v>13466.260000000006</v>
      </c>
      <c r="Z39" s="43">
        <f t="shared" si="11"/>
        <v>274109.3</v>
      </c>
    </row>
    <row r="40" spans="1:26" x14ac:dyDescent="0.25">
      <c r="A40" s="41" t="s">
        <v>337</v>
      </c>
      <c r="B40" s="46">
        <f t="shared" ref="B40:Y40" si="14">IFERROR(B39/B37,0)</f>
        <v>0.46027184834477064</v>
      </c>
      <c r="C40" s="46">
        <f t="shared" si="14"/>
        <v>0.45709095394552418</v>
      </c>
      <c r="D40" s="46">
        <f t="shared" si="14"/>
        <v>0.42338297115404949</v>
      </c>
      <c r="E40" s="46">
        <f t="shared" si="14"/>
        <v>0.45755531259890098</v>
      </c>
      <c r="F40" s="46">
        <f t="shared" si="14"/>
        <v>0.46187643647891796</v>
      </c>
      <c r="G40" s="46">
        <f t="shared" si="14"/>
        <v>0.4538741614445484</v>
      </c>
      <c r="H40" s="46">
        <f t="shared" si="14"/>
        <v>0.4388916806910888</v>
      </c>
      <c r="I40" s="46">
        <f t="shared" si="14"/>
        <v>0.44674128153531456</v>
      </c>
      <c r="J40" s="46">
        <f t="shared" si="14"/>
        <v>0.46791340397796405</v>
      </c>
      <c r="K40" s="46">
        <f t="shared" si="14"/>
        <v>0.41709933473364252</v>
      </c>
      <c r="L40" s="46">
        <f t="shared" si="14"/>
        <v>0.46145567658258035</v>
      </c>
      <c r="M40" s="46">
        <f t="shared" si="14"/>
        <v>0.44896547128282455</v>
      </c>
      <c r="N40" s="46">
        <f t="shared" si="14"/>
        <v>0.45516732778529251</v>
      </c>
      <c r="O40" s="46">
        <f t="shared" si="14"/>
        <v>0.45060929375145592</v>
      </c>
      <c r="P40" s="46">
        <f t="shared" si="14"/>
        <v>0.45155739540945961</v>
      </c>
      <c r="Q40" s="46">
        <f t="shared" si="14"/>
        <v>0.45619594665696389</v>
      </c>
      <c r="R40" s="46">
        <f t="shared" si="14"/>
        <v>0.4472795671869072</v>
      </c>
      <c r="S40" s="46">
        <f t="shared" si="14"/>
        <v>0.42463781973828102</v>
      </c>
      <c r="T40" s="46">
        <f t="shared" si="14"/>
        <v>0.44079387854684726</v>
      </c>
      <c r="U40" s="46">
        <f t="shared" si="14"/>
        <v>0.46106488612209201</v>
      </c>
      <c r="V40" s="46">
        <f t="shared" si="14"/>
        <v>0.44560014877563087</v>
      </c>
      <c r="W40" s="46">
        <f t="shared" si="14"/>
        <v>0.46487370205515482</v>
      </c>
      <c r="X40" s="46">
        <f t="shared" si="14"/>
        <v>0.44590857915967708</v>
      </c>
      <c r="Y40" s="46">
        <f t="shared" si="14"/>
        <v>0.4415209193792336</v>
      </c>
      <c r="Z40" s="47">
        <f>IFERROR($Z$39/$Z$37,0)</f>
        <v>0.4494699156920775</v>
      </c>
    </row>
    <row r="41" spans="1:26" x14ac:dyDescent="0.25">
      <c r="A41" s="41" t="s">
        <v>338</v>
      </c>
      <c r="B41" s="42">
        <f>(SUMIFS('04_Base_Despesas'!$D$4:$D$219, '04_Base_Despesas'!$A$4:$A$219, B$33, '04_Base_Despesas'!$B$4:$B$219, "pessoal"))*(IFERROR(SUMIFS('03_Base_Vendas'!$I$4:$I$387, '03_Base_Vendas'!$A$4:$A$387, B$33, '03_Base_Vendas'!$C$4:$C$387, "maquiagem")/SUMIFS('03_Base_Vendas'!$I$4:$I$387, '03_Base_Vendas'!$A$4:$A$387, B$33),0))</f>
        <v>8682.9820724259698</v>
      </c>
      <c r="C41" s="42">
        <f>(SUMIFS('04_Base_Despesas'!$D$4:$D$219, '04_Base_Despesas'!$A$4:$A$219, C$33, '04_Base_Despesas'!$B$4:$B$219, "pessoal"))*(IFERROR(SUMIFS('03_Base_Vendas'!$I$4:$I$387, '03_Base_Vendas'!$A$4:$A$387, C$33, '03_Base_Vendas'!$C$4:$C$387, "maquiagem")/SUMIFS('03_Base_Vendas'!$I$4:$I$387, '03_Base_Vendas'!$A$4:$A$387, C$33),0))</f>
        <v>8199.8851976986898</v>
      </c>
      <c r="D41" s="42">
        <f>(SUMIFS('04_Base_Despesas'!$D$4:$D$219, '04_Base_Despesas'!$A$4:$A$219, D$33, '04_Base_Despesas'!$B$4:$B$219, "pessoal"))*(IFERROR(SUMIFS('03_Base_Vendas'!$I$4:$I$387, '03_Base_Vendas'!$A$4:$A$387, D$33, '03_Base_Vendas'!$C$4:$C$387, "maquiagem")/SUMIFS('03_Base_Vendas'!$I$4:$I$387, '03_Base_Vendas'!$A$4:$A$387, D$33),0))</f>
        <v>7169.7185269010606</v>
      </c>
      <c r="E41" s="42">
        <f>(SUMIFS('04_Base_Despesas'!$D$4:$D$219, '04_Base_Despesas'!$A$4:$A$219, E$33, '04_Base_Despesas'!$B$4:$B$219, "pessoal"))*(IFERROR(SUMIFS('03_Base_Vendas'!$I$4:$I$387, '03_Base_Vendas'!$A$4:$A$387, E$33, '03_Base_Vendas'!$C$4:$C$387, "maquiagem")/SUMIFS('03_Base_Vendas'!$I$4:$I$387, '03_Base_Vendas'!$A$4:$A$387, E$33),0))</f>
        <v>6887.1524242519599</v>
      </c>
      <c r="F41" s="42">
        <f>(SUMIFS('04_Base_Despesas'!$D$4:$D$219, '04_Base_Despesas'!$A$4:$A$219, F$33, '04_Base_Despesas'!$B$4:$B$219, "pessoal"))*(IFERROR(SUMIFS('03_Base_Vendas'!$I$4:$I$387, '03_Base_Vendas'!$A$4:$A$387, F$33, '03_Base_Vendas'!$C$4:$C$387, "maquiagem")/SUMIFS('03_Base_Vendas'!$I$4:$I$387, '03_Base_Vendas'!$A$4:$A$387, F$33),0))</f>
        <v>8402.5714843576934</v>
      </c>
      <c r="G41" s="42">
        <f>(SUMIFS('04_Base_Despesas'!$D$4:$D$219, '04_Base_Despesas'!$A$4:$A$219, G$33, '04_Base_Despesas'!$B$4:$B$219, "pessoal"))*(IFERROR(SUMIFS('03_Base_Vendas'!$I$4:$I$387, '03_Base_Vendas'!$A$4:$A$387, G$33, '03_Base_Vendas'!$C$4:$C$387, "maquiagem")/SUMIFS('03_Base_Vendas'!$I$4:$I$387, '03_Base_Vendas'!$A$4:$A$387, G$33),0))</f>
        <v>7607.6028454363395</v>
      </c>
      <c r="H41" s="42">
        <f>(SUMIFS('04_Base_Despesas'!$D$4:$D$219, '04_Base_Despesas'!$A$4:$A$219, H$33, '04_Base_Despesas'!$B$4:$B$219, "pessoal"))*(IFERROR(SUMIFS('03_Base_Vendas'!$I$4:$I$387, '03_Base_Vendas'!$A$4:$A$387, H$33, '03_Base_Vendas'!$C$4:$C$387, "maquiagem")/SUMIFS('03_Base_Vendas'!$I$4:$I$387, '03_Base_Vendas'!$A$4:$A$387, H$33),0))</f>
        <v>8014.5090080035607</v>
      </c>
      <c r="I41" s="42">
        <f>(SUMIFS('04_Base_Despesas'!$D$4:$D$219, '04_Base_Despesas'!$A$4:$A$219, I$33, '04_Base_Despesas'!$B$4:$B$219, "pessoal"))*(IFERROR(SUMIFS('03_Base_Vendas'!$I$4:$I$387, '03_Base_Vendas'!$A$4:$A$387, I$33, '03_Base_Vendas'!$C$4:$C$387, "maquiagem")/SUMIFS('03_Base_Vendas'!$I$4:$I$387, '03_Base_Vendas'!$A$4:$A$387, I$33),0))</f>
        <v>8229.6018691266981</v>
      </c>
      <c r="J41" s="42">
        <f>(SUMIFS('04_Base_Despesas'!$D$4:$D$219, '04_Base_Despesas'!$A$4:$A$219, J$33, '04_Base_Despesas'!$B$4:$B$219, "pessoal"))*(IFERROR(SUMIFS('03_Base_Vendas'!$I$4:$I$387, '03_Base_Vendas'!$A$4:$A$387, J$33, '03_Base_Vendas'!$C$4:$C$387, "maquiagem")/SUMIFS('03_Base_Vendas'!$I$4:$I$387, '03_Base_Vendas'!$A$4:$A$387, J$33),0))</f>
        <v>8539.564113758368</v>
      </c>
      <c r="K41" s="42">
        <f>(SUMIFS('04_Base_Despesas'!$D$4:$D$219, '04_Base_Despesas'!$A$4:$A$219, K$33, '04_Base_Despesas'!$B$4:$B$219, "pessoal"))*(IFERROR(SUMIFS('03_Base_Vendas'!$I$4:$I$387, '03_Base_Vendas'!$A$4:$A$387, K$33, '03_Base_Vendas'!$C$4:$C$387, "maquiagem")/SUMIFS('03_Base_Vendas'!$I$4:$I$387, '03_Base_Vendas'!$A$4:$A$387, K$33),0))</f>
        <v>7894.4692797935786</v>
      </c>
      <c r="L41" s="42">
        <f>(SUMIFS('04_Base_Despesas'!$D$4:$D$219, '04_Base_Despesas'!$A$4:$A$219, L$33, '04_Base_Despesas'!$B$4:$B$219, "pessoal"))*(IFERROR(SUMIFS('03_Base_Vendas'!$I$4:$I$387, '03_Base_Vendas'!$A$4:$A$387, L$33, '03_Base_Vendas'!$C$4:$C$387, "maquiagem")/SUMIFS('03_Base_Vendas'!$I$4:$I$387, '03_Base_Vendas'!$A$4:$A$387, L$33),0))</f>
        <v>8662.7656287517002</v>
      </c>
      <c r="M41" s="42">
        <f>(SUMIFS('04_Base_Despesas'!$D$4:$D$219, '04_Base_Despesas'!$A$4:$A$219, M$33, '04_Base_Despesas'!$B$4:$B$219, "pessoal"))*(IFERROR(SUMIFS('03_Base_Vendas'!$I$4:$I$387, '03_Base_Vendas'!$A$4:$A$387, M$33, '03_Base_Vendas'!$C$4:$C$387, "maquiagem")/SUMIFS('03_Base_Vendas'!$I$4:$I$387, '03_Base_Vendas'!$A$4:$A$387, M$33),0))</f>
        <v>8270.0071915276712</v>
      </c>
      <c r="N41" s="42">
        <f>(SUMIFS('04_Base_Despesas'!$D$4:$D$219, '04_Base_Despesas'!$A$4:$A$219, N$33, '04_Base_Despesas'!$B$4:$B$219, "pessoal"))*(IFERROR(SUMIFS('03_Base_Vendas'!$I$4:$I$387, '03_Base_Vendas'!$A$4:$A$387, N$33, '03_Base_Vendas'!$C$4:$C$387, "maquiagem")/SUMIFS('03_Base_Vendas'!$I$4:$I$387, '03_Base_Vendas'!$A$4:$A$387, N$33),0))</f>
        <v>8118.9882057352179</v>
      </c>
      <c r="O41" s="42">
        <f>(SUMIFS('04_Base_Despesas'!$D$4:$D$219, '04_Base_Despesas'!$A$4:$A$219, O$33, '04_Base_Despesas'!$B$4:$B$219, "pessoal"))*(IFERROR(SUMIFS('03_Base_Vendas'!$I$4:$I$387, '03_Base_Vendas'!$A$4:$A$387, O$33, '03_Base_Vendas'!$C$4:$C$387, "maquiagem")/SUMIFS('03_Base_Vendas'!$I$4:$I$387, '03_Base_Vendas'!$A$4:$A$387, O$33),0))</f>
        <v>7201.5239082048411</v>
      </c>
      <c r="P41" s="42">
        <f>(SUMIFS('04_Base_Despesas'!$D$4:$D$219, '04_Base_Despesas'!$A$4:$A$219, P$33, '04_Base_Despesas'!$B$4:$B$219, "pessoal"))*(IFERROR(SUMIFS('03_Base_Vendas'!$I$4:$I$387, '03_Base_Vendas'!$A$4:$A$387, P$33, '03_Base_Vendas'!$C$4:$C$387, "maquiagem")/SUMIFS('03_Base_Vendas'!$I$4:$I$387, '03_Base_Vendas'!$A$4:$A$387, P$33),0))</f>
        <v>8274.3148984634208</v>
      </c>
      <c r="Q41" s="42">
        <f>(SUMIFS('04_Base_Despesas'!$D$4:$D$219, '04_Base_Despesas'!$A$4:$A$219, Q$33, '04_Base_Despesas'!$B$4:$B$219, "pessoal"))*(IFERROR(SUMIFS('03_Base_Vendas'!$I$4:$I$387, '03_Base_Vendas'!$A$4:$A$387, Q$33, '03_Base_Vendas'!$C$4:$C$387, "maquiagem")/SUMIFS('03_Base_Vendas'!$I$4:$I$387, '03_Base_Vendas'!$A$4:$A$387, Q$33),0))</f>
        <v>8036.0780876386025</v>
      </c>
      <c r="R41" s="42">
        <f>(SUMIFS('04_Base_Despesas'!$D$4:$D$219, '04_Base_Despesas'!$A$4:$A$219, R$33, '04_Base_Despesas'!$B$4:$B$219, "pessoal"))*(IFERROR(SUMIFS('03_Base_Vendas'!$I$4:$I$387, '03_Base_Vendas'!$A$4:$A$387, R$33, '03_Base_Vendas'!$C$4:$C$387, "maquiagem")/SUMIFS('03_Base_Vendas'!$I$4:$I$387, '03_Base_Vendas'!$A$4:$A$387, R$33),0))</f>
        <v>6497.2778827246739</v>
      </c>
      <c r="S41" s="42">
        <f>(SUMIFS('04_Base_Despesas'!$D$4:$D$219, '04_Base_Despesas'!$A$4:$A$219, S$33, '04_Base_Despesas'!$B$4:$B$219, "pessoal"))*(IFERROR(SUMIFS('03_Base_Vendas'!$I$4:$I$387, '03_Base_Vendas'!$A$4:$A$387, S$33, '03_Base_Vendas'!$C$4:$C$387, "maquiagem")/SUMIFS('03_Base_Vendas'!$I$4:$I$387, '03_Base_Vendas'!$A$4:$A$387, S$33),0))</f>
        <v>7855.79938772283</v>
      </c>
      <c r="T41" s="42">
        <f>(SUMIFS('04_Base_Despesas'!$D$4:$D$219, '04_Base_Despesas'!$A$4:$A$219, T$33, '04_Base_Despesas'!$B$4:$B$219, "pessoal"))*(IFERROR(SUMIFS('03_Base_Vendas'!$I$4:$I$387, '03_Base_Vendas'!$A$4:$A$387, T$33, '03_Base_Vendas'!$C$4:$C$387, "maquiagem")/SUMIFS('03_Base_Vendas'!$I$4:$I$387, '03_Base_Vendas'!$A$4:$A$387, T$33),0))</f>
        <v>7915.542417550384</v>
      </c>
      <c r="U41" s="42">
        <f>(SUMIFS('04_Base_Despesas'!$D$4:$D$219, '04_Base_Despesas'!$A$4:$A$219, U$33, '04_Base_Despesas'!$B$4:$B$219, "pessoal"))*(IFERROR(SUMIFS('03_Base_Vendas'!$I$4:$I$387, '03_Base_Vendas'!$A$4:$A$387, U$33, '03_Base_Vendas'!$C$4:$C$387, "maquiagem")/SUMIFS('03_Base_Vendas'!$I$4:$I$387, '03_Base_Vendas'!$A$4:$A$387, U$33),0))</f>
        <v>7581.6679244556062</v>
      </c>
      <c r="V41" s="42">
        <f>(SUMIFS('04_Base_Despesas'!$D$4:$D$219, '04_Base_Despesas'!$A$4:$A$219, V$33, '04_Base_Despesas'!$B$4:$B$219, "pessoal"))*(IFERROR(SUMIFS('03_Base_Vendas'!$I$4:$I$387, '03_Base_Vendas'!$A$4:$A$387, V$33, '03_Base_Vendas'!$C$4:$C$387, "maquiagem")/SUMIFS('03_Base_Vendas'!$I$4:$I$387, '03_Base_Vendas'!$A$4:$A$387, V$33),0))</f>
        <v>7842.9475460937419</v>
      </c>
      <c r="W41" s="42">
        <f>(SUMIFS('04_Base_Despesas'!$D$4:$D$219, '04_Base_Despesas'!$A$4:$A$219, W$33, '04_Base_Despesas'!$B$4:$B$219, "pessoal"))*(IFERROR(SUMIFS('03_Base_Vendas'!$I$4:$I$387, '03_Base_Vendas'!$A$4:$A$387, W$33, '03_Base_Vendas'!$C$4:$C$387, "maquiagem")/SUMIFS('03_Base_Vendas'!$I$4:$I$387, '03_Base_Vendas'!$A$4:$A$387, W$33),0))</f>
        <v>8824.4689800234319</v>
      </c>
      <c r="X41" s="42">
        <f>(SUMIFS('04_Base_Despesas'!$D$4:$D$219, '04_Base_Despesas'!$A$4:$A$219, X$33, '04_Base_Despesas'!$B$4:$B$219, "pessoal"))*(IFERROR(SUMIFS('03_Base_Vendas'!$I$4:$I$387, '03_Base_Vendas'!$A$4:$A$387, X$33, '03_Base_Vendas'!$C$4:$C$387, "maquiagem")/SUMIFS('03_Base_Vendas'!$I$4:$I$387, '03_Base_Vendas'!$A$4:$A$387, X$33),0))</f>
        <v>6859.4109855240076</v>
      </c>
      <c r="Y41" s="42">
        <f>(SUMIFS('04_Base_Despesas'!$D$4:$D$219, '04_Base_Despesas'!$A$4:$A$219, Y$33, '04_Base_Despesas'!$B$4:$B$219, "pessoal"))*(IFERROR(SUMIFS('03_Base_Vendas'!$I$4:$I$387, '03_Base_Vendas'!$A$4:$A$387, Y$33, '03_Base_Vendas'!$C$4:$C$387, "maquiagem")/SUMIFS('03_Base_Vendas'!$I$4:$I$387, '03_Base_Vendas'!$A$4:$A$387, Y$33),0))</f>
        <v>8023.768745685632</v>
      </c>
      <c r="Z41" s="43">
        <f t="shared" ref="Z41:Z49" si="15">SUM(B41:Y41)</f>
        <v>189592.61861185567</v>
      </c>
    </row>
    <row r="42" spans="1:26" x14ac:dyDescent="0.25">
      <c r="A42" s="41" t="s">
        <v>339</v>
      </c>
      <c r="B42" s="42">
        <f>(SUMIFS('04_Base_Despesas'!$D$4:$D$219, '04_Base_Despesas'!$A$4:$A$219, B$33, '04_Base_Despesas'!$B$4:$B$219, "aluguel"))*(IFERROR(SUMIFS('03_Base_Vendas'!$I$4:$I$387, '03_Base_Vendas'!$A$4:$A$387, B$33, '03_Base_Vendas'!$C$4:$C$387, "maquiagem")/SUMIFS('03_Base_Vendas'!$I$4:$I$387, '03_Base_Vendas'!$A$4:$A$387, B$33),0))</f>
        <v>1628.5223026919691</v>
      </c>
      <c r="C42" s="42">
        <f>(SUMIFS('04_Base_Despesas'!$D$4:$D$219, '04_Base_Despesas'!$A$4:$A$219, C$33, '04_Base_Despesas'!$B$4:$B$219, "aluguel"))*(IFERROR(SUMIFS('03_Base_Vendas'!$I$4:$I$387, '03_Base_Vendas'!$A$4:$A$387, C$33, '03_Base_Vendas'!$C$4:$C$387, "maquiagem")/SUMIFS('03_Base_Vendas'!$I$4:$I$387, '03_Base_Vendas'!$A$4:$A$387, C$33),0))</f>
        <v>1494.488719965681</v>
      </c>
      <c r="D42" s="42">
        <f>(SUMIFS('04_Base_Despesas'!$D$4:$D$219, '04_Base_Despesas'!$A$4:$A$219, D$33, '04_Base_Despesas'!$B$4:$B$219, "aluguel"))*(IFERROR(SUMIFS('03_Base_Vendas'!$I$4:$I$387, '03_Base_Vendas'!$A$4:$A$387, D$33, '03_Base_Vendas'!$C$4:$C$387, "maquiagem")/SUMIFS('03_Base_Vendas'!$I$4:$I$387, '03_Base_Vendas'!$A$4:$A$387, D$33),0))</f>
        <v>1358.8561739571783</v>
      </c>
      <c r="E42" s="42">
        <f>(SUMIFS('04_Base_Despesas'!$D$4:$D$219, '04_Base_Despesas'!$A$4:$A$219, E$33, '04_Base_Despesas'!$B$4:$B$219, "aluguel"))*(IFERROR(SUMIFS('03_Base_Vendas'!$I$4:$I$387, '03_Base_Vendas'!$A$4:$A$387, E$33, '03_Base_Vendas'!$C$4:$C$387, "maquiagem")/SUMIFS('03_Base_Vendas'!$I$4:$I$387, '03_Base_Vendas'!$A$4:$A$387, E$33),0))</f>
        <v>1322.5026348885565</v>
      </c>
      <c r="F42" s="42">
        <f>(SUMIFS('04_Base_Despesas'!$D$4:$D$219, '04_Base_Despesas'!$A$4:$A$219, F$33, '04_Base_Despesas'!$B$4:$B$219, "aluguel"))*(IFERROR(SUMIFS('03_Base_Vendas'!$I$4:$I$387, '03_Base_Vendas'!$A$4:$A$387, F$33, '03_Base_Vendas'!$C$4:$C$387, "maquiagem")/SUMIFS('03_Base_Vendas'!$I$4:$I$387, '03_Base_Vendas'!$A$4:$A$387, F$33),0))</f>
        <v>1535.5316603865988</v>
      </c>
      <c r="G42" s="42">
        <f>(SUMIFS('04_Base_Despesas'!$D$4:$D$219, '04_Base_Despesas'!$A$4:$A$219, G$33, '04_Base_Despesas'!$B$4:$B$219, "aluguel"))*(IFERROR(SUMIFS('03_Base_Vendas'!$I$4:$I$387, '03_Base_Vendas'!$A$4:$A$387, G$33, '03_Base_Vendas'!$C$4:$C$387, "maquiagem")/SUMIFS('03_Base_Vendas'!$I$4:$I$387, '03_Base_Vendas'!$A$4:$A$387, G$33),0))</f>
        <v>1428.7891455630759</v>
      </c>
      <c r="H42" s="42">
        <f>(SUMIFS('04_Base_Despesas'!$D$4:$D$219, '04_Base_Despesas'!$A$4:$A$219, H$33, '04_Base_Despesas'!$B$4:$B$219, "aluguel"))*(IFERROR(SUMIFS('03_Base_Vendas'!$I$4:$I$387, '03_Base_Vendas'!$A$4:$A$387, H$33, '03_Base_Vendas'!$C$4:$C$387, "maquiagem")/SUMIFS('03_Base_Vendas'!$I$4:$I$387, '03_Base_Vendas'!$A$4:$A$387, H$33),0))</f>
        <v>1467.4912832902235</v>
      </c>
      <c r="I42" s="42">
        <f>(SUMIFS('04_Base_Despesas'!$D$4:$D$219, '04_Base_Despesas'!$A$4:$A$219, I$33, '04_Base_Despesas'!$B$4:$B$219, "aluguel"))*(IFERROR(SUMIFS('03_Base_Vendas'!$I$4:$I$387, '03_Base_Vendas'!$A$4:$A$387, I$33, '03_Base_Vendas'!$C$4:$C$387, "maquiagem")/SUMIFS('03_Base_Vendas'!$I$4:$I$387, '03_Base_Vendas'!$A$4:$A$387, I$33),0))</f>
        <v>1506.2512452042431</v>
      </c>
      <c r="J42" s="42">
        <f>(SUMIFS('04_Base_Despesas'!$D$4:$D$219, '04_Base_Despesas'!$A$4:$A$219, J$33, '04_Base_Despesas'!$B$4:$B$219, "aluguel"))*(IFERROR(SUMIFS('03_Base_Vendas'!$I$4:$I$387, '03_Base_Vendas'!$A$4:$A$387, J$33, '03_Base_Vendas'!$C$4:$C$387, "maquiagem")/SUMIFS('03_Base_Vendas'!$I$4:$I$387, '03_Base_Vendas'!$A$4:$A$387, J$33),0))</f>
        <v>1557.4314964066573</v>
      </c>
      <c r="K42" s="42">
        <f>(SUMIFS('04_Base_Despesas'!$D$4:$D$219, '04_Base_Despesas'!$A$4:$A$219, K$33, '04_Base_Despesas'!$B$4:$B$219, "aluguel"))*(IFERROR(SUMIFS('03_Base_Vendas'!$I$4:$I$387, '03_Base_Vendas'!$A$4:$A$387, K$33, '03_Base_Vendas'!$C$4:$C$387, "maquiagem")/SUMIFS('03_Base_Vendas'!$I$4:$I$387, '03_Base_Vendas'!$A$4:$A$387, K$33),0))</f>
        <v>1429.6364951299972</v>
      </c>
      <c r="L42" s="42">
        <f>(SUMIFS('04_Base_Despesas'!$D$4:$D$219, '04_Base_Despesas'!$A$4:$A$219, L$33, '04_Base_Despesas'!$B$4:$B$219, "aluguel"))*(IFERROR(SUMIFS('03_Base_Vendas'!$I$4:$I$387, '03_Base_Vendas'!$A$4:$A$387, L$33, '03_Base_Vendas'!$C$4:$C$387, "maquiagem")/SUMIFS('03_Base_Vendas'!$I$4:$I$387, '03_Base_Vendas'!$A$4:$A$387, L$33),0))</f>
        <v>1625.402166467702</v>
      </c>
      <c r="M42" s="42">
        <f>(SUMIFS('04_Base_Despesas'!$D$4:$D$219, '04_Base_Despesas'!$A$4:$A$219, M$33, '04_Base_Despesas'!$B$4:$B$219, "aluguel"))*(IFERROR(SUMIFS('03_Base_Vendas'!$I$4:$I$387, '03_Base_Vendas'!$A$4:$A$387, M$33, '03_Base_Vendas'!$C$4:$C$387, "maquiagem")/SUMIFS('03_Base_Vendas'!$I$4:$I$387, '03_Base_Vendas'!$A$4:$A$387, M$33),0))</f>
        <v>1513.3710364846613</v>
      </c>
      <c r="N42" s="42">
        <f>(SUMIFS('04_Base_Despesas'!$D$4:$D$219, '04_Base_Despesas'!$A$4:$A$219, N$33, '04_Base_Despesas'!$B$4:$B$219, "aluguel"))*(IFERROR(SUMIFS('03_Base_Vendas'!$I$4:$I$387, '03_Base_Vendas'!$A$4:$A$387, N$33, '03_Base_Vendas'!$C$4:$C$387, "maquiagem")/SUMIFS('03_Base_Vendas'!$I$4:$I$387, '03_Base_Vendas'!$A$4:$A$387, N$33),0))</f>
        <v>1493.8654495865919</v>
      </c>
      <c r="O42" s="42">
        <f>(SUMIFS('04_Base_Despesas'!$D$4:$D$219, '04_Base_Despesas'!$A$4:$A$219, O$33, '04_Base_Despesas'!$B$4:$B$219, "aluguel"))*(IFERROR(SUMIFS('03_Base_Vendas'!$I$4:$I$387, '03_Base_Vendas'!$A$4:$A$387, O$33, '03_Base_Vendas'!$C$4:$C$387, "maquiagem")/SUMIFS('03_Base_Vendas'!$I$4:$I$387, '03_Base_Vendas'!$A$4:$A$387, O$33),0))</f>
        <v>1323.3888128821659</v>
      </c>
      <c r="P42" s="42">
        <f>(SUMIFS('04_Base_Despesas'!$D$4:$D$219, '04_Base_Despesas'!$A$4:$A$219, P$33, '04_Base_Despesas'!$B$4:$B$219, "aluguel"))*(IFERROR(SUMIFS('03_Base_Vendas'!$I$4:$I$387, '03_Base_Vendas'!$A$4:$A$387, P$33, '03_Base_Vendas'!$C$4:$C$387, "maquiagem")/SUMIFS('03_Base_Vendas'!$I$4:$I$387, '03_Base_Vendas'!$A$4:$A$387, P$33),0))</f>
        <v>1506.7720317540939</v>
      </c>
      <c r="Q42" s="42">
        <f>(SUMIFS('04_Base_Despesas'!$D$4:$D$219, '04_Base_Despesas'!$A$4:$A$219, Q$33, '04_Base_Despesas'!$B$4:$B$219, "aluguel"))*(IFERROR(SUMIFS('03_Base_Vendas'!$I$4:$I$387, '03_Base_Vendas'!$A$4:$A$387, Q$33, '03_Base_Vendas'!$C$4:$C$387, "maquiagem")/SUMIFS('03_Base_Vendas'!$I$4:$I$387, '03_Base_Vendas'!$A$4:$A$387, Q$33),0))</f>
        <v>1470.2173592764557</v>
      </c>
      <c r="R42" s="42">
        <f>(SUMIFS('04_Base_Despesas'!$D$4:$D$219, '04_Base_Despesas'!$A$4:$A$219, R$33, '04_Base_Despesas'!$B$4:$B$219, "aluguel"))*(IFERROR(SUMIFS('03_Base_Vendas'!$I$4:$I$387, '03_Base_Vendas'!$A$4:$A$387, R$33, '03_Base_Vendas'!$C$4:$C$387, "maquiagem")/SUMIFS('03_Base_Vendas'!$I$4:$I$387, '03_Base_Vendas'!$A$4:$A$387, R$33),0))</f>
        <v>1181.3812464228085</v>
      </c>
      <c r="S42" s="42">
        <f>(SUMIFS('04_Base_Despesas'!$D$4:$D$219, '04_Base_Despesas'!$A$4:$A$219, S$33, '04_Base_Despesas'!$B$4:$B$219, "aluguel"))*(IFERROR(SUMIFS('03_Base_Vendas'!$I$4:$I$387, '03_Base_Vendas'!$A$4:$A$387, S$33, '03_Base_Vendas'!$C$4:$C$387, "maquiagem")/SUMIFS('03_Base_Vendas'!$I$4:$I$387, '03_Base_Vendas'!$A$4:$A$387, S$33),0))</f>
        <v>1480.1160120566956</v>
      </c>
      <c r="T42" s="42">
        <f>(SUMIFS('04_Base_Despesas'!$D$4:$D$219, '04_Base_Despesas'!$A$4:$A$219, T$33, '04_Base_Despesas'!$B$4:$B$219, "aluguel"))*(IFERROR(SUMIFS('03_Base_Vendas'!$I$4:$I$387, '03_Base_Vendas'!$A$4:$A$387, T$33, '03_Base_Vendas'!$C$4:$C$387, "maquiagem")/SUMIFS('03_Base_Vendas'!$I$4:$I$387, '03_Base_Vendas'!$A$4:$A$387, T$33),0))</f>
        <v>1490.7800230672024</v>
      </c>
      <c r="U42" s="42">
        <f>(SUMIFS('04_Base_Despesas'!$D$4:$D$219, '04_Base_Despesas'!$A$4:$A$219, U$33, '04_Base_Despesas'!$B$4:$B$219, "aluguel"))*(IFERROR(SUMIFS('03_Base_Vendas'!$I$4:$I$387, '03_Base_Vendas'!$A$4:$A$387, U$33, '03_Base_Vendas'!$C$4:$C$387, "maquiagem")/SUMIFS('03_Base_Vendas'!$I$4:$I$387, '03_Base_Vendas'!$A$4:$A$387, U$33),0))</f>
        <v>1406.7473722761279</v>
      </c>
      <c r="V42" s="42">
        <f>(SUMIFS('04_Base_Despesas'!$D$4:$D$219, '04_Base_Despesas'!$A$4:$A$219, V$33, '04_Base_Despesas'!$B$4:$B$219, "aluguel"))*(IFERROR(SUMIFS('03_Base_Vendas'!$I$4:$I$387, '03_Base_Vendas'!$A$4:$A$387, V$33, '03_Base_Vendas'!$C$4:$C$387, "maquiagem")/SUMIFS('03_Base_Vendas'!$I$4:$I$387, '03_Base_Vendas'!$A$4:$A$387, V$33),0))</f>
        <v>1454.1900609248116</v>
      </c>
      <c r="W42" s="42">
        <f>(SUMIFS('04_Base_Despesas'!$D$4:$D$219, '04_Base_Despesas'!$A$4:$A$219, W$33, '04_Base_Despesas'!$B$4:$B$219, "aluguel"))*(IFERROR(SUMIFS('03_Base_Vendas'!$I$4:$I$387, '03_Base_Vendas'!$A$4:$A$387, W$33, '03_Base_Vendas'!$C$4:$C$387, "maquiagem")/SUMIFS('03_Base_Vendas'!$I$4:$I$387, '03_Base_Vendas'!$A$4:$A$387, W$33),0))</f>
        <v>1636.3487811524726</v>
      </c>
      <c r="X42" s="42">
        <f>(SUMIFS('04_Base_Despesas'!$D$4:$D$219, '04_Base_Despesas'!$A$4:$A$219, X$33, '04_Base_Despesas'!$B$4:$B$219, "aluguel"))*(IFERROR(SUMIFS('03_Base_Vendas'!$I$4:$I$387, '03_Base_Vendas'!$A$4:$A$387, X$33, '03_Base_Vendas'!$C$4:$C$387, "maquiagem")/SUMIFS('03_Base_Vendas'!$I$4:$I$387, '03_Base_Vendas'!$A$4:$A$387, X$33),0))</f>
        <v>1271.874566091494</v>
      </c>
      <c r="Y42" s="42">
        <f>(SUMIFS('04_Base_Despesas'!$D$4:$D$219, '04_Base_Despesas'!$A$4:$A$219, Y$33, '04_Base_Despesas'!$B$4:$B$219, "aluguel"))*(IFERROR(SUMIFS('03_Base_Vendas'!$I$4:$I$387, '03_Base_Vendas'!$A$4:$A$387, Y$33, '03_Base_Vendas'!$C$4:$C$387, "maquiagem")/SUMIFS('03_Base_Vendas'!$I$4:$I$387, '03_Base_Vendas'!$A$4:$A$387, Y$33),0))</f>
        <v>1491.4282428664862</v>
      </c>
      <c r="Z42" s="43">
        <f t="shared" si="15"/>
        <v>35075.384318793956</v>
      </c>
    </row>
    <row r="43" spans="1:26" x14ac:dyDescent="0.25">
      <c r="A43" s="41" t="s">
        <v>340</v>
      </c>
      <c r="B43" s="42">
        <f>(SUMIFS('04_Base_Despesas'!$D$4:$D$219, '04_Base_Despesas'!$A$4:$A$219, B$33, '04_Base_Despesas'!$B$4:$B$219, "marketing"))*(IFERROR(SUMIFS('03_Base_Vendas'!$I$4:$I$387, '03_Base_Vendas'!$A$4:$A$387, B$33, '03_Base_Vendas'!$C$4:$C$387, "maquiagem")/SUMIFS('03_Base_Vendas'!$I$4:$I$387, '03_Base_Vendas'!$A$4:$A$387, B$33),0))</f>
        <v>3059.2856362823754</v>
      </c>
      <c r="C43" s="42">
        <f>(SUMIFS('04_Base_Despesas'!$D$4:$D$219, '04_Base_Despesas'!$A$4:$A$219, C$33, '04_Base_Despesas'!$B$4:$B$219, "marketing"))*(IFERROR(SUMIFS('03_Base_Vendas'!$I$4:$I$387, '03_Base_Vendas'!$A$4:$A$387, C$33, '03_Base_Vendas'!$C$4:$C$387, "maquiagem")/SUMIFS('03_Base_Vendas'!$I$4:$I$387, '03_Base_Vendas'!$A$4:$A$387, C$33),0))</f>
        <v>1911.0939686893353</v>
      </c>
      <c r="D43" s="42">
        <f>(SUMIFS('04_Base_Despesas'!$D$4:$D$219, '04_Base_Despesas'!$A$4:$A$219, D$33, '04_Base_Despesas'!$B$4:$B$219, "marketing"))*(IFERROR(SUMIFS('03_Base_Vendas'!$I$4:$I$387, '03_Base_Vendas'!$A$4:$A$387, D$33, '03_Base_Vendas'!$C$4:$C$387, "maquiagem")/SUMIFS('03_Base_Vendas'!$I$4:$I$387, '03_Base_Vendas'!$A$4:$A$387, D$33),0))</f>
        <v>1572.1365175218173</v>
      </c>
      <c r="E43" s="42">
        <f>(SUMIFS('04_Base_Despesas'!$D$4:$D$219, '04_Base_Despesas'!$A$4:$A$219, E$33, '04_Base_Despesas'!$B$4:$B$219, "marketing"))*(IFERROR(SUMIFS('03_Base_Vendas'!$I$4:$I$387, '03_Base_Vendas'!$A$4:$A$387, E$33, '03_Base_Vendas'!$C$4:$C$387, "maquiagem")/SUMIFS('03_Base_Vendas'!$I$4:$I$387, '03_Base_Vendas'!$A$4:$A$387, E$33),0))</f>
        <v>1722.1336968831069</v>
      </c>
      <c r="F43" s="42">
        <f>(SUMIFS('04_Base_Despesas'!$D$4:$D$219, '04_Base_Despesas'!$A$4:$A$219, F$33, '04_Base_Despesas'!$B$4:$B$219, "marketing"))*(IFERROR(SUMIFS('03_Base_Vendas'!$I$4:$I$387, '03_Base_Vendas'!$A$4:$A$387, F$33, '03_Base_Vendas'!$C$4:$C$387, "maquiagem")/SUMIFS('03_Base_Vendas'!$I$4:$I$387, '03_Base_Vendas'!$A$4:$A$387, F$33),0))</f>
        <v>2764.3675413713918</v>
      </c>
      <c r="G43" s="42">
        <f>(SUMIFS('04_Base_Despesas'!$D$4:$D$219, '04_Base_Despesas'!$A$4:$A$219, G$33, '04_Base_Despesas'!$B$4:$B$219, "marketing"))*(IFERROR(SUMIFS('03_Base_Vendas'!$I$4:$I$387, '03_Base_Vendas'!$A$4:$A$387, G$33, '03_Base_Vendas'!$C$4:$C$387, "maquiagem")/SUMIFS('03_Base_Vendas'!$I$4:$I$387, '03_Base_Vendas'!$A$4:$A$387, G$33),0))</f>
        <v>2666.2393607180675</v>
      </c>
      <c r="H43" s="42">
        <f>(SUMIFS('04_Base_Despesas'!$D$4:$D$219, '04_Base_Despesas'!$A$4:$A$219, H$33, '04_Base_Despesas'!$B$4:$B$219, "marketing"))*(IFERROR(SUMIFS('03_Base_Vendas'!$I$4:$I$387, '03_Base_Vendas'!$A$4:$A$387, H$33, '03_Base_Vendas'!$C$4:$C$387, "maquiagem")/SUMIFS('03_Base_Vendas'!$I$4:$I$387, '03_Base_Vendas'!$A$4:$A$387, H$33),0))</f>
        <v>1536.7707744105214</v>
      </c>
      <c r="I43" s="42">
        <f>(SUMIFS('04_Base_Despesas'!$D$4:$D$219, '04_Base_Despesas'!$A$4:$A$219, I$33, '04_Base_Despesas'!$B$4:$B$219, "marketing"))*(IFERROR(SUMIFS('03_Base_Vendas'!$I$4:$I$387, '03_Base_Vendas'!$A$4:$A$387, I$33, '03_Base_Vendas'!$C$4:$C$387, "maquiagem")/SUMIFS('03_Base_Vendas'!$I$4:$I$387, '03_Base_Vendas'!$A$4:$A$387, I$33),0))</f>
        <v>2037.3173816002222</v>
      </c>
      <c r="J43" s="42">
        <f>(SUMIFS('04_Base_Despesas'!$D$4:$D$219, '04_Base_Despesas'!$A$4:$A$219, J$33, '04_Base_Despesas'!$B$4:$B$219, "marketing"))*(IFERROR(SUMIFS('03_Base_Vendas'!$I$4:$I$387, '03_Base_Vendas'!$A$4:$A$387, J$33, '03_Base_Vendas'!$C$4:$C$387, "maquiagem")/SUMIFS('03_Base_Vendas'!$I$4:$I$387, '03_Base_Vendas'!$A$4:$A$387, J$33),0))</f>
        <v>2338.7063504688185</v>
      </c>
      <c r="K43" s="42">
        <f>(SUMIFS('04_Base_Despesas'!$D$4:$D$219, '04_Base_Despesas'!$A$4:$A$219, K$33, '04_Base_Despesas'!$B$4:$B$219, "marketing"))*(IFERROR(SUMIFS('03_Base_Vendas'!$I$4:$I$387, '03_Base_Vendas'!$A$4:$A$387, K$33, '03_Base_Vendas'!$C$4:$C$387, "maquiagem")/SUMIFS('03_Base_Vendas'!$I$4:$I$387, '03_Base_Vendas'!$A$4:$A$387, K$33),0))</f>
        <v>2184.4574767092545</v>
      </c>
      <c r="L43" s="42">
        <f>(SUMIFS('04_Base_Despesas'!$D$4:$D$219, '04_Base_Despesas'!$A$4:$A$219, L$33, '04_Base_Despesas'!$B$4:$B$219, "marketing"))*(IFERROR(SUMIFS('03_Base_Vendas'!$I$4:$I$387, '03_Base_Vendas'!$A$4:$A$387, L$33, '03_Base_Vendas'!$C$4:$C$387, "maquiagem")/SUMIFS('03_Base_Vendas'!$I$4:$I$387, '03_Base_Vendas'!$A$4:$A$387, L$33),0))</f>
        <v>2752.7999295758382</v>
      </c>
      <c r="M43" s="42">
        <f>(SUMIFS('04_Base_Despesas'!$D$4:$D$219, '04_Base_Despesas'!$A$4:$A$219, M$33, '04_Base_Despesas'!$B$4:$B$219, "marketing"))*(IFERROR(SUMIFS('03_Base_Vendas'!$I$4:$I$387, '03_Base_Vendas'!$A$4:$A$387, M$33, '03_Base_Vendas'!$C$4:$C$387, "maquiagem")/SUMIFS('03_Base_Vendas'!$I$4:$I$387, '03_Base_Vendas'!$A$4:$A$387, M$33),0))</f>
        <v>2896.4487918387113</v>
      </c>
      <c r="N43" s="42">
        <f>(SUMIFS('04_Base_Despesas'!$D$4:$D$219, '04_Base_Despesas'!$A$4:$A$219, N$33, '04_Base_Despesas'!$B$4:$B$219, "marketing"))*(IFERROR(SUMIFS('03_Base_Vendas'!$I$4:$I$387, '03_Base_Vendas'!$A$4:$A$387, N$33, '03_Base_Vendas'!$C$4:$C$387, "maquiagem")/SUMIFS('03_Base_Vendas'!$I$4:$I$387, '03_Base_Vendas'!$A$4:$A$387, N$33),0))</f>
        <v>2365.7315829099102</v>
      </c>
      <c r="O43" s="42">
        <f>(SUMIFS('04_Base_Despesas'!$D$4:$D$219, '04_Base_Despesas'!$A$4:$A$219, O$33, '04_Base_Despesas'!$B$4:$B$219, "marketing"))*(IFERROR(SUMIFS('03_Base_Vendas'!$I$4:$I$387, '03_Base_Vendas'!$A$4:$A$387, O$33, '03_Base_Vendas'!$C$4:$C$387, "maquiagem")/SUMIFS('03_Base_Vendas'!$I$4:$I$387, '03_Base_Vendas'!$A$4:$A$387, O$33),0))</f>
        <v>1687.8793458078833</v>
      </c>
      <c r="P43" s="42">
        <f>(SUMIFS('04_Base_Despesas'!$D$4:$D$219, '04_Base_Despesas'!$A$4:$A$219, P$33, '04_Base_Despesas'!$B$4:$B$219, "marketing"))*(IFERROR(SUMIFS('03_Base_Vendas'!$I$4:$I$387, '03_Base_Vendas'!$A$4:$A$387, P$33, '03_Base_Vendas'!$C$4:$C$387, "maquiagem")/SUMIFS('03_Base_Vendas'!$I$4:$I$387, '03_Base_Vendas'!$A$4:$A$387, P$33),0))</f>
        <v>2527.465750367609</v>
      </c>
      <c r="Q43" s="42">
        <f>(SUMIFS('04_Base_Despesas'!$D$4:$D$219, '04_Base_Despesas'!$A$4:$A$219, Q$33, '04_Base_Despesas'!$B$4:$B$219, "marketing"))*(IFERROR(SUMIFS('03_Base_Vendas'!$I$4:$I$387, '03_Base_Vendas'!$A$4:$A$387, Q$33, '03_Base_Vendas'!$C$4:$C$387, "maquiagem")/SUMIFS('03_Base_Vendas'!$I$4:$I$387, '03_Base_Vendas'!$A$4:$A$387, Q$33),0))</f>
        <v>1870.102552624669</v>
      </c>
      <c r="R43" s="42">
        <f>(SUMIFS('04_Base_Despesas'!$D$4:$D$219, '04_Base_Despesas'!$A$4:$A$219, R$33, '04_Base_Despesas'!$B$4:$B$219, "marketing"))*(IFERROR(SUMIFS('03_Base_Vendas'!$I$4:$I$387, '03_Base_Vendas'!$A$4:$A$387, R$33, '03_Base_Vendas'!$C$4:$C$387, "maquiagem")/SUMIFS('03_Base_Vendas'!$I$4:$I$387, '03_Base_Vendas'!$A$4:$A$387, R$33),0))</f>
        <v>2597.3721258356109</v>
      </c>
      <c r="S43" s="42">
        <f>(SUMIFS('04_Base_Despesas'!$D$4:$D$219, '04_Base_Despesas'!$A$4:$A$219, S$33, '04_Base_Despesas'!$B$4:$B$219, "marketing"))*(IFERROR(SUMIFS('03_Base_Vendas'!$I$4:$I$387, '03_Base_Vendas'!$A$4:$A$387, S$33, '03_Base_Vendas'!$C$4:$C$387, "maquiagem")/SUMIFS('03_Base_Vendas'!$I$4:$I$387, '03_Base_Vendas'!$A$4:$A$387, S$33),0))</f>
        <v>2342.7641082372252</v>
      </c>
      <c r="T43" s="42">
        <f>(SUMIFS('04_Base_Despesas'!$D$4:$D$219, '04_Base_Despesas'!$A$4:$A$219, T$33, '04_Base_Despesas'!$B$4:$B$219, "marketing"))*(IFERROR(SUMIFS('03_Base_Vendas'!$I$4:$I$387, '03_Base_Vendas'!$A$4:$A$387, T$33, '03_Base_Vendas'!$C$4:$C$387, "maquiagem")/SUMIFS('03_Base_Vendas'!$I$4:$I$387, '03_Base_Vendas'!$A$4:$A$387, T$33),0))</f>
        <v>2172.0218377326396</v>
      </c>
      <c r="U43" s="42">
        <f>(SUMIFS('04_Base_Despesas'!$D$4:$D$219, '04_Base_Despesas'!$A$4:$A$219, U$33, '04_Base_Despesas'!$B$4:$B$219, "marketing"))*(IFERROR(SUMIFS('03_Base_Vendas'!$I$4:$I$387, '03_Base_Vendas'!$A$4:$A$387, U$33, '03_Base_Vendas'!$C$4:$C$387, "maquiagem")/SUMIFS('03_Base_Vendas'!$I$4:$I$387, '03_Base_Vendas'!$A$4:$A$387, U$33),0))</f>
        <v>1923.7270315876049</v>
      </c>
      <c r="V43" s="42">
        <f>(SUMIFS('04_Base_Despesas'!$D$4:$D$219, '04_Base_Despesas'!$A$4:$A$219, V$33, '04_Base_Despesas'!$B$4:$B$219, "marketing"))*(IFERROR(SUMIFS('03_Base_Vendas'!$I$4:$I$387, '03_Base_Vendas'!$A$4:$A$387, V$33, '03_Base_Vendas'!$C$4:$C$387, "maquiagem")/SUMIFS('03_Base_Vendas'!$I$4:$I$387, '03_Base_Vendas'!$A$4:$A$387, V$33),0))</f>
        <v>1808.4736201047333</v>
      </c>
      <c r="W43" s="42">
        <f>(SUMIFS('04_Base_Despesas'!$D$4:$D$219, '04_Base_Despesas'!$A$4:$A$219, W$33, '04_Base_Despesas'!$B$4:$B$219, "marketing"))*(IFERROR(SUMIFS('03_Base_Vendas'!$I$4:$I$387, '03_Base_Vendas'!$A$4:$A$387, W$33, '03_Base_Vendas'!$C$4:$C$387, "maquiagem")/SUMIFS('03_Base_Vendas'!$I$4:$I$387, '03_Base_Vendas'!$A$4:$A$387, W$33),0))</f>
        <v>2608.0919211312666</v>
      </c>
      <c r="X43" s="42">
        <f>(SUMIFS('04_Base_Despesas'!$D$4:$D$219, '04_Base_Despesas'!$A$4:$A$219, X$33, '04_Base_Despesas'!$B$4:$B$219, "marketing"))*(IFERROR(SUMIFS('03_Base_Vendas'!$I$4:$I$387, '03_Base_Vendas'!$A$4:$A$387, X$33, '03_Base_Vendas'!$C$4:$C$387, "maquiagem")/SUMIFS('03_Base_Vendas'!$I$4:$I$387, '03_Base_Vendas'!$A$4:$A$387, X$33),0))</f>
        <v>2293.5406122801382</v>
      </c>
      <c r="Y43" s="42">
        <f>(SUMIFS('04_Base_Despesas'!$D$4:$D$219, '04_Base_Despesas'!$A$4:$A$219, Y$33, '04_Base_Despesas'!$B$4:$B$219, "marketing"))*(IFERROR(SUMIFS('03_Base_Vendas'!$I$4:$I$387, '03_Base_Vendas'!$A$4:$A$387, Y$33, '03_Base_Vendas'!$C$4:$C$387, "maquiagem")/SUMIFS('03_Base_Vendas'!$I$4:$I$387, '03_Base_Vendas'!$A$4:$A$387, Y$33),0))</f>
        <v>2218.4532181649315</v>
      </c>
      <c r="Z43" s="43">
        <f t="shared" si="15"/>
        <v>53857.381132853683</v>
      </c>
    </row>
    <row r="44" spans="1:26" x14ac:dyDescent="0.25">
      <c r="A44" s="41" t="s">
        <v>341</v>
      </c>
      <c r="B44" s="42">
        <f>(SUMIFS('04_Base_Despesas'!$D$4:$D$219, '04_Base_Despesas'!$A$4:$A$219, B$33, '04_Base_Despesas'!$B$4:$B$219, "logistica"))*(IFERROR(SUMIFS('03_Base_Vendas'!$I$4:$I$387, '03_Base_Vendas'!$A$4:$A$387, B$33, '03_Base_Vendas'!$C$4:$C$387, "maquiagem")/SUMIFS('03_Base_Vendas'!$I$4:$I$387, '03_Base_Vendas'!$A$4:$A$387, B$33),0))</f>
        <v>1541.7718680608164</v>
      </c>
      <c r="C44" s="42">
        <f>(SUMIFS('04_Base_Despesas'!$D$4:$D$219, '04_Base_Despesas'!$A$4:$A$219, C$33, '04_Base_Despesas'!$B$4:$B$219, "logistica"))*(IFERROR(SUMIFS('03_Base_Vendas'!$I$4:$I$387, '03_Base_Vendas'!$A$4:$A$387, C$33, '03_Base_Vendas'!$C$4:$C$387, "maquiagem")/SUMIFS('03_Base_Vendas'!$I$4:$I$387, '03_Base_Vendas'!$A$4:$A$387, C$33),0))</f>
        <v>1441.0929977203386</v>
      </c>
      <c r="D44" s="42">
        <f>(SUMIFS('04_Base_Despesas'!$D$4:$D$219, '04_Base_Despesas'!$A$4:$A$219, D$33, '04_Base_Despesas'!$B$4:$B$219, "logistica"))*(IFERROR(SUMIFS('03_Base_Vendas'!$I$4:$I$387, '03_Base_Vendas'!$A$4:$A$387, D$33, '03_Base_Vendas'!$C$4:$C$387, "maquiagem")/SUMIFS('03_Base_Vendas'!$I$4:$I$387, '03_Base_Vendas'!$A$4:$A$387, D$33),0))</f>
        <v>1396.6280844684279</v>
      </c>
      <c r="E44" s="42">
        <f>(SUMIFS('04_Base_Despesas'!$D$4:$D$219, '04_Base_Despesas'!$A$4:$A$219, E$33, '04_Base_Despesas'!$B$4:$B$219, "logistica"))*(IFERROR(SUMIFS('03_Base_Vendas'!$I$4:$I$387, '03_Base_Vendas'!$A$4:$A$387, E$33, '03_Base_Vendas'!$C$4:$C$387, "maquiagem")/SUMIFS('03_Base_Vendas'!$I$4:$I$387, '03_Base_Vendas'!$A$4:$A$387, E$33),0))</f>
        <v>1511.5676115722245</v>
      </c>
      <c r="F44" s="42">
        <f>(SUMIFS('04_Base_Despesas'!$D$4:$D$219, '04_Base_Despesas'!$A$4:$A$219, F$33, '04_Base_Despesas'!$B$4:$B$219, "logistica"))*(IFERROR(SUMIFS('03_Base_Vendas'!$I$4:$I$387, '03_Base_Vendas'!$A$4:$A$387, F$33, '03_Base_Vendas'!$C$4:$C$387, "maquiagem")/SUMIFS('03_Base_Vendas'!$I$4:$I$387, '03_Base_Vendas'!$A$4:$A$387, F$33),0))</f>
        <v>1594.8387421580778</v>
      </c>
      <c r="G44" s="42">
        <f>(SUMIFS('04_Base_Despesas'!$D$4:$D$219, '04_Base_Despesas'!$A$4:$A$219, G$33, '04_Base_Despesas'!$B$4:$B$219, "logistica"))*(IFERROR(SUMIFS('03_Base_Vendas'!$I$4:$I$387, '03_Base_Vendas'!$A$4:$A$387, G$33, '03_Base_Vendas'!$C$4:$C$387, "maquiagem")/SUMIFS('03_Base_Vendas'!$I$4:$I$387, '03_Base_Vendas'!$A$4:$A$387, G$33),0))</f>
        <v>1417.6491021934066</v>
      </c>
      <c r="H44" s="42">
        <f>(SUMIFS('04_Base_Despesas'!$D$4:$D$219, '04_Base_Despesas'!$A$4:$A$219, H$33, '04_Base_Despesas'!$B$4:$B$219, "logistica"))*(IFERROR(SUMIFS('03_Base_Vendas'!$I$4:$I$387, '03_Base_Vendas'!$A$4:$A$387, H$33, '03_Base_Vendas'!$C$4:$C$387, "maquiagem")/SUMIFS('03_Base_Vendas'!$I$4:$I$387, '03_Base_Vendas'!$A$4:$A$387, H$33),0))</f>
        <v>1658.9633670232654</v>
      </c>
      <c r="I44" s="42">
        <f>(SUMIFS('04_Base_Despesas'!$D$4:$D$219, '04_Base_Despesas'!$A$4:$A$219, I$33, '04_Base_Despesas'!$B$4:$B$219, "logistica"))*(IFERROR(SUMIFS('03_Base_Vendas'!$I$4:$I$387, '03_Base_Vendas'!$A$4:$A$387, I$33, '03_Base_Vendas'!$C$4:$C$387, "maquiagem")/SUMIFS('03_Base_Vendas'!$I$4:$I$387, '03_Base_Vendas'!$A$4:$A$387, I$33),0))</f>
        <v>1705.5980481603319</v>
      </c>
      <c r="J44" s="42">
        <f>(SUMIFS('04_Base_Despesas'!$D$4:$D$219, '04_Base_Despesas'!$A$4:$A$219, J$33, '04_Base_Despesas'!$B$4:$B$219, "logistica"))*(IFERROR(SUMIFS('03_Base_Vendas'!$I$4:$I$387, '03_Base_Vendas'!$A$4:$A$387, J$33, '03_Base_Vendas'!$C$4:$C$387, "maquiagem")/SUMIFS('03_Base_Vendas'!$I$4:$I$387, '03_Base_Vendas'!$A$4:$A$387, J$33),0))</f>
        <v>1769.7290821857866</v>
      </c>
      <c r="K44" s="42">
        <f>(SUMIFS('04_Base_Despesas'!$D$4:$D$219, '04_Base_Despesas'!$A$4:$A$219, K$33, '04_Base_Despesas'!$B$4:$B$219, "logistica"))*(IFERROR(SUMIFS('03_Base_Vendas'!$I$4:$I$387, '03_Base_Vendas'!$A$4:$A$387, K$33, '03_Base_Vendas'!$C$4:$C$387, "maquiagem")/SUMIFS('03_Base_Vendas'!$I$4:$I$387, '03_Base_Vendas'!$A$4:$A$387, K$33),0))</f>
        <v>1531.4190891806472</v>
      </c>
      <c r="L44" s="42">
        <f>(SUMIFS('04_Base_Despesas'!$D$4:$D$219, '04_Base_Despesas'!$A$4:$A$219, L$33, '04_Base_Despesas'!$B$4:$B$219, "logistica"))*(IFERROR(SUMIFS('03_Base_Vendas'!$I$4:$I$387, '03_Base_Vendas'!$A$4:$A$387, L$33, '03_Base_Vendas'!$C$4:$C$387, "maquiagem")/SUMIFS('03_Base_Vendas'!$I$4:$I$387, '03_Base_Vendas'!$A$4:$A$387, L$33),0))</f>
        <v>1754.3016911175373</v>
      </c>
      <c r="M44" s="42">
        <f>(SUMIFS('04_Base_Despesas'!$D$4:$D$219, '04_Base_Despesas'!$A$4:$A$219, M$33, '04_Base_Despesas'!$B$4:$B$219, "logistica"))*(IFERROR(SUMIFS('03_Base_Vendas'!$I$4:$I$387, '03_Base_Vendas'!$A$4:$A$387, M$33, '03_Base_Vendas'!$C$4:$C$387, "maquiagem")/SUMIFS('03_Base_Vendas'!$I$4:$I$387, '03_Base_Vendas'!$A$4:$A$387, M$33),0))</f>
        <v>1579.9816643999975</v>
      </c>
      <c r="N44" s="42">
        <f>(SUMIFS('04_Base_Despesas'!$D$4:$D$219, '04_Base_Despesas'!$A$4:$A$219, N$33, '04_Base_Despesas'!$B$4:$B$219, "logistica"))*(IFERROR(SUMIFS('03_Base_Vendas'!$I$4:$I$387, '03_Base_Vendas'!$A$4:$A$387, N$33, '03_Base_Vendas'!$C$4:$C$387, "maquiagem")/SUMIFS('03_Base_Vendas'!$I$4:$I$387, '03_Base_Vendas'!$A$4:$A$387, N$33),0))</f>
        <v>1488.2595288267441</v>
      </c>
      <c r="O44" s="42">
        <f>(SUMIFS('04_Base_Despesas'!$D$4:$D$219, '04_Base_Despesas'!$A$4:$A$219, O$33, '04_Base_Despesas'!$B$4:$B$219, "logistica"))*(IFERROR(SUMIFS('03_Base_Vendas'!$I$4:$I$387, '03_Base_Vendas'!$A$4:$A$387, O$33, '03_Base_Vendas'!$C$4:$C$387, "maquiagem")/SUMIFS('03_Base_Vendas'!$I$4:$I$387, '03_Base_Vendas'!$A$4:$A$387, O$33),0))</f>
        <v>1447.1590998671843</v>
      </c>
      <c r="P44" s="42">
        <f>(SUMIFS('04_Base_Despesas'!$D$4:$D$219, '04_Base_Despesas'!$A$4:$A$219, P$33, '04_Base_Despesas'!$B$4:$B$219, "logistica"))*(IFERROR(SUMIFS('03_Base_Vendas'!$I$4:$I$387, '03_Base_Vendas'!$A$4:$A$387, P$33, '03_Base_Vendas'!$C$4:$C$387, "maquiagem")/SUMIFS('03_Base_Vendas'!$I$4:$I$387, '03_Base_Vendas'!$A$4:$A$387, P$33),0))</f>
        <v>1769.7323006599956</v>
      </c>
      <c r="Q44" s="42">
        <f>(SUMIFS('04_Base_Despesas'!$D$4:$D$219, '04_Base_Despesas'!$A$4:$A$219, Q$33, '04_Base_Despesas'!$B$4:$B$219, "logistica"))*(IFERROR(SUMIFS('03_Base_Vendas'!$I$4:$I$387, '03_Base_Vendas'!$A$4:$A$387, Q$33, '03_Base_Vendas'!$C$4:$C$387, "maquiagem")/SUMIFS('03_Base_Vendas'!$I$4:$I$387, '03_Base_Vendas'!$A$4:$A$387, Q$33),0))</f>
        <v>1461.5260532873015</v>
      </c>
      <c r="R44" s="42">
        <f>(SUMIFS('04_Base_Despesas'!$D$4:$D$219, '04_Base_Despesas'!$A$4:$A$219, R$33, '04_Base_Despesas'!$B$4:$B$219, "logistica"))*(IFERROR(SUMIFS('03_Base_Vendas'!$I$4:$I$387, '03_Base_Vendas'!$A$4:$A$387, R$33, '03_Base_Vendas'!$C$4:$C$387, "maquiagem")/SUMIFS('03_Base_Vendas'!$I$4:$I$387, '03_Base_Vendas'!$A$4:$A$387, R$33),0))</f>
        <v>1305.6412822399354</v>
      </c>
      <c r="S44" s="42">
        <f>(SUMIFS('04_Base_Despesas'!$D$4:$D$219, '04_Base_Despesas'!$A$4:$A$219, S$33, '04_Base_Despesas'!$B$4:$B$219, "logistica"))*(IFERROR(SUMIFS('03_Base_Vendas'!$I$4:$I$387, '03_Base_Vendas'!$A$4:$A$387, S$33, '03_Base_Vendas'!$C$4:$C$387, "maquiagem")/SUMIFS('03_Base_Vendas'!$I$4:$I$387, '03_Base_Vendas'!$A$4:$A$387, S$33),0))</f>
        <v>1519.4060397430303</v>
      </c>
      <c r="T44" s="42">
        <f>(SUMIFS('04_Base_Despesas'!$D$4:$D$219, '04_Base_Despesas'!$A$4:$A$219, T$33, '04_Base_Despesas'!$B$4:$B$219, "logistica"))*(IFERROR(SUMIFS('03_Base_Vendas'!$I$4:$I$387, '03_Base_Vendas'!$A$4:$A$387, T$33, '03_Base_Vendas'!$C$4:$C$387, "maquiagem")/SUMIFS('03_Base_Vendas'!$I$4:$I$387, '03_Base_Vendas'!$A$4:$A$387, T$33),0))</f>
        <v>1474.4944453895037</v>
      </c>
      <c r="U44" s="42">
        <f>(SUMIFS('04_Base_Despesas'!$D$4:$D$219, '04_Base_Despesas'!$A$4:$A$219, U$33, '04_Base_Despesas'!$B$4:$B$219, "logistica"))*(IFERROR(SUMIFS('03_Base_Vendas'!$I$4:$I$387, '03_Base_Vendas'!$A$4:$A$387, U$33, '03_Base_Vendas'!$C$4:$C$387, "maquiagem")/SUMIFS('03_Base_Vendas'!$I$4:$I$387, '03_Base_Vendas'!$A$4:$A$387, U$33),0))</f>
        <v>1456.389265863691</v>
      </c>
      <c r="V44" s="42">
        <f>(SUMIFS('04_Base_Despesas'!$D$4:$D$219, '04_Base_Despesas'!$A$4:$A$219, V$33, '04_Base_Despesas'!$B$4:$B$219, "logistica"))*(IFERROR(SUMIFS('03_Base_Vendas'!$I$4:$I$387, '03_Base_Vendas'!$A$4:$A$387, V$33, '03_Base_Vendas'!$C$4:$C$387, "maquiagem")/SUMIFS('03_Base_Vendas'!$I$4:$I$387, '03_Base_Vendas'!$A$4:$A$387, V$33),0))</f>
        <v>1388.1851394226242</v>
      </c>
      <c r="W44" s="42">
        <f>(SUMIFS('04_Base_Despesas'!$D$4:$D$219, '04_Base_Despesas'!$A$4:$A$219, W$33, '04_Base_Despesas'!$B$4:$B$219, "logistica"))*(IFERROR(SUMIFS('03_Base_Vendas'!$I$4:$I$387, '03_Base_Vendas'!$A$4:$A$387, W$33, '03_Base_Vendas'!$C$4:$C$387, "maquiagem")/SUMIFS('03_Base_Vendas'!$I$4:$I$387, '03_Base_Vendas'!$A$4:$A$387, W$33),0))</f>
        <v>1648.7488599688058</v>
      </c>
      <c r="X44" s="42">
        <f>(SUMIFS('04_Base_Despesas'!$D$4:$D$219, '04_Base_Despesas'!$A$4:$A$219, X$33, '04_Base_Despesas'!$B$4:$B$219, "logistica"))*(IFERROR(SUMIFS('03_Base_Vendas'!$I$4:$I$387, '03_Base_Vendas'!$A$4:$A$387, X$33, '03_Base_Vendas'!$C$4:$C$387, "maquiagem")/SUMIFS('03_Base_Vendas'!$I$4:$I$387, '03_Base_Vendas'!$A$4:$A$387, X$33),0))</f>
        <v>1363.7213143626254</v>
      </c>
      <c r="Y44" s="42">
        <f>(SUMIFS('04_Base_Despesas'!$D$4:$D$219, '04_Base_Despesas'!$A$4:$A$219, Y$33, '04_Base_Despesas'!$B$4:$B$219, "logistica"))*(IFERROR(SUMIFS('03_Base_Vendas'!$I$4:$I$387, '03_Base_Vendas'!$A$4:$A$387, Y$33, '03_Base_Vendas'!$C$4:$C$387, "maquiagem")/SUMIFS('03_Base_Vendas'!$I$4:$I$387, '03_Base_Vendas'!$A$4:$A$387, Y$33),0))</f>
        <v>1460.5258822030933</v>
      </c>
      <c r="Z44" s="43">
        <f t="shared" si="15"/>
        <v>36687.330560075396</v>
      </c>
    </row>
    <row r="45" spans="1:26" x14ac:dyDescent="0.25">
      <c r="A45" s="41" t="s">
        <v>342</v>
      </c>
      <c r="B45" s="42">
        <f>(SUMIFS('04_Base_Despesas'!$D$4:$D$219, '04_Base_Despesas'!$A$4:$A$219, B$33, '04_Base_Despesas'!$B$4:$B$219, "tecnologia"))*(IFERROR(SUMIFS('03_Base_Vendas'!$I$4:$I$387, '03_Base_Vendas'!$A$4:$A$387, B$33, '03_Base_Vendas'!$C$4:$C$387, "maquiagem")/SUMIFS('03_Base_Vendas'!$I$4:$I$387, '03_Base_Vendas'!$A$4:$A$387, B$33),0))</f>
        <v>1151.1154923722929</v>
      </c>
      <c r="C45" s="42">
        <f>(SUMIFS('04_Base_Despesas'!$D$4:$D$219, '04_Base_Despesas'!$A$4:$A$219, C$33, '04_Base_Despesas'!$B$4:$B$219, "tecnologia"))*(IFERROR(SUMIFS('03_Base_Vendas'!$I$4:$I$387, '03_Base_Vendas'!$A$4:$A$387, C$33, '03_Base_Vendas'!$C$4:$C$387, "maquiagem")/SUMIFS('03_Base_Vendas'!$I$4:$I$387, '03_Base_Vendas'!$A$4:$A$387, C$33),0))</f>
        <v>1040.9711730048955</v>
      </c>
      <c r="D45" s="42">
        <f>(SUMIFS('04_Base_Despesas'!$D$4:$D$219, '04_Base_Despesas'!$A$4:$A$219, D$33, '04_Base_Despesas'!$B$4:$B$219, "tecnologia"))*(IFERROR(SUMIFS('03_Base_Vendas'!$I$4:$I$387, '03_Base_Vendas'!$A$4:$A$387, D$33, '03_Base_Vendas'!$C$4:$C$387, "maquiagem")/SUMIFS('03_Base_Vendas'!$I$4:$I$387, '03_Base_Vendas'!$A$4:$A$387, D$33),0))</f>
        <v>951.63844687045093</v>
      </c>
      <c r="E45" s="42">
        <f>(SUMIFS('04_Base_Despesas'!$D$4:$D$219, '04_Base_Despesas'!$A$4:$A$219, E$33, '04_Base_Despesas'!$B$4:$B$219, "tecnologia"))*(IFERROR(SUMIFS('03_Base_Vendas'!$I$4:$I$387, '03_Base_Vendas'!$A$4:$A$387, E$33, '03_Base_Vendas'!$C$4:$C$387, "maquiagem")/SUMIFS('03_Base_Vendas'!$I$4:$I$387, '03_Base_Vendas'!$A$4:$A$387, E$33),0))</f>
        <v>917.22518269705006</v>
      </c>
      <c r="F45" s="42">
        <f>(SUMIFS('04_Base_Despesas'!$D$4:$D$219, '04_Base_Despesas'!$A$4:$A$219, F$33, '04_Base_Despesas'!$B$4:$B$219, "tecnologia"))*(IFERROR(SUMIFS('03_Base_Vendas'!$I$4:$I$387, '03_Base_Vendas'!$A$4:$A$387, F$33, '03_Base_Vendas'!$C$4:$C$387, "maquiagem")/SUMIFS('03_Base_Vendas'!$I$4:$I$387, '03_Base_Vendas'!$A$4:$A$387, F$33),0))</f>
        <v>1065.2225580469265</v>
      </c>
      <c r="G45" s="42">
        <f>(SUMIFS('04_Base_Despesas'!$D$4:$D$219, '04_Base_Despesas'!$A$4:$A$219, G$33, '04_Base_Despesas'!$B$4:$B$219, "tecnologia"))*(IFERROR(SUMIFS('03_Base_Vendas'!$I$4:$I$387, '03_Base_Vendas'!$A$4:$A$387, G$33, '03_Base_Vendas'!$C$4:$C$387, "maquiagem")/SUMIFS('03_Base_Vendas'!$I$4:$I$387, '03_Base_Vendas'!$A$4:$A$387, G$33),0))</f>
        <v>1007.7370162742316</v>
      </c>
      <c r="H45" s="42">
        <f>(SUMIFS('04_Base_Despesas'!$D$4:$D$219, '04_Base_Despesas'!$A$4:$A$219, H$33, '04_Base_Despesas'!$B$4:$B$219, "tecnologia"))*(IFERROR(SUMIFS('03_Base_Vendas'!$I$4:$I$387, '03_Base_Vendas'!$A$4:$A$387, H$33, '03_Base_Vendas'!$C$4:$C$387, "maquiagem")/SUMIFS('03_Base_Vendas'!$I$4:$I$387, '03_Base_Vendas'!$A$4:$A$387, H$33),0))</f>
        <v>1023.272403472273</v>
      </c>
      <c r="I45" s="42">
        <f>(SUMIFS('04_Base_Despesas'!$D$4:$D$219, '04_Base_Despesas'!$A$4:$A$219, I$33, '04_Base_Despesas'!$B$4:$B$219, "tecnologia"))*(IFERROR(SUMIFS('03_Base_Vendas'!$I$4:$I$387, '03_Base_Vendas'!$A$4:$A$387, I$33, '03_Base_Vendas'!$C$4:$C$387, "maquiagem")/SUMIFS('03_Base_Vendas'!$I$4:$I$387, '03_Base_Vendas'!$A$4:$A$387, I$33),0))</f>
        <v>1077.3263840370032</v>
      </c>
      <c r="J45" s="42">
        <f>(SUMIFS('04_Base_Despesas'!$D$4:$D$219, '04_Base_Despesas'!$A$4:$A$219, J$33, '04_Base_Despesas'!$B$4:$B$219, "tecnologia"))*(IFERROR(SUMIFS('03_Base_Vendas'!$I$4:$I$387, '03_Base_Vendas'!$A$4:$A$387, J$33, '03_Base_Vendas'!$C$4:$C$387, "maquiagem")/SUMIFS('03_Base_Vendas'!$I$4:$I$387, '03_Base_Vendas'!$A$4:$A$387, J$33),0))</f>
        <v>1111.8519846862878</v>
      </c>
      <c r="K45" s="42">
        <f>(SUMIFS('04_Base_Despesas'!$D$4:$D$219, '04_Base_Despesas'!$A$4:$A$219, K$33, '04_Base_Despesas'!$B$4:$B$219, "tecnologia"))*(IFERROR(SUMIFS('03_Base_Vendas'!$I$4:$I$387, '03_Base_Vendas'!$A$4:$A$387, K$33, '03_Base_Vendas'!$C$4:$C$387, "maquiagem")/SUMIFS('03_Base_Vendas'!$I$4:$I$387, '03_Base_Vendas'!$A$4:$A$387, K$33),0))</f>
        <v>1017.8229307454561</v>
      </c>
      <c r="L45" s="42">
        <f>(SUMIFS('04_Base_Despesas'!$D$4:$D$219, '04_Base_Despesas'!$A$4:$A$219, L$33, '04_Base_Despesas'!$B$4:$B$219, "tecnologia"))*(IFERROR(SUMIFS('03_Base_Vendas'!$I$4:$I$387, '03_Base_Vendas'!$A$4:$A$387, L$33, '03_Base_Vendas'!$C$4:$C$387, "maquiagem")/SUMIFS('03_Base_Vendas'!$I$4:$I$387, '03_Base_Vendas'!$A$4:$A$387, L$33),0))</f>
        <v>1114.6665867705717</v>
      </c>
      <c r="M45" s="42">
        <f>(SUMIFS('04_Base_Despesas'!$D$4:$D$219, '04_Base_Despesas'!$A$4:$A$219, M$33, '04_Base_Despesas'!$B$4:$B$219, "tecnologia"))*(IFERROR(SUMIFS('03_Base_Vendas'!$I$4:$I$387, '03_Base_Vendas'!$A$4:$A$387, M$33, '03_Base_Vendas'!$C$4:$C$387, "maquiagem")/SUMIFS('03_Base_Vendas'!$I$4:$I$387, '03_Base_Vendas'!$A$4:$A$387, M$33),0))</f>
        <v>1041.111656883545</v>
      </c>
      <c r="N45" s="42">
        <f>(SUMIFS('04_Base_Despesas'!$D$4:$D$219, '04_Base_Despesas'!$A$4:$A$219, N$33, '04_Base_Despesas'!$B$4:$B$219, "tecnologia"))*(IFERROR(SUMIFS('03_Base_Vendas'!$I$4:$I$387, '03_Base_Vendas'!$A$4:$A$387, N$33, '03_Base_Vendas'!$C$4:$C$387, "maquiagem")/SUMIFS('03_Base_Vendas'!$I$4:$I$387, '03_Base_Vendas'!$A$4:$A$387, N$33),0))</f>
        <v>1025.359860451023</v>
      </c>
      <c r="O45" s="42">
        <f>(SUMIFS('04_Base_Despesas'!$D$4:$D$219, '04_Base_Despesas'!$A$4:$A$219, O$33, '04_Base_Despesas'!$B$4:$B$219, "tecnologia"))*(IFERROR(SUMIFS('03_Base_Vendas'!$I$4:$I$387, '03_Base_Vendas'!$A$4:$A$387, O$33, '03_Base_Vendas'!$C$4:$C$387, "maquiagem")/SUMIFS('03_Base_Vendas'!$I$4:$I$387, '03_Base_Vendas'!$A$4:$A$387, O$33),0))</f>
        <v>931.46234030411767</v>
      </c>
      <c r="P45" s="42">
        <f>(SUMIFS('04_Base_Despesas'!$D$4:$D$219, '04_Base_Despesas'!$A$4:$A$219, P$33, '04_Base_Despesas'!$B$4:$B$219, "tecnologia"))*(IFERROR(SUMIFS('03_Base_Vendas'!$I$4:$I$387, '03_Base_Vendas'!$A$4:$A$387, P$33, '03_Base_Vendas'!$C$4:$C$387, "maquiagem")/SUMIFS('03_Base_Vendas'!$I$4:$I$387, '03_Base_Vendas'!$A$4:$A$387, P$33),0))</f>
        <v>1065.6209023729532</v>
      </c>
      <c r="Q45" s="42">
        <f>(SUMIFS('04_Base_Despesas'!$D$4:$D$219, '04_Base_Despesas'!$A$4:$A$219, Q$33, '04_Base_Despesas'!$B$4:$B$219, "tecnologia"))*(IFERROR(SUMIFS('03_Base_Vendas'!$I$4:$I$387, '03_Base_Vendas'!$A$4:$A$387, Q$33, '03_Base_Vendas'!$C$4:$C$387, "maquiagem")/SUMIFS('03_Base_Vendas'!$I$4:$I$387, '03_Base_Vendas'!$A$4:$A$387, Q$33),0))</f>
        <v>1039.548909619434</v>
      </c>
      <c r="R45" s="42">
        <f>(SUMIFS('04_Base_Despesas'!$D$4:$D$219, '04_Base_Despesas'!$A$4:$A$219, R$33, '04_Base_Despesas'!$B$4:$B$219, "tecnologia"))*(IFERROR(SUMIFS('03_Base_Vendas'!$I$4:$I$387, '03_Base_Vendas'!$A$4:$A$387, R$33, '03_Base_Vendas'!$C$4:$C$387, "maquiagem")/SUMIFS('03_Base_Vendas'!$I$4:$I$387, '03_Base_Vendas'!$A$4:$A$387, R$33),0))</f>
        <v>820.64251009536588</v>
      </c>
      <c r="S45" s="42">
        <f>(SUMIFS('04_Base_Despesas'!$D$4:$D$219, '04_Base_Despesas'!$A$4:$A$219, S$33, '04_Base_Despesas'!$B$4:$B$219, "tecnologia"))*(IFERROR(SUMIFS('03_Base_Vendas'!$I$4:$I$387, '03_Base_Vendas'!$A$4:$A$387, S$33, '03_Base_Vendas'!$C$4:$C$387, "maquiagem")/SUMIFS('03_Base_Vendas'!$I$4:$I$387, '03_Base_Vendas'!$A$4:$A$387, S$33),0))</f>
        <v>1045.517015984962</v>
      </c>
      <c r="T45" s="42">
        <f>(SUMIFS('04_Base_Despesas'!$D$4:$D$219, '04_Base_Despesas'!$A$4:$A$219, T$33, '04_Base_Despesas'!$B$4:$B$219, "tecnologia"))*(IFERROR(SUMIFS('03_Base_Vendas'!$I$4:$I$387, '03_Base_Vendas'!$A$4:$A$387, T$33, '03_Base_Vendas'!$C$4:$C$387, "maquiagem")/SUMIFS('03_Base_Vendas'!$I$4:$I$387, '03_Base_Vendas'!$A$4:$A$387, T$33),0))</f>
        <v>1071.673553241701</v>
      </c>
      <c r="U45" s="42">
        <f>(SUMIFS('04_Base_Despesas'!$D$4:$D$219, '04_Base_Despesas'!$A$4:$A$219, U$33, '04_Base_Despesas'!$B$4:$B$219, "tecnologia"))*(IFERROR(SUMIFS('03_Base_Vendas'!$I$4:$I$387, '03_Base_Vendas'!$A$4:$A$387, U$33, '03_Base_Vendas'!$C$4:$C$387, "maquiagem")/SUMIFS('03_Base_Vendas'!$I$4:$I$387, '03_Base_Vendas'!$A$4:$A$387, U$33),0))</f>
        <v>1017.4144887382791</v>
      </c>
      <c r="V45" s="42">
        <f>(SUMIFS('04_Base_Despesas'!$D$4:$D$219, '04_Base_Despesas'!$A$4:$A$219, V$33, '04_Base_Despesas'!$B$4:$B$219, "tecnologia"))*(IFERROR(SUMIFS('03_Base_Vendas'!$I$4:$I$387, '03_Base_Vendas'!$A$4:$A$387, V$33, '03_Base_Vendas'!$C$4:$C$387, "maquiagem")/SUMIFS('03_Base_Vendas'!$I$4:$I$387, '03_Base_Vendas'!$A$4:$A$387, V$33),0))</f>
        <v>1028.0633898296844</v>
      </c>
      <c r="W45" s="42">
        <f>(SUMIFS('04_Base_Despesas'!$D$4:$D$219, '04_Base_Despesas'!$A$4:$A$219, W$33, '04_Base_Despesas'!$B$4:$B$219, "tecnologia"))*(IFERROR(SUMIFS('03_Base_Vendas'!$I$4:$I$387, '03_Base_Vendas'!$A$4:$A$387, W$33, '03_Base_Vendas'!$C$4:$C$387, "maquiagem")/SUMIFS('03_Base_Vendas'!$I$4:$I$387, '03_Base_Vendas'!$A$4:$A$387, W$33),0))</f>
        <v>1148.7409589826527</v>
      </c>
      <c r="X45" s="42">
        <f>(SUMIFS('04_Base_Despesas'!$D$4:$D$219, '04_Base_Despesas'!$A$4:$A$219, X$33, '04_Base_Despesas'!$B$4:$B$219, "tecnologia"))*(IFERROR(SUMIFS('03_Base_Vendas'!$I$4:$I$387, '03_Base_Vendas'!$A$4:$A$387, X$33, '03_Base_Vendas'!$C$4:$C$387, "maquiagem")/SUMIFS('03_Base_Vendas'!$I$4:$I$387, '03_Base_Vendas'!$A$4:$A$387, X$33),0))</f>
        <v>903.94401398188108</v>
      </c>
      <c r="Y45" s="42">
        <f>(SUMIFS('04_Base_Despesas'!$D$4:$D$219, '04_Base_Despesas'!$A$4:$A$219, Y$33, '04_Base_Despesas'!$B$4:$B$219, "tecnologia"))*(IFERROR(SUMIFS('03_Base_Vendas'!$I$4:$I$387, '03_Base_Vendas'!$A$4:$A$387, Y$33, '03_Base_Vendas'!$C$4:$C$387, "maquiagem")/SUMIFS('03_Base_Vendas'!$I$4:$I$387, '03_Base_Vendas'!$A$4:$A$387, Y$33),0))</f>
        <v>0</v>
      </c>
      <c r="Z45" s="43">
        <f t="shared" si="15"/>
        <v>23617.949759463037</v>
      </c>
    </row>
    <row r="46" spans="1:26" x14ac:dyDescent="0.25">
      <c r="A46" s="41" t="s">
        <v>343</v>
      </c>
      <c r="B46" s="42">
        <f>(SUMIFS('04_Base_Despesas'!$D$4:$D$219, '04_Base_Despesas'!$A$4:$A$219, B$33, '04_Base_Despesas'!$B$4:$B$219, "administrativo"))*(IFERROR(SUMIFS('03_Base_Vendas'!$I$4:$I$387, '03_Base_Vendas'!$A$4:$A$387, B$33, '03_Base_Vendas'!$C$4:$C$387, "maquiagem")/SUMIFS('03_Base_Vendas'!$I$4:$I$387, '03_Base_Vendas'!$A$4:$A$387, B$33),0))</f>
        <v>704.39343840359572</v>
      </c>
      <c r="C46" s="42">
        <f>(SUMIFS('04_Base_Despesas'!$D$4:$D$219, '04_Base_Despesas'!$A$4:$A$219, C$33, '04_Base_Despesas'!$B$4:$B$219, "administrativo"))*(IFERROR(SUMIFS('03_Base_Vendas'!$I$4:$I$387, '03_Base_Vendas'!$A$4:$A$387, C$33, '03_Base_Vendas'!$C$4:$C$387, "maquiagem")/SUMIFS('03_Base_Vendas'!$I$4:$I$387, '03_Base_Vendas'!$A$4:$A$387, C$33),0))</f>
        <v>393.28650525412655</v>
      </c>
      <c r="D46" s="42">
        <f>(SUMIFS('04_Base_Despesas'!$D$4:$D$219, '04_Base_Despesas'!$A$4:$A$219, D$33, '04_Base_Despesas'!$B$4:$B$219, "administrativo"))*(IFERROR(SUMIFS('03_Base_Vendas'!$I$4:$I$387, '03_Base_Vendas'!$A$4:$A$387, D$33, '03_Base_Vendas'!$C$4:$C$387, "maquiagem")/SUMIFS('03_Base_Vendas'!$I$4:$I$387, '03_Base_Vendas'!$A$4:$A$387, D$33),0))</f>
        <v>357.59372998873113</v>
      </c>
      <c r="E46" s="42">
        <f>(SUMIFS('04_Base_Despesas'!$D$4:$D$219, '04_Base_Despesas'!$A$4:$A$219, E$33, '04_Base_Despesas'!$B$4:$B$219, "administrativo"))*(IFERROR(SUMIFS('03_Base_Vendas'!$I$4:$I$387, '03_Base_Vendas'!$A$4:$A$387, E$33, '03_Base_Vendas'!$C$4:$C$387, "maquiagem")/SUMIFS('03_Base_Vendas'!$I$4:$I$387, '03_Base_Vendas'!$A$4:$A$387, E$33),0))</f>
        <v>634.42261136051786</v>
      </c>
      <c r="F46" s="42">
        <f>(SUMIFS('04_Base_Despesas'!$D$4:$D$219, '04_Base_Despesas'!$A$4:$A$219, F$33, '04_Base_Despesas'!$B$4:$B$219, "administrativo"))*(IFERROR(SUMIFS('03_Base_Vendas'!$I$4:$I$387, '03_Base_Vendas'!$A$4:$A$387, F$33, '03_Base_Vendas'!$C$4:$C$387, "maquiagem")/SUMIFS('03_Base_Vendas'!$I$4:$I$387, '03_Base_Vendas'!$A$4:$A$387, F$33),0))</f>
        <v>404.08727904910495</v>
      </c>
      <c r="G46" s="42">
        <f>(SUMIFS('04_Base_Despesas'!$D$4:$D$219, '04_Base_Despesas'!$A$4:$A$219, G$33, '04_Base_Despesas'!$B$4:$B$219, "administrativo"))*(IFERROR(SUMIFS('03_Base_Vendas'!$I$4:$I$387, '03_Base_Vendas'!$A$4:$A$387, G$33, '03_Base_Vendas'!$C$4:$C$387, "maquiagem")/SUMIFS('03_Base_Vendas'!$I$4:$I$387, '03_Base_Vendas'!$A$4:$A$387, G$33),0))</f>
        <v>375.99714356923045</v>
      </c>
      <c r="H46" s="42">
        <f>(SUMIFS('04_Base_Despesas'!$D$4:$D$219, '04_Base_Despesas'!$A$4:$A$219, H$33, '04_Base_Despesas'!$B$4:$B$219, "administrativo"))*(IFERROR(SUMIFS('03_Base_Vendas'!$I$4:$I$387, '03_Base_Vendas'!$A$4:$A$387, H$33, '03_Base_Vendas'!$C$4:$C$387, "maquiagem")/SUMIFS('03_Base_Vendas'!$I$4:$I$387, '03_Base_Vendas'!$A$4:$A$387, H$33),0))</f>
        <v>656.93405842236814</v>
      </c>
      <c r="I46" s="42">
        <f>(SUMIFS('04_Base_Despesas'!$D$4:$D$219, '04_Base_Despesas'!$A$4:$A$219, I$33, '04_Base_Despesas'!$B$4:$B$219, "administrativo"))*(IFERROR(SUMIFS('03_Base_Vendas'!$I$4:$I$387, '03_Base_Vendas'!$A$4:$A$387, I$33, '03_Base_Vendas'!$C$4:$C$387, "maquiagem")/SUMIFS('03_Base_Vendas'!$I$4:$I$387, '03_Base_Vendas'!$A$4:$A$387, I$33),0))</f>
        <v>396.38190663269552</v>
      </c>
      <c r="J46" s="42">
        <f>(SUMIFS('04_Base_Despesas'!$D$4:$D$219, '04_Base_Despesas'!$A$4:$A$219, J$33, '04_Base_Despesas'!$B$4:$B$219, "administrativo"))*(IFERROR(SUMIFS('03_Base_Vendas'!$I$4:$I$387, '03_Base_Vendas'!$A$4:$A$387, J$33, '03_Base_Vendas'!$C$4:$C$387, "maquiagem")/SUMIFS('03_Base_Vendas'!$I$4:$I$387, '03_Base_Vendas'!$A$4:$A$387, J$33),0))</f>
        <v>409.84875438965042</v>
      </c>
      <c r="K46" s="42">
        <f>(SUMIFS('04_Base_Despesas'!$D$4:$D$219, '04_Base_Despesas'!$A$4:$A$219, K$33, '04_Base_Despesas'!$B$4:$B$219, "administrativo"))*(IFERROR(SUMIFS('03_Base_Vendas'!$I$4:$I$387, '03_Base_Vendas'!$A$4:$A$387, K$33, '03_Base_Vendas'!$C$4:$C$387, "maquiagem")/SUMIFS('03_Base_Vendas'!$I$4:$I$387, '03_Base_Vendas'!$A$4:$A$387, K$33),0))</f>
        <v>682.84555601180716</v>
      </c>
      <c r="L46" s="42">
        <f>(SUMIFS('04_Base_Despesas'!$D$4:$D$219, '04_Base_Despesas'!$A$4:$A$219, L$33, '04_Base_Despesas'!$B$4:$B$219, "administrativo"))*(IFERROR(SUMIFS('03_Base_Vendas'!$I$4:$I$387, '03_Base_Vendas'!$A$4:$A$387, L$33, '03_Base_Vendas'!$C$4:$C$387, "maquiagem")/SUMIFS('03_Base_Vendas'!$I$4:$I$387, '03_Base_Vendas'!$A$4:$A$387, L$33),0))</f>
        <v>427.73741222834263</v>
      </c>
      <c r="M46" s="42">
        <f>(SUMIFS('04_Base_Despesas'!$D$4:$D$219, '04_Base_Despesas'!$A$4:$A$219, M$33, '04_Base_Despesas'!$B$4:$B$219, "administrativo"))*(IFERROR(SUMIFS('03_Base_Vendas'!$I$4:$I$387, '03_Base_Vendas'!$A$4:$A$387, M$33, '03_Base_Vendas'!$C$4:$C$387, "maquiagem")/SUMIFS('03_Base_Vendas'!$I$4:$I$387, '03_Base_Vendas'!$A$4:$A$387, M$33),0))</f>
        <v>398.25553591701612</v>
      </c>
      <c r="N46" s="42">
        <f>(SUMIFS('04_Base_Despesas'!$D$4:$D$219, '04_Base_Despesas'!$A$4:$A$219, N$33, '04_Base_Despesas'!$B$4:$B$219, "administrativo"))*(IFERROR(SUMIFS('03_Base_Vendas'!$I$4:$I$387, '03_Base_Vendas'!$A$4:$A$387, N$33, '03_Base_Vendas'!$C$4:$C$387, "maquiagem")/SUMIFS('03_Base_Vendas'!$I$4:$I$387, '03_Base_Vendas'!$A$4:$A$387, N$33),0))</f>
        <v>715.87372230013057</v>
      </c>
      <c r="O46" s="42">
        <f>(SUMIFS('04_Base_Despesas'!$D$4:$D$219, '04_Base_Despesas'!$A$4:$A$219, O$33, '04_Base_Despesas'!$B$4:$B$219, "administrativo"))*(IFERROR(SUMIFS('03_Base_Vendas'!$I$4:$I$387, '03_Base_Vendas'!$A$4:$A$387, O$33, '03_Base_Vendas'!$C$4:$C$387, "maquiagem")/SUMIFS('03_Base_Vendas'!$I$4:$I$387, '03_Base_Vendas'!$A$4:$A$387, O$33),0))</f>
        <v>348.25882087550377</v>
      </c>
      <c r="P46" s="42">
        <f>(SUMIFS('04_Base_Despesas'!$D$4:$D$219, '04_Base_Despesas'!$A$4:$A$219, P$33, '04_Base_Despesas'!$B$4:$B$219, "administrativo"))*(IFERROR(SUMIFS('03_Base_Vendas'!$I$4:$I$387, '03_Base_Vendas'!$A$4:$A$387, P$33, '03_Base_Vendas'!$C$4:$C$387, "maquiagem")/SUMIFS('03_Base_Vendas'!$I$4:$I$387, '03_Base_Vendas'!$A$4:$A$387, P$33),0))</f>
        <v>396.51895572476155</v>
      </c>
      <c r="Q46" s="42">
        <f>(SUMIFS('04_Base_Despesas'!$D$4:$D$219, '04_Base_Despesas'!$A$4:$A$219, Q$33, '04_Base_Despesas'!$B$4:$B$219, "administrativo"))*(IFERROR(SUMIFS('03_Base_Vendas'!$I$4:$I$387, '03_Base_Vendas'!$A$4:$A$387, Q$33, '03_Base_Vendas'!$C$4:$C$387, "maquiagem")/SUMIFS('03_Base_Vendas'!$I$4:$I$387, '03_Base_Vendas'!$A$4:$A$387, Q$33),0))</f>
        <v>693.67640685659694</v>
      </c>
      <c r="R46" s="42">
        <f>(SUMIFS('04_Base_Despesas'!$D$4:$D$219, '04_Base_Despesas'!$A$4:$A$219, R$33, '04_Base_Despesas'!$B$4:$B$219, "administrativo"))*(IFERROR(SUMIFS('03_Base_Vendas'!$I$4:$I$387, '03_Base_Vendas'!$A$4:$A$387, R$33, '03_Base_Vendas'!$C$4:$C$387, "maquiagem")/SUMIFS('03_Base_Vendas'!$I$4:$I$387, '03_Base_Vendas'!$A$4:$A$387, R$33),0))</f>
        <v>310.88823088023668</v>
      </c>
      <c r="S46" s="42">
        <f>(SUMIFS('04_Base_Despesas'!$D$4:$D$219, '04_Base_Despesas'!$A$4:$A$219, S$33, '04_Base_Despesas'!$B$4:$B$219, "administrativo"))*(IFERROR(SUMIFS('03_Base_Vendas'!$I$4:$I$387, '03_Base_Vendas'!$A$4:$A$387, S$33, '03_Base_Vendas'!$C$4:$C$387, "maquiagem")/SUMIFS('03_Base_Vendas'!$I$4:$I$387, '03_Base_Vendas'!$A$4:$A$387, S$33),0))</f>
        <v>389.50224567991165</v>
      </c>
      <c r="T46" s="42">
        <f>(SUMIFS('04_Base_Despesas'!$D$4:$D$219, '04_Base_Despesas'!$A$4:$A$219, T$33, '04_Base_Despesas'!$B$4:$B$219, "administrativo"))*(IFERROR(SUMIFS('03_Base_Vendas'!$I$4:$I$387, '03_Base_Vendas'!$A$4:$A$387, T$33, '03_Base_Vendas'!$C$4:$C$387, "maquiagem")/SUMIFS('03_Base_Vendas'!$I$4:$I$387, '03_Base_Vendas'!$A$4:$A$387, T$33),0))</f>
        <v>653.50548922187158</v>
      </c>
      <c r="U46" s="42">
        <f>(SUMIFS('04_Base_Despesas'!$D$4:$D$219, '04_Base_Despesas'!$A$4:$A$219, U$33, '04_Base_Despesas'!$B$4:$B$219, "administrativo"))*(IFERROR(SUMIFS('03_Base_Vendas'!$I$4:$I$387, '03_Base_Vendas'!$A$4:$A$387, U$33, '03_Base_Vendas'!$C$4:$C$387, "maquiagem")/SUMIFS('03_Base_Vendas'!$I$4:$I$387, '03_Base_Vendas'!$A$4:$A$387, U$33),0))</f>
        <v>370.19667691477048</v>
      </c>
      <c r="V46" s="42">
        <f>(SUMIFS('04_Base_Despesas'!$D$4:$D$219, '04_Base_Despesas'!$A$4:$A$219, V$33, '04_Base_Despesas'!$B$4:$B$219, "administrativo"))*(IFERROR(SUMIFS('03_Base_Vendas'!$I$4:$I$387, '03_Base_Vendas'!$A$4:$A$387, V$33, '03_Base_Vendas'!$C$4:$C$387, "maquiagem")/SUMIFS('03_Base_Vendas'!$I$4:$I$387, '03_Base_Vendas'!$A$4:$A$387, V$33),0))</f>
        <v>382.68159498021356</v>
      </c>
      <c r="W46" s="42">
        <f>(SUMIFS('04_Base_Despesas'!$D$4:$D$219, '04_Base_Despesas'!$A$4:$A$219, W$33, '04_Base_Despesas'!$B$4:$B$219, "administrativo"))*(IFERROR(SUMIFS('03_Base_Vendas'!$I$4:$I$387, '03_Base_Vendas'!$A$4:$A$387, W$33, '03_Base_Vendas'!$C$4:$C$387, "maquiagem")/SUMIFS('03_Base_Vendas'!$I$4:$I$387, '03_Base_Vendas'!$A$4:$A$387, W$33),0))</f>
        <v>771.04065578944017</v>
      </c>
      <c r="X46" s="42">
        <f>(SUMIFS('04_Base_Despesas'!$D$4:$D$219, '04_Base_Despesas'!$A$4:$A$219, X$33, '04_Base_Despesas'!$B$4:$B$219, "administrativo"))*(IFERROR(SUMIFS('03_Base_Vendas'!$I$4:$I$387, '03_Base_Vendas'!$A$4:$A$387, X$33, '03_Base_Vendas'!$C$4:$C$387, "maquiagem")/SUMIFS('03_Base_Vendas'!$I$4:$I$387, '03_Base_Vendas'!$A$4:$A$387, X$33),0))</f>
        <v>334.70383318197213</v>
      </c>
      <c r="Y46" s="42">
        <f>(SUMIFS('04_Base_Despesas'!$D$4:$D$219, '04_Base_Despesas'!$A$4:$A$219, Y$33, '04_Base_Despesas'!$B$4:$B$219, "administrativo"))*(IFERROR(SUMIFS('03_Base_Vendas'!$I$4:$I$387, '03_Base_Vendas'!$A$4:$A$387, Y$33, '03_Base_Vendas'!$C$4:$C$387, "maquiagem")/SUMIFS('03_Base_Vendas'!$I$4:$I$387, '03_Base_Vendas'!$A$4:$A$387, Y$33),0))</f>
        <v>392.48070340622962</v>
      </c>
      <c r="Z46" s="43">
        <f t="shared" si="15"/>
        <v>11601.111267038828</v>
      </c>
    </row>
    <row r="47" spans="1:26" x14ac:dyDescent="0.25">
      <c r="A47" s="41" t="s">
        <v>344</v>
      </c>
      <c r="B47" s="42">
        <f>(SUMIFS('04_Base_Despesas'!$D$4:$D$219, '04_Base_Despesas'!$A$4:$A$219, B$33, '04_Base_Despesas'!$B$4:$B$219, "outros"))*(IFERROR(SUMIFS('03_Base_Vendas'!$I$4:$I$387, '03_Base_Vendas'!$A$4:$A$387, B$33, '03_Base_Vendas'!$C$4:$C$387, "maquiagem")/SUMIFS('03_Base_Vendas'!$I$4:$I$387, '03_Base_Vendas'!$A$4:$A$387, B$33),0))</f>
        <v>135.66947887628592</v>
      </c>
      <c r="C47" s="42">
        <f>(SUMIFS('04_Base_Despesas'!$D$4:$D$219, '04_Base_Despesas'!$A$4:$A$219, C$33, '04_Base_Despesas'!$B$4:$B$219, "outros"))*(IFERROR(SUMIFS('03_Base_Vendas'!$I$4:$I$387, '03_Base_Vendas'!$A$4:$A$387, C$33, '03_Base_Vendas'!$C$4:$C$387, "maquiagem")/SUMIFS('03_Base_Vendas'!$I$4:$I$387, '03_Base_Vendas'!$A$4:$A$387, C$33),0))</f>
        <v>138.22762142865736</v>
      </c>
      <c r="D47" s="42">
        <f>(SUMIFS('04_Base_Despesas'!$D$4:$D$219, '04_Base_Despesas'!$A$4:$A$219, D$33, '04_Base_Despesas'!$B$4:$B$219, "outros"))*(IFERROR(SUMIFS('03_Base_Vendas'!$I$4:$I$387, '03_Base_Vendas'!$A$4:$A$387, D$33, '03_Base_Vendas'!$C$4:$C$387, "maquiagem")/SUMIFS('03_Base_Vendas'!$I$4:$I$387, '03_Base_Vendas'!$A$4:$A$387, D$33),0))</f>
        <v>123.70025345262182</v>
      </c>
      <c r="E47" s="42">
        <f>(SUMIFS('04_Base_Despesas'!$D$4:$D$219, '04_Base_Despesas'!$A$4:$A$219, E$33, '04_Base_Despesas'!$B$4:$B$219, "outros"))*(IFERROR(SUMIFS('03_Base_Vendas'!$I$4:$I$387, '03_Base_Vendas'!$A$4:$A$387, E$33, '03_Base_Vendas'!$C$4:$C$387, "maquiagem")/SUMIFS('03_Base_Vendas'!$I$4:$I$387, '03_Base_Vendas'!$A$4:$A$387, E$33),0))</f>
        <v>95.853598868685836</v>
      </c>
      <c r="F47" s="42">
        <f>(SUMIFS('04_Base_Despesas'!$D$4:$D$219, '04_Base_Despesas'!$A$4:$A$219, F$33, '04_Base_Despesas'!$B$4:$B$219, "outros"))*(IFERROR(SUMIFS('03_Base_Vendas'!$I$4:$I$387, '03_Base_Vendas'!$A$4:$A$387, F$33, '03_Base_Vendas'!$C$4:$C$387, "maquiagem")/SUMIFS('03_Base_Vendas'!$I$4:$I$387, '03_Base_Vendas'!$A$4:$A$387, F$33),0))</f>
        <v>125.06016381834939</v>
      </c>
      <c r="G47" s="42">
        <f>(SUMIFS('04_Base_Despesas'!$D$4:$D$219, '04_Base_Despesas'!$A$4:$A$219, G$33, '04_Base_Despesas'!$B$4:$B$219, "outros"))*(IFERROR(SUMIFS('03_Base_Vendas'!$I$4:$I$387, '03_Base_Vendas'!$A$4:$A$387, G$33, '03_Base_Vendas'!$C$4:$C$387, "maquiagem")/SUMIFS('03_Base_Vendas'!$I$4:$I$387, '03_Base_Vendas'!$A$4:$A$387, G$33),0))</f>
        <v>115.9304472824137</v>
      </c>
      <c r="H47" s="42">
        <f>(SUMIFS('04_Base_Despesas'!$D$4:$D$219, '04_Base_Despesas'!$A$4:$A$219, H$33, '04_Base_Despesas'!$B$4:$B$219, "outros"))*(IFERROR(SUMIFS('03_Base_Vendas'!$I$4:$I$387, '03_Base_Vendas'!$A$4:$A$387, H$33, '03_Base_Vendas'!$C$4:$C$387, "maquiagem")/SUMIFS('03_Base_Vendas'!$I$4:$I$387, '03_Base_Vendas'!$A$4:$A$387, H$33),0))</f>
        <v>152.0877071448655</v>
      </c>
      <c r="I47" s="42">
        <f>(SUMIFS('04_Base_Despesas'!$D$4:$D$219, '04_Base_Despesas'!$A$4:$A$219, I$33, '04_Base_Despesas'!$B$4:$B$219, "outros"))*(IFERROR(SUMIFS('03_Base_Vendas'!$I$4:$I$387, '03_Base_Vendas'!$A$4:$A$387, I$33, '03_Base_Vendas'!$C$4:$C$387, "maquiagem")/SUMIFS('03_Base_Vendas'!$I$4:$I$387, '03_Base_Vendas'!$A$4:$A$387, I$33),0))</f>
        <v>138.54498953388628</v>
      </c>
      <c r="J47" s="42">
        <f>(SUMIFS('04_Base_Despesas'!$D$4:$D$219, '04_Base_Despesas'!$A$4:$A$219, J$33, '04_Base_Despesas'!$B$4:$B$219, "outros"))*(IFERROR(SUMIFS('03_Base_Vendas'!$I$4:$I$387, '03_Base_Vendas'!$A$4:$A$387, J$33, '03_Base_Vendas'!$C$4:$C$387, "maquiagem")/SUMIFS('03_Base_Vendas'!$I$4:$I$387, '03_Base_Vendas'!$A$4:$A$387, J$33),0))</f>
        <v>172.18634743956969</v>
      </c>
      <c r="K47" s="42">
        <f>(SUMIFS('04_Base_Despesas'!$D$4:$D$219, '04_Base_Despesas'!$A$4:$A$219, K$33, '04_Base_Despesas'!$B$4:$B$219, "outros"))*(IFERROR(SUMIFS('03_Base_Vendas'!$I$4:$I$387, '03_Base_Vendas'!$A$4:$A$387, K$33, '03_Base_Vendas'!$C$4:$C$387, "maquiagem")/SUMIFS('03_Base_Vendas'!$I$4:$I$387, '03_Base_Vendas'!$A$4:$A$387, K$33),0))</f>
        <v>170.35999940125404</v>
      </c>
      <c r="L47" s="42">
        <f>(SUMIFS('04_Base_Despesas'!$D$4:$D$219, '04_Base_Despesas'!$A$4:$A$219, L$33, '04_Base_Despesas'!$B$4:$B$219, "outros"))*(IFERROR(SUMIFS('03_Base_Vendas'!$I$4:$I$387, '03_Base_Vendas'!$A$4:$A$387, L$33, '03_Base_Vendas'!$C$4:$C$387, "maquiagem")/SUMIFS('03_Base_Vendas'!$I$4:$I$387, '03_Base_Vendas'!$A$4:$A$387, L$33),0))</f>
        <v>136.38835126312932</v>
      </c>
      <c r="M47" s="42">
        <f>(SUMIFS('04_Base_Despesas'!$D$4:$D$219, '04_Base_Despesas'!$A$4:$A$219, M$33, '04_Base_Despesas'!$B$4:$B$219, "outros"))*(IFERROR(SUMIFS('03_Base_Vendas'!$I$4:$I$387, '03_Base_Vendas'!$A$4:$A$387, M$33, '03_Base_Vendas'!$C$4:$C$387, "maquiagem")/SUMIFS('03_Base_Vendas'!$I$4:$I$387, '03_Base_Vendas'!$A$4:$A$387, M$33),0))</f>
        <v>122.20550770720823</v>
      </c>
      <c r="N47" s="42">
        <f>(SUMIFS('04_Base_Despesas'!$D$4:$D$219, '04_Base_Despesas'!$A$4:$A$219, N$33, '04_Base_Despesas'!$B$4:$B$219, "outros"))*(IFERROR(SUMIFS('03_Base_Vendas'!$I$4:$I$387, '03_Base_Vendas'!$A$4:$A$387, N$33, '03_Base_Vendas'!$C$4:$C$387, "maquiagem")/SUMIFS('03_Base_Vendas'!$I$4:$I$387, '03_Base_Vendas'!$A$4:$A$387, N$33),0))</f>
        <v>92.767374279512765</v>
      </c>
      <c r="O47" s="42">
        <f>(SUMIFS('04_Base_Despesas'!$D$4:$D$219, '04_Base_Despesas'!$A$4:$A$219, O$33, '04_Base_Despesas'!$B$4:$B$219, "outros"))*(IFERROR(SUMIFS('03_Base_Vendas'!$I$4:$I$387, '03_Base_Vendas'!$A$4:$A$387, O$33, '03_Base_Vendas'!$C$4:$C$387, "maquiagem")/SUMIFS('03_Base_Vendas'!$I$4:$I$387, '03_Base_Vendas'!$A$4:$A$387, O$33),0))</f>
        <v>88.159983591642899</v>
      </c>
      <c r="P47" s="42">
        <f>(SUMIFS('04_Base_Despesas'!$D$4:$D$219, '04_Base_Despesas'!$A$4:$A$219, P$33, '04_Base_Despesas'!$B$4:$B$219, "outros"))*(IFERROR(SUMIFS('03_Base_Vendas'!$I$4:$I$387, '03_Base_Vendas'!$A$4:$A$387, P$33, '03_Base_Vendas'!$C$4:$C$387, "maquiagem")/SUMIFS('03_Base_Vendas'!$I$4:$I$387, '03_Base_Vendas'!$A$4:$A$387, P$33),0))</f>
        <v>146.26949846357294</v>
      </c>
      <c r="Q47" s="42">
        <f>(SUMIFS('04_Base_Despesas'!$D$4:$D$219, '04_Base_Despesas'!$A$4:$A$219, Q$33, '04_Base_Despesas'!$B$4:$B$219, "outros"))*(IFERROR(SUMIFS('03_Base_Vendas'!$I$4:$I$387, '03_Base_Vendas'!$A$4:$A$387, Q$33, '03_Base_Vendas'!$C$4:$C$387, "maquiagem")/SUMIFS('03_Base_Vendas'!$I$4:$I$387, '03_Base_Vendas'!$A$4:$A$387, Q$33),0))</f>
        <v>136.51974119075081</v>
      </c>
      <c r="R47" s="42">
        <f>(SUMIFS('04_Base_Despesas'!$D$4:$D$219, '04_Base_Despesas'!$A$4:$A$219, R$33, '04_Base_Despesas'!$B$4:$B$219, "outros"))*(IFERROR(SUMIFS('03_Base_Vendas'!$I$4:$I$387, '03_Base_Vendas'!$A$4:$A$387, R$33, '03_Base_Vendas'!$C$4:$C$387, "maquiagem")/SUMIFS('03_Base_Vendas'!$I$4:$I$387, '03_Base_Vendas'!$A$4:$A$387, R$33),0))</f>
        <v>107.39614716570466</v>
      </c>
      <c r="S47" s="42">
        <f>(SUMIFS('04_Base_Despesas'!$D$4:$D$219, '04_Base_Despesas'!$A$4:$A$219, S$33, '04_Base_Despesas'!$B$4:$B$219, "outros"))*(IFERROR(SUMIFS('03_Base_Vendas'!$I$4:$I$387, '03_Base_Vendas'!$A$4:$A$387, S$33, '03_Base_Vendas'!$C$4:$C$387, "maquiagem")/SUMIFS('03_Base_Vendas'!$I$4:$I$387, '03_Base_Vendas'!$A$4:$A$387, S$33),0))</f>
        <v>155.79528941719147</v>
      </c>
      <c r="T47" s="42">
        <f>(SUMIFS('04_Base_Despesas'!$D$4:$D$219, '04_Base_Despesas'!$A$4:$A$219, T$33, '04_Base_Despesas'!$B$4:$B$219, "outros"))*(IFERROR(SUMIFS('03_Base_Vendas'!$I$4:$I$387, '03_Base_Vendas'!$A$4:$A$387, T$33, '03_Base_Vendas'!$C$4:$C$387, "maquiagem")/SUMIFS('03_Base_Vendas'!$I$4:$I$387, '03_Base_Vendas'!$A$4:$A$387, T$33),0))</f>
        <v>128.44390234123287</v>
      </c>
      <c r="U47" s="42">
        <f>(SUMIFS('04_Base_Despesas'!$D$4:$D$219, '04_Base_Despesas'!$A$4:$A$219, U$33, '04_Base_Despesas'!$B$4:$B$219, "outros"))*(IFERROR(SUMIFS('03_Base_Vendas'!$I$4:$I$387, '03_Base_Vendas'!$A$4:$A$387, U$33, '03_Base_Vendas'!$C$4:$C$387, "maquiagem")/SUMIFS('03_Base_Vendas'!$I$4:$I$387, '03_Base_Vendas'!$A$4:$A$387, U$33),0))</f>
        <v>156.6983301911917</v>
      </c>
      <c r="V47" s="42">
        <f>(SUMIFS('04_Base_Despesas'!$D$4:$D$219, '04_Base_Despesas'!$A$4:$A$219, V$33, '04_Base_Despesas'!$B$4:$B$219, "outros"))*(IFERROR(SUMIFS('03_Base_Vendas'!$I$4:$I$387, '03_Base_Vendas'!$A$4:$A$387, V$33, '03_Base_Vendas'!$C$4:$C$387, "maquiagem")/SUMIFS('03_Base_Vendas'!$I$4:$I$387, '03_Base_Vendas'!$A$4:$A$387, V$33),0))</f>
        <v>137.23574286542427</v>
      </c>
      <c r="W47" s="42">
        <f>(SUMIFS('04_Base_Despesas'!$D$4:$D$219, '04_Base_Despesas'!$A$4:$A$219, W$33, '04_Base_Despesas'!$B$4:$B$219, "outros"))*(IFERROR(SUMIFS('03_Base_Vendas'!$I$4:$I$387, '03_Base_Vendas'!$A$4:$A$387, W$33, '03_Base_Vendas'!$C$4:$C$387, "maquiagem")/SUMIFS('03_Base_Vendas'!$I$4:$I$387, '03_Base_Vendas'!$A$4:$A$387, W$33),0))</f>
        <v>146.82526995180834</v>
      </c>
      <c r="X47" s="42">
        <f>(SUMIFS('04_Base_Despesas'!$D$4:$D$219, '04_Base_Despesas'!$A$4:$A$219, X$33, '04_Base_Despesas'!$B$4:$B$219, "outros"))*(IFERROR(SUMIFS('03_Base_Vendas'!$I$4:$I$387, '03_Base_Vendas'!$A$4:$A$387, X$33, '03_Base_Vendas'!$C$4:$C$387, "maquiagem")/SUMIFS('03_Base_Vendas'!$I$4:$I$387, '03_Base_Vendas'!$A$4:$A$387, X$33),0))</f>
        <v>119.14519290545297</v>
      </c>
      <c r="Y47" s="42">
        <f>(SUMIFS('04_Base_Despesas'!$D$4:$D$219, '04_Base_Despesas'!$A$4:$A$219, Y$33, '04_Base_Despesas'!$B$4:$B$219, "outros"))*(IFERROR(SUMIFS('03_Base_Vendas'!$I$4:$I$387, '03_Base_Vendas'!$A$4:$A$387, Y$33, '03_Base_Vendas'!$C$4:$C$387, "maquiagem")/SUMIFS('03_Base_Vendas'!$I$4:$I$387, '03_Base_Vendas'!$A$4:$A$387, Y$33),0))</f>
        <v>101.8047846951351</v>
      </c>
      <c r="Z47" s="43">
        <f t="shared" si="15"/>
        <v>3143.2757232755475</v>
      </c>
    </row>
    <row r="48" spans="1:26" x14ac:dyDescent="0.25">
      <c r="A48" s="44" t="s">
        <v>345</v>
      </c>
      <c r="B48" s="45">
        <f t="shared" ref="B48:Y48" si="16">B41+B42+B43+B44+B45+B46+B47</f>
        <v>16903.740289113306</v>
      </c>
      <c r="C48" s="45">
        <f t="shared" si="16"/>
        <v>14619.046183761722</v>
      </c>
      <c r="D48" s="45">
        <f t="shared" si="16"/>
        <v>12930.271733160289</v>
      </c>
      <c r="E48" s="45">
        <f t="shared" si="16"/>
        <v>13090.8577605221</v>
      </c>
      <c r="F48" s="45">
        <f t="shared" si="16"/>
        <v>15891.679429188142</v>
      </c>
      <c r="G48" s="45">
        <f t="shared" si="16"/>
        <v>14619.945061036764</v>
      </c>
      <c r="H48" s="45">
        <f t="shared" si="16"/>
        <v>14510.028601767075</v>
      </c>
      <c r="I48" s="45">
        <f t="shared" si="16"/>
        <v>15091.02182429508</v>
      </c>
      <c r="J48" s="45">
        <f t="shared" si="16"/>
        <v>15899.318129335137</v>
      </c>
      <c r="K48" s="45">
        <f t="shared" si="16"/>
        <v>14911.010826971995</v>
      </c>
      <c r="L48" s="45">
        <f t="shared" si="16"/>
        <v>16474.061766174822</v>
      </c>
      <c r="M48" s="45">
        <f t="shared" si="16"/>
        <v>15821.381384758814</v>
      </c>
      <c r="N48" s="45">
        <f t="shared" si="16"/>
        <v>15300.845724089128</v>
      </c>
      <c r="O48" s="45">
        <f t="shared" si="16"/>
        <v>13027.832311533337</v>
      </c>
      <c r="P48" s="45">
        <f t="shared" si="16"/>
        <v>15686.694337806406</v>
      </c>
      <c r="Q48" s="45">
        <f t="shared" si="16"/>
        <v>14707.669110493809</v>
      </c>
      <c r="R48" s="45">
        <f t="shared" si="16"/>
        <v>12820.599425364335</v>
      </c>
      <c r="S48" s="45">
        <f t="shared" si="16"/>
        <v>14788.900098841847</v>
      </c>
      <c r="T48" s="45">
        <f t="shared" si="16"/>
        <v>14906.461668544536</v>
      </c>
      <c r="U48" s="45">
        <f t="shared" si="16"/>
        <v>13912.841090027272</v>
      </c>
      <c r="V48" s="45">
        <f t="shared" si="16"/>
        <v>14041.777094221232</v>
      </c>
      <c r="W48" s="45">
        <f t="shared" si="16"/>
        <v>16784.265426999878</v>
      </c>
      <c r="X48" s="45">
        <f t="shared" si="16"/>
        <v>13146.34051832757</v>
      </c>
      <c r="Y48" s="45">
        <f t="shared" si="16"/>
        <v>13688.461577021508</v>
      </c>
      <c r="Z48" s="43">
        <f t="shared" si="15"/>
        <v>353575.05137335602</v>
      </c>
    </row>
    <row r="49" spans="1:26" x14ac:dyDescent="0.25">
      <c r="A49" s="44" t="s">
        <v>115</v>
      </c>
      <c r="B49" s="45">
        <f t="shared" ref="B49:Y49" si="17">B39-B48</f>
        <v>-5066.8002891133001</v>
      </c>
      <c r="C49" s="45">
        <f t="shared" si="17"/>
        <v>-5651.4061837617191</v>
      </c>
      <c r="D49" s="45">
        <f t="shared" si="17"/>
        <v>-3719.0417331602875</v>
      </c>
      <c r="E49" s="45">
        <f t="shared" si="17"/>
        <v>-4185.0377605220983</v>
      </c>
      <c r="F49" s="45">
        <f t="shared" si="17"/>
        <v>-1334.2394291881465</v>
      </c>
      <c r="G49" s="45">
        <f t="shared" si="17"/>
        <v>-3034.3350610367634</v>
      </c>
      <c r="H49" s="45">
        <f t="shared" si="17"/>
        <v>-5750.0886017670728</v>
      </c>
      <c r="I49" s="45">
        <f t="shared" si="17"/>
        <v>-5957.6018242950813</v>
      </c>
      <c r="J49" s="45">
        <f t="shared" si="17"/>
        <v>-5547.2581293351395</v>
      </c>
      <c r="K49" s="45">
        <f t="shared" si="17"/>
        <v>-5601.8208269719962</v>
      </c>
      <c r="L49" s="45">
        <f t="shared" si="17"/>
        <v>-441.95176617482139</v>
      </c>
      <c r="M49" s="45">
        <f t="shared" si="17"/>
        <v>-1740.6613847588123</v>
      </c>
      <c r="N49" s="45">
        <f t="shared" si="17"/>
        <v>-2722.305724089123</v>
      </c>
      <c r="O49" s="45">
        <f t="shared" si="17"/>
        <v>-3917.5623115333401</v>
      </c>
      <c r="P49" s="45">
        <f t="shared" si="17"/>
        <v>-3450.0443378064047</v>
      </c>
      <c r="Q49" s="45">
        <f t="shared" si="17"/>
        <v>-4476.599110493813</v>
      </c>
      <c r="R49" s="45">
        <f t="shared" si="17"/>
        <v>-1194.9894253643361</v>
      </c>
      <c r="S49" s="45">
        <f t="shared" si="17"/>
        <v>-2576.3800988418461</v>
      </c>
      <c r="T49" s="45">
        <f t="shared" si="17"/>
        <v>-4274.0416685445343</v>
      </c>
      <c r="U49" s="45">
        <f t="shared" si="17"/>
        <v>-3594.3610900272743</v>
      </c>
      <c r="V49" s="45">
        <f t="shared" si="17"/>
        <v>-3379.1670942212313</v>
      </c>
      <c r="W49" s="45">
        <f t="shared" si="17"/>
        <v>-3306.2054269998771</v>
      </c>
      <c r="X49" s="45">
        <f t="shared" si="17"/>
        <v>1678.3494816724287</v>
      </c>
      <c r="Y49" s="45">
        <f t="shared" si="17"/>
        <v>-222.20157702150209</v>
      </c>
      <c r="Z49" s="43">
        <f t="shared" si="15"/>
        <v>-79465.751373356121</v>
      </c>
    </row>
    <row r="50" spans="1:26" x14ac:dyDescent="0.25">
      <c r="A50" s="41" t="s">
        <v>346</v>
      </c>
      <c r="B50" s="46">
        <f t="shared" ref="B50:Y50" si="18">IFERROR(B49/B37,0)</f>
        <v>-0.19701929166355459</v>
      </c>
      <c r="C50" s="46">
        <f t="shared" si="18"/>
        <v>-0.28805869143601637</v>
      </c>
      <c r="D50" s="46">
        <f t="shared" si="18"/>
        <v>-0.17094122487781849</v>
      </c>
      <c r="E50" s="46">
        <f t="shared" si="18"/>
        <v>-0.21501515421981277</v>
      </c>
      <c r="F50" s="46">
        <f t="shared" si="18"/>
        <v>-4.2332563483901492E-2</v>
      </c>
      <c r="G50" s="46">
        <f t="shared" si="18"/>
        <v>-0.11887214237056602</v>
      </c>
      <c r="H50" s="46">
        <f t="shared" si="18"/>
        <v>-0.28809170502905534</v>
      </c>
      <c r="I50" s="46">
        <f t="shared" si="18"/>
        <v>-0.29140307506527818</v>
      </c>
      <c r="J50" s="46">
        <f t="shared" si="18"/>
        <v>-0.25073622390535205</v>
      </c>
      <c r="K50" s="46">
        <f t="shared" si="18"/>
        <v>-0.25099023010885835</v>
      </c>
      <c r="L50" s="46">
        <f t="shared" si="18"/>
        <v>-1.2720792913538427E-2</v>
      </c>
      <c r="M50" s="46">
        <f t="shared" si="18"/>
        <v>-5.550120014829172E-2</v>
      </c>
      <c r="N50" s="46">
        <f t="shared" si="18"/>
        <v>-9.8509415389087404E-2</v>
      </c>
      <c r="O50" s="46">
        <f t="shared" si="18"/>
        <v>-0.19376922818175094</v>
      </c>
      <c r="P50" s="46">
        <f t="shared" si="18"/>
        <v>-0.12731368758827077</v>
      </c>
      <c r="Q50" s="46">
        <f t="shared" si="18"/>
        <v>-0.19960828818642121</v>
      </c>
      <c r="R50" s="46">
        <f t="shared" si="18"/>
        <v>-4.5975596374718514E-2</v>
      </c>
      <c r="S50" s="46">
        <f t="shared" si="18"/>
        <v>-8.9582529075841716E-2</v>
      </c>
      <c r="T50" s="46">
        <f t="shared" si="18"/>
        <v>-0.17719121367934895</v>
      </c>
      <c r="U50" s="46">
        <f t="shared" si="18"/>
        <v>-0.16060831504786596</v>
      </c>
      <c r="V50" s="46">
        <f t="shared" si="18"/>
        <v>-0.14121845963818397</v>
      </c>
      <c r="W50" s="46">
        <f t="shared" si="18"/>
        <v>-0.11403480594419943</v>
      </c>
      <c r="X50" s="46">
        <f t="shared" si="18"/>
        <v>5.0482703699432044E-2</v>
      </c>
      <c r="Y50" s="46">
        <f t="shared" si="18"/>
        <v>-7.2853668779638255E-3</v>
      </c>
      <c r="Z50" s="47">
        <f>IFERROR($Z$49/$Z$37,0)</f>
        <v>-0.13030373128598691</v>
      </c>
    </row>
    <row r="51" spans="1:26" x14ac:dyDescent="0.25">
      <c r="A51" s="41" t="s">
        <v>347</v>
      </c>
      <c r="B51" s="42">
        <f>(SUMIFS('04_Base_Despesas'!$D$4:$D$219, '04_Base_Despesas'!$A$4:$A$219, B$33, '04_Base_Despesas'!$B$4:$B$219, "depreciacao"))*(IFERROR(SUMIFS('03_Base_Vendas'!$I$4:$I$387, '03_Base_Vendas'!$A$4:$A$387, B$33, '03_Base_Vendas'!$C$4:$C$387, "maquiagem")/SUMIFS('03_Base_Vendas'!$I$4:$I$387, '03_Base_Vendas'!$A$4:$A$387, B$33),0))</f>
        <v>377.1293694111169</v>
      </c>
      <c r="C51" s="42">
        <f>(SUMIFS('04_Base_Despesas'!$D$4:$D$219, '04_Base_Despesas'!$A$4:$A$219, C$33, '04_Base_Despesas'!$B$4:$B$219, "depreciacao"))*(IFERROR(SUMIFS('03_Base_Vendas'!$I$4:$I$387, '03_Base_Vendas'!$A$4:$A$387, C$33, '03_Base_Vendas'!$C$4:$C$387, "maquiagem")/SUMIFS('03_Base_Vendas'!$I$4:$I$387, '03_Base_Vendas'!$A$4:$A$387, C$33),0))</f>
        <v>346.09212462363138</v>
      </c>
      <c r="D51" s="42">
        <f>(SUMIFS('04_Base_Despesas'!$D$4:$D$219, '04_Base_Despesas'!$A$4:$A$219, D$33, '04_Base_Despesas'!$B$4:$B$219, "depreciacao"))*(IFERROR(SUMIFS('03_Base_Vendas'!$I$4:$I$387, '03_Base_Vendas'!$A$4:$A$387, D$33, '03_Base_Vendas'!$C$4:$C$387, "maquiagem")/SUMIFS('03_Base_Vendas'!$I$4:$I$387, '03_Base_Vendas'!$A$4:$A$387, D$33),0))</f>
        <v>314.6810520151634</v>
      </c>
      <c r="E51" s="42">
        <f>(SUMIFS('04_Base_Despesas'!$D$4:$D$219, '04_Base_Despesas'!$A$4:$A$219, E$33, '04_Base_Despesas'!$B$4:$B$219, "depreciacao"))*(IFERROR(SUMIFS('03_Base_Vendas'!$I$4:$I$387, '03_Base_Vendas'!$A$4:$A$387, E$33, '03_Base_Vendas'!$C$4:$C$387, "maquiagem")/SUMIFS('03_Base_Vendas'!$I$4:$I$387, '03_Base_Vendas'!$A$4:$A$387, E$33),0))</f>
        <v>306.26237597141841</v>
      </c>
      <c r="F51" s="42">
        <f>(SUMIFS('04_Base_Despesas'!$D$4:$D$219, '04_Base_Despesas'!$A$4:$A$219, F$33, '04_Base_Despesas'!$B$4:$B$219, "depreciacao"))*(IFERROR(SUMIFS('03_Base_Vendas'!$I$4:$I$387, '03_Base_Vendas'!$A$4:$A$387, F$33, '03_Base_Vendas'!$C$4:$C$387, "maquiagem")/SUMIFS('03_Base_Vendas'!$I$4:$I$387, '03_Base_Vendas'!$A$4:$A$387, F$33),0))</f>
        <v>355.59518921409608</v>
      </c>
      <c r="G51" s="42">
        <f>(SUMIFS('04_Base_Despesas'!$D$4:$D$219, '04_Base_Despesas'!$A$4:$A$219, G$33, '04_Base_Despesas'!$B$4:$B$219, "depreciacao"))*(IFERROR(SUMIFS('03_Base_Vendas'!$I$4:$I$387, '03_Base_Vendas'!$A$4:$A$387, G$33, '03_Base_Vendas'!$C$4:$C$387, "maquiagem")/SUMIFS('03_Base_Vendas'!$I$4:$I$387, '03_Base_Vendas'!$A$4:$A$387, G$33),0))</f>
        <v>330.8759823523485</v>
      </c>
      <c r="H51" s="42">
        <f>(SUMIFS('04_Base_Despesas'!$D$4:$D$219, '04_Base_Despesas'!$A$4:$A$219, H$33, '04_Base_Despesas'!$B$4:$B$219, "depreciacao"))*(IFERROR(SUMIFS('03_Base_Vendas'!$I$4:$I$387, '03_Base_Vendas'!$A$4:$A$387, H$33, '03_Base_Vendas'!$C$4:$C$387, "maquiagem")/SUMIFS('03_Base_Vendas'!$I$4:$I$387, '03_Base_Vendas'!$A$4:$A$387, H$33),0))</f>
        <v>339.83854192901669</v>
      </c>
      <c r="I51" s="42">
        <f>(SUMIFS('04_Base_Despesas'!$D$4:$D$219, '04_Base_Despesas'!$A$4:$A$219, I$33, '04_Base_Despesas'!$B$4:$B$219, "depreciacao"))*(IFERROR(SUMIFS('03_Base_Vendas'!$I$4:$I$387, '03_Base_Vendas'!$A$4:$A$387, I$33, '03_Base_Vendas'!$C$4:$C$387, "maquiagem")/SUMIFS('03_Base_Vendas'!$I$4:$I$387, '03_Base_Vendas'!$A$4:$A$387, I$33),0))</f>
        <v>348.81607783677208</v>
      </c>
      <c r="J51" s="42">
        <f>(SUMIFS('04_Base_Despesas'!$D$4:$D$219, '04_Base_Despesas'!$A$4:$A$219, J$33, '04_Base_Despesas'!$B$4:$B$219, "depreciacao"))*(IFERROR(SUMIFS('03_Base_Vendas'!$I$4:$I$387, '03_Base_Vendas'!$A$4:$A$387, J$33, '03_Base_Vendas'!$C$4:$C$387, "maquiagem")/SUMIFS('03_Base_Vendas'!$I$4:$I$387, '03_Base_Vendas'!$A$4:$A$387, J$33),0))</f>
        <v>360.66670713470336</v>
      </c>
      <c r="K51" s="42">
        <f>(SUMIFS('04_Base_Despesas'!$D$4:$D$219, '04_Base_Despesas'!$A$4:$A$219, K$33, '04_Base_Despesas'!$B$4:$B$219, "depreciacao"))*(IFERROR(SUMIFS('03_Base_Vendas'!$I$4:$I$387, '03_Base_Vendas'!$A$4:$A$387, K$33, '03_Base_Vendas'!$C$4:$C$387, "maquiagem")/SUMIFS('03_Base_Vendas'!$I$4:$I$387, '03_Base_Vendas'!$A$4:$A$387, K$33),0))</f>
        <v>331.0737146616836</v>
      </c>
      <c r="L51" s="42">
        <f>(SUMIFS('04_Base_Despesas'!$D$4:$D$219, '04_Base_Despesas'!$A$4:$A$219, L$33, '04_Base_Despesas'!$B$4:$B$219, "depreciacao"))*(IFERROR(SUMIFS('03_Base_Vendas'!$I$4:$I$387, '03_Base_Vendas'!$A$4:$A$387, L$33, '03_Base_Vendas'!$C$4:$C$387, "maquiagem")/SUMIFS('03_Base_Vendas'!$I$4:$I$387, '03_Base_Vendas'!$A$4:$A$387, L$33),0))</f>
        <v>376.40892276094149</v>
      </c>
      <c r="M51" s="42">
        <f>(SUMIFS('04_Base_Despesas'!$D$4:$D$219, '04_Base_Despesas'!$A$4:$A$219, M$33, '04_Base_Despesas'!$B$4:$B$219, "depreciacao"))*(IFERROR(SUMIFS('03_Base_Vendas'!$I$4:$I$387, '03_Base_Vendas'!$A$4:$A$387, M$33, '03_Base_Vendas'!$C$4:$C$387, "maquiagem")/SUMIFS('03_Base_Vendas'!$I$4:$I$387, '03_Base_Vendas'!$A$4:$A$387, M$33),0))</f>
        <v>350.46487160697416</v>
      </c>
      <c r="N51" s="42">
        <f>(SUMIFS('04_Base_Despesas'!$D$4:$D$219, '04_Base_Despesas'!$A$4:$A$219, N$33, '04_Base_Despesas'!$B$4:$B$219, "depreciacao"))*(IFERROR(SUMIFS('03_Base_Vendas'!$I$4:$I$387, '03_Base_Vendas'!$A$4:$A$387, N$33, '03_Base_Vendas'!$C$4:$C$387, "maquiagem")/SUMIFS('03_Base_Vendas'!$I$4:$I$387, '03_Base_Vendas'!$A$4:$A$387, N$33),0))</f>
        <v>345.94742417013265</v>
      </c>
      <c r="O51" s="42">
        <f>(SUMIFS('04_Base_Despesas'!$D$4:$D$219, '04_Base_Despesas'!$A$4:$A$219, O$33, '04_Base_Despesas'!$B$4:$B$219, "depreciacao"))*(IFERROR(SUMIFS('03_Base_Vendas'!$I$4:$I$387, '03_Base_Vendas'!$A$4:$A$387, O$33, '03_Base_Vendas'!$C$4:$C$387, "maquiagem")/SUMIFS('03_Base_Vendas'!$I$4:$I$387, '03_Base_Vendas'!$A$4:$A$387, O$33),0))</f>
        <v>306.46898824639629</v>
      </c>
      <c r="P51" s="42">
        <f>(SUMIFS('04_Base_Despesas'!$D$4:$D$219, '04_Base_Despesas'!$A$4:$A$219, P$33, '04_Base_Despesas'!$B$4:$B$219, "depreciacao"))*(IFERROR(SUMIFS('03_Base_Vendas'!$I$4:$I$387, '03_Base_Vendas'!$A$4:$A$387, P$33, '03_Base_Vendas'!$C$4:$C$387, "maquiagem")/SUMIFS('03_Base_Vendas'!$I$4:$I$387, '03_Base_Vendas'!$A$4:$A$387, P$33),0))</f>
        <v>348.93668103779015</v>
      </c>
      <c r="Q51" s="42">
        <f>(SUMIFS('04_Base_Despesas'!$D$4:$D$219, '04_Base_Despesas'!$A$4:$A$219, Q$33, '04_Base_Despesas'!$B$4:$B$219, "depreciacao"))*(IFERROR(SUMIFS('03_Base_Vendas'!$I$4:$I$387, '03_Base_Vendas'!$A$4:$A$387, Q$33, '03_Base_Vendas'!$C$4:$C$387, "maquiagem")/SUMIFS('03_Base_Vendas'!$I$4:$I$387, '03_Base_Vendas'!$A$4:$A$387, Q$33),0))</f>
        <v>340.47138846402135</v>
      </c>
      <c r="R51" s="42">
        <f>(SUMIFS('04_Base_Despesas'!$D$4:$D$219, '04_Base_Despesas'!$A$4:$A$219, R$33, '04_Base_Despesas'!$B$4:$B$219, "depreciacao"))*(IFERROR(SUMIFS('03_Base_Vendas'!$I$4:$I$387, '03_Base_Vendas'!$A$4:$A$387, R$33, '03_Base_Vendas'!$C$4:$C$387, "maquiagem")/SUMIFS('03_Base_Vendas'!$I$4:$I$387, '03_Base_Vendas'!$A$4:$A$387, R$33),0))</f>
        <v>273.58149394766053</v>
      </c>
      <c r="S51" s="42">
        <f>(SUMIFS('04_Base_Despesas'!$D$4:$D$219, '04_Base_Despesas'!$A$4:$A$219, S$33, '04_Base_Despesas'!$B$4:$B$219, "depreciacao"))*(IFERROR(SUMIFS('03_Base_Vendas'!$I$4:$I$387, '03_Base_Vendas'!$A$4:$A$387, S$33, '03_Base_Vendas'!$C$4:$C$387, "maquiagem")/SUMIFS('03_Base_Vendas'!$I$4:$I$387, '03_Base_Vendas'!$A$4:$A$387, S$33),0))</f>
        <v>342.76334725171131</v>
      </c>
      <c r="T51" s="42">
        <f>(SUMIFS('04_Base_Despesas'!$D$4:$D$219, '04_Base_Despesas'!$A$4:$A$219, T$33, '04_Base_Despesas'!$B$4:$B$219, "depreciacao"))*(IFERROR(SUMIFS('03_Base_Vendas'!$I$4:$I$387, '03_Base_Vendas'!$A$4:$A$387, T$33, '03_Base_Vendas'!$C$4:$C$387, "maquiagem")/SUMIFS('03_Base_Vendas'!$I$4:$I$387, '03_Base_Vendas'!$A$4:$A$387, T$33),0))</f>
        <v>345.23290509671517</v>
      </c>
      <c r="U51" s="42">
        <f>(SUMIFS('04_Base_Despesas'!$D$4:$D$219, '04_Base_Despesas'!$A$4:$A$219, U$33, '04_Base_Despesas'!$B$4:$B$219, "depreciacao"))*(IFERROR(SUMIFS('03_Base_Vendas'!$I$4:$I$387, '03_Base_Vendas'!$A$4:$A$387, U$33, '03_Base_Vendas'!$C$4:$C$387, "maquiagem")/SUMIFS('03_Base_Vendas'!$I$4:$I$387, '03_Base_Vendas'!$A$4:$A$387, U$33),0))</f>
        <v>325.77307568499805</v>
      </c>
      <c r="V51" s="42">
        <f>(SUMIFS('04_Base_Despesas'!$D$4:$D$219, '04_Base_Despesas'!$A$4:$A$219, V$33, '04_Base_Despesas'!$B$4:$B$219, "depreciacao"))*(IFERROR(SUMIFS('03_Base_Vendas'!$I$4:$I$387, '03_Base_Vendas'!$A$4:$A$387, V$33, '03_Base_Vendas'!$C$4:$C$387, "maquiagem")/SUMIFS('03_Base_Vendas'!$I$4:$I$387, '03_Base_Vendas'!$A$4:$A$387, V$33),0))</f>
        <v>336.75980358258795</v>
      </c>
      <c r="W51" s="42">
        <f>(SUMIFS('04_Base_Despesas'!$D$4:$D$219, '04_Base_Despesas'!$A$4:$A$219, W$33, '04_Base_Despesas'!$B$4:$B$219, "depreciacao"))*(IFERROR(SUMIFS('03_Base_Vendas'!$I$4:$I$387, '03_Base_Vendas'!$A$4:$A$387, W$33, '03_Base_Vendas'!$C$4:$C$387, "maquiagem")/SUMIFS('03_Base_Vendas'!$I$4:$I$387, '03_Base_Vendas'!$A$4:$A$387, W$33),0))</f>
        <v>378.94220579448711</v>
      </c>
      <c r="X51" s="42">
        <f>(SUMIFS('04_Base_Despesas'!$D$4:$D$219, '04_Base_Despesas'!$A$4:$A$219, X$33, '04_Base_Despesas'!$B$4:$B$219, "depreciacao"))*(IFERROR(SUMIFS('03_Base_Vendas'!$I$4:$I$387, '03_Base_Vendas'!$A$4:$A$387, X$33, '03_Base_Vendas'!$C$4:$C$387, "maquiagem")/SUMIFS('03_Base_Vendas'!$I$4:$I$387, '03_Base_Vendas'!$A$4:$A$387, X$33),0))</f>
        <v>294.53937320013546</v>
      </c>
      <c r="Y51" s="42">
        <f>(SUMIFS('04_Base_Despesas'!$D$4:$D$219, '04_Base_Despesas'!$A$4:$A$219, Y$33, '04_Base_Despesas'!$B$4:$B$219, "depreciacao"))*(IFERROR(SUMIFS('03_Base_Vendas'!$I$4:$I$387, '03_Base_Vendas'!$A$4:$A$387, Y$33, '03_Base_Vendas'!$C$4:$C$387, "maquiagem")/SUMIFS('03_Base_Vendas'!$I$4:$I$387, '03_Base_Vendas'!$A$4:$A$387, Y$33),0))</f>
        <v>345.38301899748205</v>
      </c>
      <c r="Z51" s="43">
        <f>SUM(B51:Y51)</f>
        <v>8122.7046349919847</v>
      </c>
    </row>
    <row r="52" spans="1:26" x14ac:dyDescent="0.25">
      <c r="A52" s="44" t="s">
        <v>117</v>
      </c>
      <c r="B52" s="45">
        <f t="shared" ref="B52:Y52" si="19">B49-B51</f>
        <v>-5443.9296585244174</v>
      </c>
      <c r="C52" s="45">
        <f t="shared" si="19"/>
        <v>-5997.4983083853504</v>
      </c>
      <c r="D52" s="45">
        <f t="shared" si="19"/>
        <v>-4033.722785175451</v>
      </c>
      <c r="E52" s="45">
        <f t="shared" si="19"/>
        <v>-4491.3001364935171</v>
      </c>
      <c r="F52" s="45">
        <f t="shared" si="19"/>
        <v>-1689.8346184022425</v>
      </c>
      <c r="G52" s="45">
        <f t="shared" si="19"/>
        <v>-3365.2110433891121</v>
      </c>
      <c r="H52" s="45">
        <f t="shared" si="19"/>
        <v>-6089.9271436960898</v>
      </c>
      <c r="I52" s="45">
        <f t="shared" si="19"/>
        <v>-6306.4179021318532</v>
      </c>
      <c r="J52" s="45">
        <f t="shared" si="19"/>
        <v>-5907.9248364698433</v>
      </c>
      <c r="K52" s="45">
        <f t="shared" si="19"/>
        <v>-5932.8945416336801</v>
      </c>
      <c r="L52" s="45">
        <f t="shared" si="19"/>
        <v>-818.36068893576294</v>
      </c>
      <c r="M52" s="45">
        <f t="shared" si="19"/>
        <v>-2091.1262563657865</v>
      </c>
      <c r="N52" s="45">
        <f t="shared" si="19"/>
        <v>-3068.2531482592558</v>
      </c>
      <c r="O52" s="45">
        <f t="shared" si="19"/>
        <v>-4224.0312997797364</v>
      </c>
      <c r="P52" s="45">
        <f t="shared" si="19"/>
        <v>-3798.9810188441948</v>
      </c>
      <c r="Q52" s="45">
        <f t="shared" si="19"/>
        <v>-4817.0704989578344</v>
      </c>
      <c r="R52" s="45">
        <f t="shared" si="19"/>
        <v>-1468.5709193119965</v>
      </c>
      <c r="S52" s="45">
        <f t="shared" si="19"/>
        <v>-2919.1434460935575</v>
      </c>
      <c r="T52" s="45">
        <f t="shared" si="19"/>
        <v>-4619.2745736412498</v>
      </c>
      <c r="U52" s="45">
        <f t="shared" si="19"/>
        <v>-3920.1341657122721</v>
      </c>
      <c r="V52" s="45">
        <f t="shared" si="19"/>
        <v>-3715.9268978038194</v>
      </c>
      <c r="W52" s="45">
        <f t="shared" si="19"/>
        <v>-3685.1476327943642</v>
      </c>
      <c r="X52" s="45">
        <f t="shared" si="19"/>
        <v>1383.8101084722932</v>
      </c>
      <c r="Y52" s="45">
        <f t="shared" si="19"/>
        <v>-567.58459601898414</v>
      </c>
      <c r="Z52" s="43">
        <f>SUM(B52:Y52)</f>
        <v>-87588.456008348076</v>
      </c>
    </row>
    <row r="53" spans="1:26" x14ac:dyDescent="0.25">
      <c r="A53" s="41" t="s">
        <v>348</v>
      </c>
      <c r="B53" s="42">
        <f>(SUMIFS('04_Base_Despesas'!$D$4:$D$219, '04_Base_Despesas'!$A$4:$A$219, B$33, '04_Base_Despesas'!$B$4:$B$219, "financeiro"))*(IFERROR(SUMIFS('03_Base_Vendas'!$I$4:$I$387, '03_Base_Vendas'!$A$4:$A$387, B$33, '03_Base_Vendas'!$C$4:$C$387, "maquiagem")/SUMIFS('03_Base_Vendas'!$I$4:$I$387, '03_Base_Vendas'!$A$4:$A$387, B$33),0))</f>
        <v>234.06812129542203</v>
      </c>
      <c r="C53" s="42">
        <f>(SUMIFS('04_Base_Despesas'!$D$4:$D$219, '04_Base_Despesas'!$A$4:$A$219, C$33, '04_Base_Despesas'!$B$4:$B$219, "financeiro"))*(IFERROR(SUMIFS('03_Base_Vendas'!$I$4:$I$387, '03_Base_Vendas'!$A$4:$A$387, C$33, '03_Base_Vendas'!$C$4:$C$387, "maquiagem")/SUMIFS('03_Base_Vendas'!$I$4:$I$387, '03_Base_Vendas'!$A$4:$A$387, C$33),0))</f>
        <v>212.62169676252793</v>
      </c>
      <c r="D53" s="42">
        <f>(SUMIFS('04_Base_Despesas'!$D$4:$D$219, '04_Base_Despesas'!$A$4:$A$219, D$33, '04_Base_Despesas'!$B$4:$B$219, "financeiro"))*(IFERROR(SUMIFS('03_Base_Vendas'!$I$4:$I$387, '03_Base_Vendas'!$A$4:$A$387, D$33, '03_Base_Vendas'!$C$4:$C$387, "maquiagem")/SUMIFS('03_Base_Vendas'!$I$4:$I$387, '03_Base_Vendas'!$A$4:$A$387, D$33),0))</f>
        <v>192.50128710245369</v>
      </c>
      <c r="E53" s="42">
        <f>(SUMIFS('04_Base_Despesas'!$D$4:$D$219, '04_Base_Despesas'!$A$4:$A$219, E$33, '04_Base_Despesas'!$B$4:$B$219, "financeiro"))*(IFERROR(SUMIFS('03_Base_Vendas'!$I$4:$I$387, '03_Base_Vendas'!$A$4:$A$387, E$33, '03_Base_Vendas'!$C$4:$C$387, "maquiagem")/SUMIFS('03_Base_Vendas'!$I$4:$I$387, '03_Base_Vendas'!$A$4:$A$387, E$33),0))</f>
        <v>180.70954424724579</v>
      </c>
      <c r="F53" s="42">
        <f>(SUMIFS('04_Base_Despesas'!$D$4:$D$219, '04_Base_Despesas'!$A$4:$A$219, F$33, '04_Base_Despesas'!$B$4:$B$219, "financeiro"))*(IFERROR(SUMIFS('03_Base_Vendas'!$I$4:$I$387, '03_Base_Vendas'!$A$4:$A$387, F$33, '03_Base_Vendas'!$C$4:$C$387, "maquiagem")/SUMIFS('03_Base_Vendas'!$I$4:$I$387, '03_Base_Vendas'!$A$4:$A$387, F$33),0))</f>
        <v>218.69688446872416</v>
      </c>
      <c r="G53" s="42">
        <f>(SUMIFS('04_Base_Despesas'!$D$4:$D$219, '04_Base_Despesas'!$A$4:$A$219, G$33, '04_Base_Despesas'!$B$4:$B$219, "financeiro"))*(IFERROR(SUMIFS('03_Base_Vendas'!$I$4:$I$387, '03_Base_Vendas'!$A$4:$A$387, G$33, '03_Base_Vendas'!$C$4:$C$387, "maquiagem")/SUMIFS('03_Base_Vendas'!$I$4:$I$387, '03_Base_Vendas'!$A$4:$A$387, G$33),0))</f>
        <v>192.28042725558163</v>
      </c>
      <c r="H53" s="42">
        <f>(SUMIFS('04_Base_Despesas'!$D$4:$D$219, '04_Base_Despesas'!$A$4:$A$219, H$33, '04_Base_Despesas'!$B$4:$B$219, "financeiro"))*(IFERROR(SUMIFS('03_Base_Vendas'!$I$4:$I$387, '03_Base_Vendas'!$A$4:$A$387, H$33, '03_Base_Vendas'!$C$4:$C$387, "maquiagem")/SUMIFS('03_Base_Vendas'!$I$4:$I$387, '03_Base_Vendas'!$A$4:$A$387, H$33),0))</f>
        <v>841.25714251428667</v>
      </c>
      <c r="I53" s="42">
        <f>(SUMIFS('04_Base_Despesas'!$D$4:$D$219, '04_Base_Despesas'!$A$4:$A$219, I$33, '04_Base_Despesas'!$B$4:$B$219, "financeiro"))*(IFERROR(SUMIFS('03_Base_Vendas'!$I$4:$I$387, '03_Base_Vendas'!$A$4:$A$387, I$33, '03_Base_Vendas'!$C$4:$C$387, "maquiagem")/SUMIFS('03_Base_Vendas'!$I$4:$I$387, '03_Base_Vendas'!$A$4:$A$387, I$33),0))</f>
        <v>208.2875932420958</v>
      </c>
      <c r="J53" s="42">
        <f>(SUMIFS('04_Base_Despesas'!$D$4:$D$219, '04_Base_Despesas'!$A$4:$A$219, J$33, '04_Base_Despesas'!$B$4:$B$219, "financeiro"))*(IFERROR(SUMIFS('03_Base_Vendas'!$I$4:$I$387, '03_Base_Vendas'!$A$4:$A$387, J$33, '03_Base_Vendas'!$C$4:$C$387, "maquiagem")/SUMIFS('03_Base_Vendas'!$I$4:$I$387, '03_Base_Vendas'!$A$4:$A$387, J$33),0))</f>
        <v>213.32221176360744</v>
      </c>
      <c r="K53" s="42">
        <f>(SUMIFS('04_Base_Despesas'!$D$4:$D$219, '04_Base_Despesas'!$A$4:$A$219, K$33, '04_Base_Despesas'!$B$4:$B$219, "financeiro"))*(IFERROR(SUMIFS('03_Base_Vendas'!$I$4:$I$387, '03_Base_Vendas'!$A$4:$A$387, K$33, '03_Base_Vendas'!$C$4:$C$387, "maquiagem")/SUMIFS('03_Base_Vendas'!$I$4:$I$387, '03_Base_Vendas'!$A$4:$A$387, K$33),0))</f>
        <v>177.39832559885718</v>
      </c>
      <c r="L53" s="42">
        <f>(SUMIFS('04_Base_Despesas'!$D$4:$D$219, '04_Base_Despesas'!$A$4:$A$219, L$33, '04_Base_Despesas'!$B$4:$B$219, "financeiro"))*(IFERROR(SUMIFS('03_Base_Vendas'!$I$4:$I$387, '03_Base_Vendas'!$A$4:$A$387, L$33, '03_Base_Vendas'!$C$4:$C$387, "maquiagem")/SUMIFS('03_Base_Vendas'!$I$4:$I$387, '03_Base_Vendas'!$A$4:$A$387, L$33),0))</f>
        <v>221.08549173328791</v>
      </c>
      <c r="M53" s="42">
        <f>(SUMIFS('04_Base_Despesas'!$D$4:$D$219, '04_Base_Despesas'!$A$4:$A$219, M$33, '04_Base_Despesas'!$B$4:$B$219, "financeiro"))*(IFERROR(SUMIFS('03_Base_Vendas'!$I$4:$I$387, '03_Base_Vendas'!$A$4:$A$387, M$33, '03_Base_Vendas'!$C$4:$C$387, "maquiagem")/SUMIFS('03_Base_Vendas'!$I$4:$I$387, '03_Base_Vendas'!$A$4:$A$387, M$33),0))</f>
        <v>206.70418127379335</v>
      </c>
      <c r="N53" s="42">
        <f>(SUMIFS('04_Base_Despesas'!$D$4:$D$219, '04_Base_Despesas'!$A$4:$A$219, N$33, '04_Base_Despesas'!$B$4:$B$219, "financeiro"))*(IFERROR(SUMIFS('03_Base_Vendas'!$I$4:$I$387, '03_Base_Vendas'!$A$4:$A$387, N$33, '03_Base_Vendas'!$C$4:$C$387, "maquiagem")/SUMIFS('03_Base_Vendas'!$I$4:$I$387, '03_Base_Vendas'!$A$4:$A$387, N$33),0))</f>
        <v>190.22076366823913</v>
      </c>
      <c r="O53" s="42">
        <f>(SUMIFS('04_Base_Despesas'!$D$4:$D$219, '04_Base_Despesas'!$A$4:$A$219, O$33, '04_Base_Despesas'!$B$4:$B$219, "financeiro"))*(IFERROR(SUMIFS('03_Base_Vendas'!$I$4:$I$387, '03_Base_Vendas'!$A$4:$A$387, O$33, '03_Base_Vendas'!$C$4:$C$387, "maquiagem")/SUMIFS('03_Base_Vendas'!$I$4:$I$387, '03_Base_Vendas'!$A$4:$A$387, O$33),0))</f>
        <v>177.1293239204274</v>
      </c>
      <c r="P53" s="42">
        <f>(SUMIFS('04_Base_Despesas'!$D$4:$D$219, '04_Base_Despesas'!$A$4:$A$219, P$33, '04_Base_Despesas'!$B$4:$B$219, "financeiro"))*(IFERROR(SUMIFS('03_Base_Vendas'!$I$4:$I$387, '03_Base_Vendas'!$A$4:$A$387, P$33, '03_Base_Vendas'!$C$4:$C$387, "maquiagem")/SUMIFS('03_Base_Vendas'!$I$4:$I$387, '03_Base_Vendas'!$A$4:$A$387, P$33),0))</f>
        <v>208.39133021905991</v>
      </c>
      <c r="Q53" s="42">
        <f>(SUMIFS('04_Base_Despesas'!$D$4:$D$219, '04_Base_Despesas'!$A$4:$A$219, Q$33, '04_Base_Despesas'!$B$4:$B$219, "financeiro"))*(IFERROR(SUMIFS('03_Base_Vendas'!$I$4:$I$387, '03_Base_Vendas'!$A$4:$A$387, Q$33, '03_Base_Vendas'!$C$4:$C$387, "maquiagem")/SUMIFS('03_Base_Vendas'!$I$4:$I$387, '03_Base_Vendas'!$A$4:$A$387, Q$33),0))</f>
        <v>215.86350307785037</v>
      </c>
      <c r="R53" s="42">
        <f>(SUMIFS('04_Base_Despesas'!$D$4:$D$219, '04_Base_Despesas'!$A$4:$A$219, R$33, '04_Base_Despesas'!$B$4:$B$219, "financeiro"))*(IFERROR(SUMIFS('03_Base_Vendas'!$I$4:$I$387, '03_Base_Vendas'!$A$4:$A$387, R$33, '03_Base_Vendas'!$C$4:$C$387, "maquiagem")/SUMIFS('03_Base_Vendas'!$I$4:$I$387, '03_Base_Vendas'!$A$4:$A$387, R$33),0))</f>
        <v>167.21376916339725</v>
      </c>
      <c r="S53" s="42">
        <f>(SUMIFS('04_Base_Despesas'!$D$4:$D$219, '04_Base_Despesas'!$A$4:$A$219, S$33, '04_Base_Despesas'!$B$4:$B$219, "financeiro"))*(IFERROR(SUMIFS('03_Base_Vendas'!$I$4:$I$387, '03_Base_Vendas'!$A$4:$A$387, S$33, '03_Base_Vendas'!$C$4:$C$387, "maquiagem")/SUMIFS('03_Base_Vendas'!$I$4:$I$387, '03_Base_Vendas'!$A$4:$A$387, S$33),0))</f>
        <v>211.59716234977006</v>
      </c>
      <c r="T53" s="42">
        <f>(SUMIFS('04_Base_Despesas'!$D$4:$D$219, '04_Base_Despesas'!$A$4:$A$219, T$33, '04_Base_Despesas'!$B$4:$B$219, "financeiro"))*(IFERROR(SUMIFS('03_Base_Vendas'!$I$4:$I$387, '03_Base_Vendas'!$A$4:$A$387, T$33, '03_Base_Vendas'!$C$4:$C$387, "maquiagem")/SUMIFS('03_Base_Vendas'!$I$4:$I$387, '03_Base_Vendas'!$A$4:$A$387, T$33),0))</f>
        <v>205.83256574009474</v>
      </c>
      <c r="U53" s="42">
        <f>(SUMIFS('04_Base_Despesas'!$D$4:$D$219, '04_Base_Despesas'!$A$4:$A$219, U$33, '04_Base_Despesas'!$B$4:$B$219, "financeiro"))*(IFERROR(SUMIFS('03_Base_Vendas'!$I$4:$I$387, '03_Base_Vendas'!$A$4:$A$387, U$33, '03_Base_Vendas'!$C$4:$C$387, "maquiagem")/SUMIFS('03_Base_Vendas'!$I$4:$I$387, '03_Base_Vendas'!$A$4:$A$387, U$33),0))</f>
        <v>202.05630783349704</v>
      </c>
      <c r="V53" s="42">
        <f>(SUMIFS('04_Base_Despesas'!$D$4:$D$219, '04_Base_Despesas'!$A$4:$A$219, V$33, '04_Base_Despesas'!$B$4:$B$219, "financeiro"))*(IFERROR(SUMIFS('03_Base_Vendas'!$I$4:$I$387, '03_Base_Vendas'!$A$4:$A$387, V$33, '03_Base_Vendas'!$C$4:$C$387, "maquiagem")/SUMIFS('03_Base_Vendas'!$I$4:$I$387, '03_Base_Vendas'!$A$4:$A$387, V$33),0))</f>
        <v>185.1689087262659</v>
      </c>
      <c r="W53" s="42">
        <f>(SUMIFS('04_Base_Despesas'!$D$4:$D$219, '04_Base_Despesas'!$A$4:$A$219, W$33, '04_Base_Despesas'!$B$4:$B$219, "financeiro"))*(IFERROR(SUMIFS('03_Base_Vendas'!$I$4:$I$387, '03_Base_Vendas'!$A$4:$A$387, W$33, '03_Base_Vendas'!$C$4:$C$387, "maquiagem")/SUMIFS('03_Base_Vendas'!$I$4:$I$387, '03_Base_Vendas'!$A$4:$A$387, W$33),0))</f>
        <v>230.06030379563038</v>
      </c>
      <c r="X53" s="42">
        <f>(SUMIFS('04_Base_Despesas'!$D$4:$D$219, '04_Base_Despesas'!$A$4:$A$219, X$33, '04_Base_Despesas'!$B$4:$B$219, "financeiro"))*(IFERROR(SUMIFS('03_Base_Vendas'!$I$4:$I$387, '03_Base_Vendas'!$A$4:$A$387, X$33, '03_Base_Vendas'!$C$4:$C$387, "maquiagem")/SUMIFS('03_Base_Vendas'!$I$4:$I$387, '03_Base_Vendas'!$A$4:$A$387, X$33),0))</f>
        <v>175.2027297021024</v>
      </c>
      <c r="Y53" s="42">
        <f>(SUMIFS('04_Base_Despesas'!$D$4:$D$219, '04_Base_Despesas'!$A$4:$A$219, Y$33, '04_Base_Despesas'!$B$4:$B$219, "financeiro"))*(IFERROR(SUMIFS('03_Base_Vendas'!$I$4:$I$387, '03_Base_Vendas'!$A$4:$A$387, Y$33, '03_Base_Vendas'!$C$4:$C$387, "maquiagem")/SUMIFS('03_Base_Vendas'!$I$4:$I$387, '03_Base_Vendas'!$A$4:$A$387, Y$33),0))</f>
        <v>217.25533848629797</v>
      </c>
      <c r="Z53" s="43">
        <f>SUM(B53:Y53)</f>
        <v>5484.9249139405165</v>
      </c>
    </row>
    <row r="54" spans="1:26" x14ac:dyDescent="0.25">
      <c r="A54" s="44" t="s">
        <v>119</v>
      </c>
      <c r="B54" s="45">
        <f t="shared" ref="B54:Y54" si="20">B52-B53</f>
        <v>-5677.9977798198397</v>
      </c>
      <c r="C54" s="45">
        <f t="shared" si="20"/>
        <v>-6210.1200051478781</v>
      </c>
      <c r="D54" s="45">
        <f t="shared" si="20"/>
        <v>-4226.2240722779043</v>
      </c>
      <c r="E54" s="45">
        <f t="shared" si="20"/>
        <v>-4672.0096807407626</v>
      </c>
      <c r="F54" s="45">
        <f t="shared" si="20"/>
        <v>-1908.5315028709667</v>
      </c>
      <c r="G54" s="45">
        <f t="shared" si="20"/>
        <v>-3557.4914706446939</v>
      </c>
      <c r="H54" s="45">
        <f t="shared" si="20"/>
        <v>-6931.1842862103767</v>
      </c>
      <c r="I54" s="45">
        <f t="shared" si="20"/>
        <v>-6514.7054953739489</v>
      </c>
      <c r="J54" s="45">
        <f t="shared" si="20"/>
        <v>-6121.2470482334511</v>
      </c>
      <c r="K54" s="45">
        <f t="shared" si="20"/>
        <v>-6110.292867232537</v>
      </c>
      <c r="L54" s="45">
        <f t="shared" si="20"/>
        <v>-1039.4461806690508</v>
      </c>
      <c r="M54" s="45">
        <f t="shared" si="20"/>
        <v>-2297.8304376395799</v>
      </c>
      <c r="N54" s="45">
        <f t="shared" si="20"/>
        <v>-3258.473911927495</v>
      </c>
      <c r="O54" s="45">
        <f t="shared" si="20"/>
        <v>-4401.1606237001633</v>
      </c>
      <c r="P54" s="45">
        <f t="shared" si="20"/>
        <v>-4007.3723490632547</v>
      </c>
      <c r="Q54" s="45">
        <f t="shared" si="20"/>
        <v>-5032.9340020356849</v>
      </c>
      <c r="R54" s="45">
        <f t="shared" si="20"/>
        <v>-1635.7846884753938</v>
      </c>
      <c r="S54" s="45">
        <f t="shared" si="20"/>
        <v>-3130.7406084433273</v>
      </c>
      <c r="T54" s="45">
        <f t="shared" si="20"/>
        <v>-4825.1071393813445</v>
      </c>
      <c r="U54" s="45">
        <f t="shared" si="20"/>
        <v>-4122.1904735457692</v>
      </c>
      <c r="V54" s="45">
        <f t="shared" si="20"/>
        <v>-3901.0958065300852</v>
      </c>
      <c r="W54" s="45">
        <f t="shared" si="20"/>
        <v>-3915.2079365899945</v>
      </c>
      <c r="X54" s="45">
        <f t="shared" si="20"/>
        <v>1208.6073787701907</v>
      </c>
      <c r="Y54" s="45">
        <f t="shared" si="20"/>
        <v>-784.83993450528214</v>
      </c>
      <c r="Z54" s="43">
        <f>SUM(B54:Y54)</f>
        <v>-93073.380922288605</v>
      </c>
    </row>
    <row r="55" spans="1:26" x14ac:dyDescent="0.25">
      <c r="A55" s="41" t="s">
        <v>349</v>
      </c>
      <c r="B55" s="46">
        <f t="shared" ref="B55:Y55" si="21">IFERROR(B54/B37,0)</f>
        <v>-0.22078531554736108</v>
      </c>
      <c r="C55" s="46">
        <f t="shared" si="21"/>
        <v>-0.31653697932446284</v>
      </c>
      <c r="D55" s="46">
        <f t="shared" si="21"/>
        <v>-0.19425324353900458</v>
      </c>
      <c r="E55" s="46">
        <f t="shared" si="21"/>
        <v>-0.24003436516080842</v>
      </c>
      <c r="F55" s="46">
        <f t="shared" si="21"/>
        <v>-6.0553622714831473E-2</v>
      </c>
      <c r="G55" s="46">
        <f t="shared" si="21"/>
        <v>-0.13936715098169139</v>
      </c>
      <c r="H55" s="46">
        <f t="shared" si="21"/>
        <v>-0.34726711833123702</v>
      </c>
      <c r="I55" s="46">
        <f t="shared" si="21"/>
        <v>-0.31865258378882333</v>
      </c>
      <c r="J55" s="46">
        <f t="shared" si="21"/>
        <v>-0.27668053922880848</v>
      </c>
      <c r="K55" s="46">
        <f t="shared" si="21"/>
        <v>-0.27377237868712667</v>
      </c>
      <c r="L55" s="46">
        <f t="shared" si="21"/>
        <v>-2.9918603388563069E-2</v>
      </c>
      <c r="M55" s="46">
        <f t="shared" si="21"/>
        <v>-7.3266603225039126E-2</v>
      </c>
      <c r="N55" s="46">
        <f t="shared" si="21"/>
        <v>-0.11791120934147571</v>
      </c>
      <c r="O55" s="46">
        <f t="shared" si="21"/>
        <v>-0.21768881496731146</v>
      </c>
      <c r="P55" s="46">
        <f t="shared" si="21"/>
        <v>-0.14788023032275099</v>
      </c>
      <c r="Q55" s="46">
        <f t="shared" si="21"/>
        <v>-0.22441485509538026</v>
      </c>
      <c r="R55" s="46">
        <f t="shared" si="21"/>
        <v>-6.2934595902687601E-2</v>
      </c>
      <c r="S55" s="46">
        <f t="shared" si="21"/>
        <v>-0.10885802980347004</v>
      </c>
      <c r="T55" s="46">
        <f t="shared" si="21"/>
        <v>-0.20003702735331988</v>
      </c>
      <c r="U55" s="46">
        <f t="shared" si="21"/>
        <v>-0.18419353250274778</v>
      </c>
      <c r="V55" s="46">
        <f t="shared" si="21"/>
        <v>-0.16303033420314497</v>
      </c>
      <c r="W55" s="46">
        <f t="shared" si="21"/>
        <v>-0.13503999891663299</v>
      </c>
      <c r="X55" s="46">
        <f t="shared" si="21"/>
        <v>3.6353434643781248E-2</v>
      </c>
      <c r="Y55" s="46">
        <f t="shared" si="21"/>
        <v>-2.5732701540614061E-2</v>
      </c>
      <c r="Z55" s="47">
        <f>IFERROR($Z$54/$Z$37,0)</f>
        <v>-0.15261680167844607</v>
      </c>
    </row>
    <row r="58" spans="1:26" ht="21.75" customHeight="1" x14ac:dyDescent="0.25">
      <c r="A58" s="4" t="s">
        <v>362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38" t="s">
        <v>329</v>
      </c>
      <c r="B59" s="39" t="s">
        <v>135</v>
      </c>
      <c r="C59" s="39" t="s">
        <v>144</v>
      </c>
      <c r="D59" s="39" t="s">
        <v>145</v>
      </c>
      <c r="E59" s="39" t="s">
        <v>146</v>
      </c>
      <c r="F59" s="39" t="s">
        <v>147</v>
      </c>
      <c r="G59" s="39" t="s">
        <v>148</v>
      </c>
      <c r="H59" s="39" t="s">
        <v>149</v>
      </c>
      <c r="I59" s="39" t="s">
        <v>150</v>
      </c>
      <c r="J59" s="39" t="s">
        <v>151</v>
      </c>
      <c r="K59" s="39" t="s">
        <v>152</v>
      </c>
      <c r="L59" s="39" t="s">
        <v>153</v>
      </c>
      <c r="M59" s="39" t="s">
        <v>154</v>
      </c>
      <c r="N59" s="39" t="s">
        <v>155</v>
      </c>
      <c r="O59" s="39" t="s">
        <v>156</v>
      </c>
      <c r="P59" s="39" t="s">
        <v>157</v>
      </c>
      <c r="Q59" s="39" t="s">
        <v>158</v>
      </c>
      <c r="R59" s="39" t="s">
        <v>159</v>
      </c>
      <c r="S59" s="39" t="s">
        <v>160</v>
      </c>
      <c r="T59" s="39" t="s">
        <v>161</v>
      </c>
      <c r="U59" s="39" t="s">
        <v>162</v>
      </c>
      <c r="V59" s="39" t="s">
        <v>163</v>
      </c>
      <c r="W59" s="39" t="s">
        <v>164</v>
      </c>
      <c r="X59" s="39" t="s">
        <v>165</v>
      </c>
      <c r="Y59" s="39" t="s">
        <v>166</v>
      </c>
      <c r="Z59" s="40" t="s">
        <v>330</v>
      </c>
    </row>
    <row r="60" spans="1:26" x14ac:dyDescent="0.25">
      <c r="A60" s="41" t="s">
        <v>331</v>
      </c>
      <c r="B60" s="42">
        <f>SUMIFS('03_Base_Vendas'!$F$4:$F$387, '03_Base_Vendas'!$A$4:$A$387, B$59, '03_Base_Vendas'!$C$4:$C$387, "perfumes")</f>
        <v>63018.64</v>
      </c>
      <c r="C60" s="42">
        <f>SUMIFS('03_Base_Vendas'!$F$4:$F$387, '03_Base_Vendas'!$A$4:$A$387, C$59, '03_Base_Vendas'!$C$4:$C$387, "perfumes")</f>
        <v>60712.47</v>
      </c>
      <c r="D60" s="42">
        <f>SUMIFS('03_Base_Vendas'!$F$4:$F$387, '03_Base_Vendas'!$A$4:$A$387, D$59, '03_Base_Vendas'!$C$4:$C$387, "perfumes")</f>
        <v>67601.420000000013</v>
      </c>
      <c r="E60" s="42">
        <f>SUMIFS('03_Base_Vendas'!$F$4:$F$387, '03_Base_Vendas'!$A$4:$A$387, E$59, '03_Base_Vendas'!$C$4:$C$387, "perfumes")</f>
        <v>62352.51</v>
      </c>
      <c r="F60" s="42">
        <f>SUMIFS('03_Base_Vendas'!$F$4:$F$387, '03_Base_Vendas'!$A$4:$A$387, F$59, '03_Base_Vendas'!$C$4:$C$387, "perfumes")</f>
        <v>73544.639999999999</v>
      </c>
      <c r="G60" s="42">
        <f>SUMIFS('03_Base_Vendas'!$F$4:$F$387, '03_Base_Vendas'!$A$4:$A$387, G$59, '03_Base_Vendas'!$C$4:$C$387, "perfumes")</f>
        <v>84821.87</v>
      </c>
      <c r="H60" s="42">
        <f>SUMIFS('03_Base_Vendas'!$F$4:$F$387, '03_Base_Vendas'!$A$4:$A$387, H$59, '03_Base_Vendas'!$C$4:$C$387, "perfumes")</f>
        <v>55120.729999999996</v>
      </c>
      <c r="I60" s="42">
        <f>SUMIFS('03_Base_Vendas'!$F$4:$F$387, '03_Base_Vendas'!$A$4:$A$387, I$59, '03_Base_Vendas'!$C$4:$C$387, "perfumes")</f>
        <v>48943.03</v>
      </c>
      <c r="J60" s="42">
        <f>SUMIFS('03_Base_Vendas'!$F$4:$F$387, '03_Base_Vendas'!$A$4:$A$387, J$59, '03_Base_Vendas'!$C$4:$C$387, "perfumes")</f>
        <v>55371.78</v>
      </c>
      <c r="K60" s="42">
        <f>SUMIFS('03_Base_Vendas'!$F$4:$F$387, '03_Base_Vendas'!$A$4:$A$387, K$59, '03_Base_Vendas'!$C$4:$C$387, "perfumes")</f>
        <v>64165.59</v>
      </c>
      <c r="L60" s="42">
        <f>SUMIFS('03_Base_Vendas'!$F$4:$F$387, '03_Base_Vendas'!$A$4:$A$387, L$59, '03_Base_Vendas'!$C$4:$C$387, "perfumes")</f>
        <v>84435.24</v>
      </c>
      <c r="M60" s="42">
        <f>SUMIFS('03_Base_Vendas'!$F$4:$F$387, '03_Base_Vendas'!$A$4:$A$387, M$59, '03_Base_Vendas'!$C$4:$C$387, "perfumes")</f>
        <v>87406.02</v>
      </c>
      <c r="N60" s="42">
        <f>SUMIFS('03_Base_Vendas'!$F$4:$F$387, '03_Base_Vendas'!$A$4:$A$387, N$59, '03_Base_Vendas'!$C$4:$C$387, "perfumes")</f>
        <v>79856.070000000007</v>
      </c>
      <c r="O60" s="42">
        <f>SUMIFS('03_Base_Vendas'!$F$4:$F$387, '03_Base_Vendas'!$A$4:$A$387, O$59, '03_Base_Vendas'!$C$4:$C$387, "perfumes")</f>
        <v>71986.559999999998</v>
      </c>
      <c r="P60" s="42">
        <f>SUMIFS('03_Base_Vendas'!$F$4:$F$387, '03_Base_Vendas'!$A$4:$A$387, P$59, '03_Base_Vendas'!$C$4:$C$387, "perfumes")</f>
        <v>77057.459999999992</v>
      </c>
      <c r="Q60" s="42">
        <f>SUMIFS('03_Base_Vendas'!$F$4:$F$387, '03_Base_Vendas'!$A$4:$A$387, Q$59, '03_Base_Vendas'!$C$4:$C$387, "perfumes")</f>
        <v>59066.67</v>
      </c>
      <c r="R60" s="42">
        <f>SUMIFS('03_Base_Vendas'!$F$4:$F$387, '03_Base_Vendas'!$A$4:$A$387, R$59, '03_Base_Vendas'!$C$4:$C$387, "perfumes")</f>
        <v>97317.11</v>
      </c>
      <c r="S60" s="42">
        <f>SUMIFS('03_Base_Vendas'!$F$4:$F$387, '03_Base_Vendas'!$A$4:$A$387, S$59, '03_Base_Vendas'!$C$4:$C$387, "perfumes")</f>
        <v>83010.930000000008</v>
      </c>
      <c r="T60" s="42">
        <f>SUMIFS('03_Base_Vendas'!$F$4:$F$387, '03_Base_Vendas'!$A$4:$A$387, T$59, '03_Base_Vendas'!$C$4:$C$387, "perfumes")</f>
        <v>79422.09</v>
      </c>
      <c r="U60" s="42">
        <f>SUMIFS('03_Base_Vendas'!$F$4:$F$387, '03_Base_Vendas'!$A$4:$A$387, U$59, '03_Base_Vendas'!$C$4:$C$387, "perfumes")</f>
        <v>69905.47</v>
      </c>
      <c r="V60" s="42">
        <f>SUMIFS('03_Base_Vendas'!$F$4:$F$387, '03_Base_Vendas'!$A$4:$A$387, V$59, '03_Base_Vendas'!$C$4:$C$387, "perfumes")</f>
        <v>65383.5</v>
      </c>
      <c r="W60" s="42">
        <f>SUMIFS('03_Base_Vendas'!$F$4:$F$387, '03_Base_Vendas'!$A$4:$A$387, W$59, '03_Base_Vendas'!$C$4:$C$387, "perfumes")</f>
        <v>66888.01999999999</v>
      </c>
      <c r="X60" s="42">
        <f>SUMIFS('03_Base_Vendas'!$F$4:$F$387, '03_Base_Vendas'!$A$4:$A$387, X$59, '03_Base_Vendas'!$C$4:$C$387, "perfumes")</f>
        <v>105700.29000000001</v>
      </c>
      <c r="Y60" s="42">
        <f>SUMIFS('03_Base_Vendas'!$F$4:$F$387, '03_Base_Vendas'!$A$4:$A$387, Y$59, '03_Base_Vendas'!$C$4:$C$387, "perfumes")</f>
        <v>92239.83</v>
      </c>
      <c r="Z60" s="43">
        <f t="shared" ref="Z60:Z65" si="22">SUM(B60:Y60)</f>
        <v>1755327.9400000002</v>
      </c>
    </row>
    <row r="61" spans="1:26" x14ac:dyDescent="0.25">
      <c r="A61" s="41" t="s">
        <v>332</v>
      </c>
      <c r="B61" s="42">
        <f>SUMIFS('03_Base_Vendas'!$G$4:$G$387, '03_Base_Vendas'!$A$4:$A$387, B$59, '03_Base_Vendas'!$C$4:$C$387, "perfumes")</f>
        <v>2773</v>
      </c>
      <c r="C61" s="42">
        <f>SUMIFS('03_Base_Vendas'!$G$4:$G$387, '03_Base_Vendas'!$A$4:$A$387, C$59, '03_Base_Vendas'!$C$4:$C$387, "perfumes")</f>
        <v>3337.06</v>
      </c>
      <c r="D61" s="42">
        <f>SUMIFS('03_Base_Vendas'!$G$4:$G$387, '03_Base_Vendas'!$A$4:$A$387, D$59, '03_Base_Vendas'!$C$4:$C$387, "perfumes")</f>
        <v>1644.96</v>
      </c>
      <c r="E61" s="42">
        <f>SUMIFS('03_Base_Vendas'!$G$4:$G$387, '03_Base_Vendas'!$A$4:$A$387, E$59, '03_Base_Vendas'!$C$4:$C$387, "perfumes")</f>
        <v>2217.19</v>
      </c>
      <c r="F61" s="42">
        <f>SUMIFS('03_Base_Vendas'!$G$4:$G$387, '03_Base_Vendas'!$A$4:$A$387, F$59, '03_Base_Vendas'!$C$4:$C$387, "perfumes")</f>
        <v>2677.66</v>
      </c>
      <c r="G61" s="42">
        <f>SUMIFS('03_Base_Vendas'!$G$4:$G$387, '03_Base_Vendas'!$A$4:$A$387, G$59, '03_Base_Vendas'!$C$4:$C$387, "perfumes")</f>
        <v>3811.8099999999995</v>
      </c>
      <c r="H61" s="42">
        <f>SUMIFS('03_Base_Vendas'!$G$4:$G$387, '03_Base_Vendas'!$A$4:$A$387, H$59, '03_Base_Vendas'!$C$4:$C$387, "perfumes")</f>
        <v>1119.04</v>
      </c>
      <c r="I61" s="42">
        <f>SUMIFS('03_Base_Vendas'!$G$4:$G$387, '03_Base_Vendas'!$A$4:$A$387, I$59, '03_Base_Vendas'!$C$4:$C$387, "perfumes")</f>
        <v>4553.8099999999995</v>
      </c>
      <c r="J61" s="42">
        <f>SUMIFS('03_Base_Vendas'!$G$4:$G$387, '03_Base_Vendas'!$A$4:$A$387, J$59, '03_Base_Vendas'!$C$4:$C$387, "perfumes")</f>
        <v>1710.32</v>
      </c>
      <c r="K61" s="42">
        <f>SUMIFS('03_Base_Vendas'!$G$4:$G$387, '03_Base_Vendas'!$A$4:$A$387, K$59, '03_Base_Vendas'!$C$4:$C$387, "perfumes")</f>
        <v>3458.45</v>
      </c>
      <c r="L61" s="42">
        <f>SUMIFS('03_Base_Vendas'!$G$4:$G$387, '03_Base_Vendas'!$A$4:$A$387, L$59, '03_Base_Vendas'!$C$4:$C$387, "perfumes")</f>
        <v>3865.8100000000004</v>
      </c>
      <c r="M61" s="42">
        <f>SUMIFS('03_Base_Vendas'!$G$4:$G$387, '03_Base_Vendas'!$A$4:$A$387, M$59, '03_Base_Vendas'!$C$4:$C$387, "perfumes")</f>
        <v>4446.58</v>
      </c>
      <c r="N61" s="42">
        <f>SUMIFS('03_Base_Vendas'!$G$4:$G$387, '03_Base_Vendas'!$A$4:$A$387, N$59, '03_Base_Vendas'!$C$4:$C$387, "perfumes")</f>
        <v>2055.48</v>
      </c>
      <c r="O61" s="42">
        <f>SUMIFS('03_Base_Vendas'!$G$4:$G$387, '03_Base_Vendas'!$A$4:$A$387, O$59, '03_Base_Vendas'!$C$4:$C$387, "perfumes")</f>
        <v>727.18</v>
      </c>
      <c r="P61" s="42">
        <f>SUMIFS('03_Base_Vendas'!$G$4:$G$387, '03_Base_Vendas'!$A$4:$A$387, P$59, '03_Base_Vendas'!$C$4:$C$387, "perfumes")</f>
        <v>3050.5899999999997</v>
      </c>
      <c r="Q61" s="42">
        <f>SUMIFS('03_Base_Vendas'!$G$4:$G$387, '03_Base_Vendas'!$A$4:$A$387, Q$59, '03_Base_Vendas'!$C$4:$C$387, "perfumes")</f>
        <v>1780.06</v>
      </c>
      <c r="R61" s="42">
        <f>SUMIFS('03_Base_Vendas'!$G$4:$G$387, '03_Base_Vendas'!$A$4:$A$387, R$59, '03_Base_Vendas'!$C$4:$C$387, "perfumes")</f>
        <v>5029.8</v>
      </c>
      <c r="S61" s="42">
        <f>SUMIFS('03_Base_Vendas'!$G$4:$G$387, '03_Base_Vendas'!$A$4:$A$387, S$59, '03_Base_Vendas'!$C$4:$C$387, "perfumes")</f>
        <v>2040.29</v>
      </c>
      <c r="T61" s="42">
        <f>SUMIFS('03_Base_Vendas'!$G$4:$G$387, '03_Base_Vendas'!$A$4:$A$387, T$59, '03_Base_Vendas'!$C$4:$C$387, "perfumes")</f>
        <v>4207.6099999999997</v>
      </c>
      <c r="U61" s="42">
        <f>SUMIFS('03_Base_Vendas'!$G$4:$G$387, '03_Base_Vendas'!$A$4:$A$387, U$59, '03_Base_Vendas'!$C$4:$C$387, "perfumes")</f>
        <v>2389.6999999999998</v>
      </c>
      <c r="V61" s="42">
        <f>SUMIFS('03_Base_Vendas'!$G$4:$G$387, '03_Base_Vendas'!$A$4:$A$387, V$59, '03_Base_Vendas'!$C$4:$C$387, "perfumes")</f>
        <v>1639.62</v>
      </c>
      <c r="W61" s="42">
        <f>SUMIFS('03_Base_Vendas'!$G$4:$G$387, '03_Base_Vendas'!$A$4:$A$387, W$59, '03_Base_Vendas'!$C$4:$C$387, "perfumes")</f>
        <v>2561.84</v>
      </c>
      <c r="X61" s="42">
        <f>SUMIFS('03_Base_Vendas'!$G$4:$G$387, '03_Base_Vendas'!$A$4:$A$387, X$59, '03_Base_Vendas'!$C$4:$C$387, "perfumes")</f>
        <v>2055.66</v>
      </c>
      <c r="Y61" s="42">
        <f>SUMIFS('03_Base_Vendas'!$G$4:$G$387, '03_Base_Vendas'!$A$4:$A$387, Y$59, '03_Base_Vendas'!$C$4:$C$387, "perfumes")</f>
        <v>893.31000000000017</v>
      </c>
      <c r="Z61" s="43">
        <f t="shared" si="22"/>
        <v>64046.83</v>
      </c>
    </row>
    <row r="62" spans="1:26" x14ac:dyDescent="0.25">
      <c r="A62" s="41" t="s">
        <v>333</v>
      </c>
      <c r="B62" s="42">
        <f>SUMIFS('03_Base_Vendas'!$H$4:$H$387, '03_Base_Vendas'!$A$4:$A$387, B$59, '03_Base_Vendas'!$C$4:$C$387, "perfumes")</f>
        <v>5730.87</v>
      </c>
      <c r="C62" s="42">
        <f>SUMIFS('03_Base_Vendas'!$H$4:$H$387, '03_Base_Vendas'!$A$4:$A$387, C$59, '03_Base_Vendas'!$C$4:$C$387, "perfumes")</f>
        <v>4894.0200000000004</v>
      </c>
      <c r="D62" s="42">
        <f>SUMIFS('03_Base_Vendas'!$H$4:$H$387, '03_Base_Vendas'!$A$4:$A$387, D$59, '03_Base_Vendas'!$C$4:$C$387, "perfumes")</f>
        <v>5831.6900000000005</v>
      </c>
      <c r="E62" s="42">
        <f>SUMIFS('03_Base_Vendas'!$H$4:$H$387, '03_Base_Vendas'!$A$4:$A$387, E$59, '03_Base_Vendas'!$C$4:$C$387, "perfumes")</f>
        <v>5087.75</v>
      </c>
      <c r="F62" s="42">
        <f>SUMIFS('03_Base_Vendas'!$H$4:$H$387, '03_Base_Vendas'!$A$4:$A$387, F$59, '03_Base_Vendas'!$C$4:$C$387, "perfumes")</f>
        <v>6038.8600000000006</v>
      </c>
      <c r="G62" s="42">
        <f>SUMIFS('03_Base_Vendas'!$H$4:$H$387, '03_Base_Vendas'!$A$4:$A$387, G$59, '03_Base_Vendas'!$C$4:$C$387, "perfumes")</f>
        <v>6746.22</v>
      </c>
      <c r="H62" s="42">
        <f>SUMIFS('03_Base_Vendas'!$H$4:$H$387, '03_Base_Vendas'!$A$4:$A$387, H$59, '03_Base_Vendas'!$C$4:$C$387, "perfumes")</f>
        <v>4093.56</v>
      </c>
      <c r="I62" s="42">
        <f>SUMIFS('03_Base_Vendas'!$H$4:$H$387, '03_Base_Vendas'!$A$4:$A$387, I$59, '03_Base_Vendas'!$C$4:$C$387, "perfumes")</f>
        <v>3791.5</v>
      </c>
      <c r="J62" s="42">
        <f>SUMIFS('03_Base_Vendas'!$H$4:$H$387, '03_Base_Vendas'!$A$4:$A$387, J$59, '03_Base_Vendas'!$C$4:$C$387, "perfumes")</f>
        <v>4206.1499999999996</v>
      </c>
      <c r="K62" s="42">
        <f>SUMIFS('03_Base_Vendas'!$H$4:$H$387, '03_Base_Vendas'!$A$4:$A$387, K$59, '03_Base_Vendas'!$C$4:$C$387, "perfumes")</f>
        <v>5972.0599999999995</v>
      </c>
      <c r="L62" s="42">
        <f>SUMIFS('03_Base_Vendas'!$H$4:$H$387, '03_Base_Vendas'!$A$4:$A$387, L$59, '03_Base_Vendas'!$C$4:$C$387, "perfumes")</f>
        <v>7802.5700000000006</v>
      </c>
      <c r="M62" s="42">
        <f>SUMIFS('03_Base_Vendas'!$H$4:$H$387, '03_Base_Vendas'!$A$4:$A$387, M$59, '03_Base_Vendas'!$C$4:$C$387, "perfumes")</f>
        <v>7879.2800000000007</v>
      </c>
      <c r="N62" s="42">
        <f>SUMIFS('03_Base_Vendas'!$H$4:$H$387, '03_Base_Vendas'!$A$4:$A$387, N$59, '03_Base_Vendas'!$C$4:$C$387, "perfumes")</f>
        <v>6985.9500000000007</v>
      </c>
      <c r="O62" s="42">
        <f>SUMIFS('03_Base_Vendas'!$H$4:$H$387, '03_Base_Vendas'!$A$4:$A$387, O$59, '03_Base_Vendas'!$C$4:$C$387, "perfumes")</f>
        <v>6772.51</v>
      </c>
      <c r="P62" s="42">
        <f>SUMIFS('03_Base_Vendas'!$H$4:$H$387, '03_Base_Vendas'!$A$4:$A$387, P$59, '03_Base_Vendas'!$C$4:$C$387, "perfumes")</f>
        <v>6518.54</v>
      </c>
      <c r="Q62" s="42">
        <f>SUMIFS('03_Base_Vendas'!$H$4:$H$387, '03_Base_Vendas'!$A$4:$A$387, Q$59, '03_Base_Vendas'!$C$4:$C$387, "perfumes")</f>
        <v>4666.1099999999997</v>
      </c>
      <c r="R62" s="42">
        <f>SUMIFS('03_Base_Vendas'!$H$4:$H$387, '03_Base_Vendas'!$A$4:$A$387, R$59, '03_Base_Vendas'!$C$4:$C$387, "perfumes")</f>
        <v>8939.34</v>
      </c>
      <c r="S62" s="42">
        <f>SUMIFS('03_Base_Vendas'!$H$4:$H$387, '03_Base_Vendas'!$A$4:$A$387, S$59, '03_Base_Vendas'!$C$4:$C$387, "perfumes")</f>
        <v>6978.1399999999994</v>
      </c>
      <c r="T62" s="42">
        <f>SUMIFS('03_Base_Vendas'!$H$4:$H$387, '03_Base_Vendas'!$A$4:$A$387, T$59, '03_Base_Vendas'!$C$4:$C$387, "perfumes")</f>
        <v>6759.43</v>
      </c>
      <c r="U62" s="42">
        <f>SUMIFS('03_Base_Vendas'!$H$4:$H$387, '03_Base_Vendas'!$A$4:$A$387, U$59, '03_Base_Vendas'!$C$4:$C$387, "perfumes")</f>
        <v>5826.11</v>
      </c>
      <c r="V62" s="42">
        <f>SUMIFS('03_Base_Vendas'!$H$4:$H$387, '03_Base_Vendas'!$A$4:$A$387, V$59, '03_Base_Vendas'!$C$4:$C$387, "perfumes")</f>
        <v>6287.93</v>
      </c>
      <c r="W62" s="42">
        <f>SUMIFS('03_Base_Vendas'!$H$4:$H$387, '03_Base_Vendas'!$A$4:$A$387, W$59, '03_Base_Vendas'!$C$4:$C$387, "perfumes")</f>
        <v>6429.12</v>
      </c>
      <c r="X62" s="42">
        <f>SUMIFS('03_Base_Vendas'!$H$4:$H$387, '03_Base_Vendas'!$A$4:$A$387, X$59, '03_Base_Vendas'!$C$4:$C$387, "perfumes")</f>
        <v>8768.1500000000015</v>
      </c>
      <c r="Y62" s="42">
        <f>SUMIFS('03_Base_Vendas'!$H$4:$H$387, '03_Base_Vendas'!$A$4:$A$387, Y$59, '03_Base_Vendas'!$C$4:$C$387, "perfumes")</f>
        <v>7848.79</v>
      </c>
      <c r="Z62" s="43">
        <f t="shared" si="22"/>
        <v>150854.65</v>
      </c>
    </row>
    <row r="63" spans="1:26" x14ac:dyDescent="0.25">
      <c r="A63" s="44" t="s">
        <v>334</v>
      </c>
      <c r="B63" s="45">
        <f t="shared" ref="B63:Y63" si="23">B60-B61-B62</f>
        <v>54514.77</v>
      </c>
      <c r="C63" s="45">
        <f t="shared" si="23"/>
        <v>52481.39</v>
      </c>
      <c r="D63" s="45">
        <f t="shared" si="23"/>
        <v>60124.770000000004</v>
      </c>
      <c r="E63" s="45">
        <f t="shared" si="23"/>
        <v>55047.57</v>
      </c>
      <c r="F63" s="45">
        <f t="shared" si="23"/>
        <v>64828.119999999995</v>
      </c>
      <c r="G63" s="45">
        <f t="shared" si="23"/>
        <v>74263.839999999997</v>
      </c>
      <c r="H63" s="45">
        <f t="shared" si="23"/>
        <v>49908.13</v>
      </c>
      <c r="I63" s="45">
        <f t="shared" si="23"/>
        <v>40597.72</v>
      </c>
      <c r="J63" s="45">
        <f t="shared" si="23"/>
        <v>49455.31</v>
      </c>
      <c r="K63" s="45">
        <f t="shared" si="23"/>
        <v>54735.08</v>
      </c>
      <c r="L63" s="45">
        <f t="shared" si="23"/>
        <v>72766.86</v>
      </c>
      <c r="M63" s="45">
        <f t="shared" si="23"/>
        <v>75080.160000000003</v>
      </c>
      <c r="N63" s="45">
        <f t="shared" si="23"/>
        <v>70814.640000000014</v>
      </c>
      <c r="O63" s="45">
        <f t="shared" si="23"/>
        <v>64486.87</v>
      </c>
      <c r="P63" s="45">
        <f t="shared" si="23"/>
        <v>67488.33</v>
      </c>
      <c r="Q63" s="45">
        <f t="shared" si="23"/>
        <v>52620.5</v>
      </c>
      <c r="R63" s="45">
        <f t="shared" si="23"/>
        <v>83347.97</v>
      </c>
      <c r="S63" s="45">
        <f t="shared" si="23"/>
        <v>73992.500000000015</v>
      </c>
      <c r="T63" s="45">
        <f t="shared" si="23"/>
        <v>68455.049999999988</v>
      </c>
      <c r="U63" s="45">
        <f t="shared" si="23"/>
        <v>61689.66</v>
      </c>
      <c r="V63" s="45">
        <f t="shared" si="23"/>
        <v>57455.95</v>
      </c>
      <c r="W63" s="45">
        <f t="shared" si="23"/>
        <v>57897.05999999999</v>
      </c>
      <c r="X63" s="45">
        <f t="shared" si="23"/>
        <v>94876.48000000001</v>
      </c>
      <c r="Y63" s="45">
        <f t="shared" si="23"/>
        <v>83497.73000000001</v>
      </c>
      <c r="Z63" s="43">
        <f t="shared" si="22"/>
        <v>1540426.46</v>
      </c>
    </row>
    <row r="64" spans="1:26" x14ac:dyDescent="0.25">
      <c r="A64" s="41" t="s">
        <v>335</v>
      </c>
      <c r="B64" s="42">
        <f>SUMIFS('03_Base_Vendas'!$J$4:$J$387, '03_Base_Vendas'!$A$4:$A$387, B$59, '03_Base_Vendas'!$C$4:$C$387, "perfumes")</f>
        <v>33591.26</v>
      </c>
      <c r="C64" s="42">
        <f>SUMIFS('03_Base_Vendas'!$J$4:$J$387, '03_Base_Vendas'!$A$4:$A$387, C$59, '03_Base_Vendas'!$C$4:$C$387, "perfumes")</f>
        <v>32632.230000000003</v>
      </c>
      <c r="D64" s="42">
        <f>SUMIFS('03_Base_Vendas'!$J$4:$J$387, '03_Base_Vendas'!$A$4:$A$387, D$59, '03_Base_Vendas'!$C$4:$C$387, "perfumes")</f>
        <v>36494.699999999997</v>
      </c>
      <c r="E64" s="42">
        <f>SUMIFS('03_Base_Vendas'!$J$4:$J$387, '03_Base_Vendas'!$A$4:$A$387, E$59, '03_Base_Vendas'!$C$4:$C$387, "perfumes")</f>
        <v>33392.79</v>
      </c>
      <c r="F64" s="42">
        <f>SUMIFS('03_Base_Vendas'!$J$4:$J$387, '03_Base_Vendas'!$A$4:$A$387, F$59, '03_Base_Vendas'!$C$4:$C$387, "perfumes")</f>
        <v>39508.239999999998</v>
      </c>
      <c r="G64" s="42">
        <f>SUMIFS('03_Base_Vendas'!$J$4:$J$387, '03_Base_Vendas'!$A$4:$A$387, G$59, '03_Base_Vendas'!$C$4:$C$387, "perfumes")</f>
        <v>45645.78</v>
      </c>
      <c r="H64" s="42">
        <f>SUMIFS('03_Base_Vendas'!$J$4:$J$387, '03_Base_Vendas'!$A$4:$A$387, H$59, '03_Base_Vendas'!$C$4:$C$387, "perfumes")</f>
        <v>29822.21</v>
      </c>
      <c r="I64" s="42">
        <f>SUMIFS('03_Base_Vendas'!$J$4:$J$387, '03_Base_Vendas'!$A$4:$A$387, I$59, '03_Base_Vendas'!$C$4:$C$387, "perfumes")</f>
        <v>25993.879999999997</v>
      </c>
      <c r="J64" s="42">
        <f>SUMIFS('03_Base_Vendas'!$J$4:$J$387, '03_Base_Vendas'!$A$4:$A$387, J$59, '03_Base_Vendas'!$C$4:$C$387, "perfumes")</f>
        <v>29851.07</v>
      </c>
      <c r="K64" s="42">
        <f>SUMIFS('03_Base_Vendas'!$J$4:$J$387, '03_Base_Vendas'!$A$4:$A$387, K$59, '03_Base_Vendas'!$C$4:$C$387, "perfumes")</f>
        <v>34756.449999999997</v>
      </c>
      <c r="L64" s="42">
        <f>SUMIFS('03_Base_Vendas'!$J$4:$J$387, '03_Base_Vendas'!$A$4:$A$387, L$59, '03_Base_Vendas'!$C$4:$C$387, "perfumes")</f>
        <v>45409.869999999995</v>
      </c>
      <c r="M64" s="42">
        <f>SUMIFS('03_Base_Vendas'!$J$4:$J$387, '03_Base_Vendas'!$A$4:$A$387, M$59, '03_Base_Vendas'!$C$4:$C$387, "perfumes")</f>
        <v>46698.81</v>
      </c>
      <c r="N64" s="42">
        <f>SUMIFS('03_Base_Vendas'!$J$4:$J$387, '03_Base_Vendas'!$A$4:$A$387, N$59, '03_Base_Vendas'!$C$4:$C$387, "perfumes")</f>
        <v>43170.75</v>
      </c>
      <c r="O64" s="42">
        <f>SUMIFS('03_Base_Vendas'!$J$4:$J$387, '03_Base_Vendas'!$A$4:$A$387, O$59, '03_Base_Vendas'!$C$4:$C$387, "perfumes")</f>
        <v>39289.58</v>
      </c>
      <c r="P64" s="42">
        <f>SUMIFS('03_Base_Vendas'!$J$4:$J$387, '03_Base_Vendas'!$A$4:$A$387, P$59, '03_Base_Vendas'!$C$4:$C$387, "perfumes")</f>
        <v>41376.43</v>
      </c>
      <c r="Q64" s="42">
        <f>SUMIFS('03_Base_Vendas'!$J$4:$J$387, '03_Base_Vendas'!$A$4:$A$387, Q$59, '03_Base_Vendas'!$C$4:$C$387, "perfumes")</f>
        <v>31188.89</v>
      </c>
      <c r="R64" s="42">
        <f>SUMIFS('03_Base_Vendas'!$J$4:$J$387, '03_Base_Vendas'!$A$4:$A$387, R$59, '03_Base_Vendas'!$C$4:$C$387, "perfumes")</f>
        <v>52622.210000000006</v>
      </c>
      <c r="S64" s="42">
        <f>SUMIFS('03_Base_Vendas'!$J$4:$J$387, '03_Base_Vendas'!$A$4:$A$387, S$59, '03_Base_Vendas'!$C$4:$C$387, "perfumes")</f>
        <v>44241.99</v>
      </c>
      <c r="T64" s="42">
        <f>SUMIFS('03_Base_Vendas'!$J$4:$J$387, '03_Base_Vendas'!$A$4:$A$387, T$59, '03_Base_Vendas'!$C$4:$C$387, "perfumes")</f>
        <v>42853.34</v>
      </c>
      <c r="U64" s="42">
        <f>SUMIFS('03_Base_Vendas'!$J$4:$J$387, '03_Base_Vendas'!$A$4:$A$387, U$59, '03_Base_Vendas'!$C$4:$C$387, "perfumes")</f>
        <v>37239.46</v>
      </c>
      <c r="V64" s="42">
        <f>SUMIFS('03_Base_Vendas'!$J$4:$J$387, '03_Base_Vendas'!$A$4:$A$387, V$59, '03_Base_Vendas'!$C$4:$C$387, "perfumes")</f>
        <v>34694.89</v>
      </c>
      <c r="W64" s="42">
        <f>SUMIFS('03_Base_Vendas'!$J$4:$J$387, '03_Base_Vendas'!$A$4:$A$387, W$59, '03_Base_Vendas'!$C$4:$C$387, "perfumes")</f>
        <v>35790.54</v>
      </c>
      <c r="X64" s="42">
        <f>SUMIFS('03_Base_Vendas'!$J$4:$J$387, '03_Base_Vendas'!$A$4:$A$387, X$59, '03_Base_Vendas'!$C$4:$C$387, "perfumes")</f>
        <v>56272.58</v>
      </c>
      <c r="Y64" s="42">
        <f>SUMIFS('03_Base_Vendas'!$J$4:$J$387, '03_Base_Vendas'!$A$4:$A$387, Y$59, '03_Base_Vendas'!$C$4:$C$387, "perfumes")</f>
        <v>49244.74</v>
      </c>
      <c r="Z64" s="43">
        <f t="shared" si="22"/>
        <v>941782.69</v>
      </c>
    </row>
    <row r="65" spans="1:26" x14ac:dyDescent="0.25">
      <c r="A65" s="44" t="s">
        <v>336</v>
      </c>
      <c r="B65" s="45">
        <f t="shared" ref="B65:Y65" si="24">B63-B64</f>
        <v>20923.509999999995</v>
      </c>
      <c r="C65" s="45">
        <f t="shared" si="24"/>
        <v>19849.159999999996</v>
      </c>
      <c r="D65" s="45">
        <f t="shared" si="24"/>
        <v>23630.070000000007</v>
      </c>
      <c r="E65" s="45">
        <f t="shared" si="24"/>
        <v>21654.78</v>
      </c>
      <c r="F65" s="45">
        <f t="shared" si="24"/>
        <v>25319.879999999997</v>
      </c>
      <c r="G65" s="45">
        <f t="shared" si="24"/>
        <v>28618.059999999998</v>
      </c>
      <c r="H65" s="45">
        <f t="shared" si="24"/>
        <v>20085.919999999998</v>
      </c>
      <c r="I65" s="45">
        <f t="shared" si="24"/>
        <v>14603.840000000004</v>
      </c>
      <c r="J65" s="45">
        <f t="shared" si="24"/>
        <v>19604.239999999998</v>
      </c>
      <c r="K65" s="45">
        <f t="shared" si="24"/>
        <v>19978.630000000005</v>
      </c>
      <c r="L65" s="45">
        <f t="shared" si="24"/>
        <v>27356.990000000005</v>
      </c>
      <c r="M65" s="45">
        <f t="shared" si="24"/>
        <v>28381.350000000006</v>
      </c>
      <c r="N65" s="45">
        <f t="shared" si="24"/>
        <v>27643.890000000014</v>
      </c>
      <c r="O65" s="45">
        <f t="shared" si="24"/>
        <v>25197.29</v>
      </c>
      <c r="P65" s="45">
        <f t="shared" si="24"/>
        <v>26111.9</v>
      </c>
      <c r="Q65" s="45">
        <f t="shared" si="24"/>
        <v>21431.61</v>
      </c>
      <c r="R65" s="45">
        <f t="shared" si="24"/>
        <v>30725.759999999995</v>
      </c>
      <c r="S65" s="45">
        <f t="shared" si="24"/>
        <v>29750.510000000017</v>
      </c>
      <c r="T65" s="45">
        <f t="shared" si="24"/>
        <v>25601.709999999992</v>
      </c>
      <c r="U65" s="45">
        <f t="shared" si="24"/>
        <v>24450.200000000004</v>
      </c>
      <c r="V65" s="45">
        <f t="shared" si="24"/>
        <v>22761.059999999998</v>
      </c>
      <c r="W65" s="45">
        <f t="shared" si="24"/>
        <v>22106.51999999999</v>
      </c>
      <c r="X65" s="45">
        <f t="shared" si="24"/>
        <v>38603.900000000009</v>
      </c>
      <c r="Y65" s="45">
        <f t="shared" si="24"/>
        <v>34252.990000000013</v>
      </c>
      <c r="Z65" s="43">
        <f t="shared" si="22"/>
        <v>598643.77000000014</v>
      </c>
    </row>
    <row r="66" spans="1:26" x14ac:dyDescent="0.25">
      <c r="A66" s="41" t="s">
        <v>337</v>
      </c>
      <c r="B66" s="46">
        <f t="shared" ref="B66:Y66" si="25">IFERROR(B65/B63,0)</f>
        <v>0.38381359767270407</v>
      </c>
      <c r="C66" s="46">
        <f t="shared" si="25"/>
        <v>0.37821330570703249</v>
      </c>
      <c r="D66" s="46">
        <f t="shared" si="25"/>
        <v>0.39301722068957612</v>
      </c>
      <c r="E66" s="46">
        <f t="shared" si="25"/>
        <v>0.39338303216654247</v>
      </c>
      <c r="F66" s="46">
        <f t="shared" si="25"/>
        <v>0.3905694010562083</v>
      </c>
      <c r="G66" s="46">
        <f t="shared" si="25"/>
        <v>0.38535658807839723</v>
      </c>
      <c r="H66" s="46">
        <f t="shared" si="25"/>
        <v>0.40245787610154898</v>
      </c>
      <c r="I66" s="46">
        <f t="shared" si="25"/>
        <v>0.35972069367442316</v>
      </c>
      <c r="J66" s="46">
        <f t="shared" si="25"/>
        <v>0.39640313648827596</v>
      </c>
      <c r="K66" s="46">
        <f t="shared" si="25"/>
        <v>0.36500595230700317</v>
      </c>
      <c r="L66" s="46">
        <f t="shared" si="25"/>
        <v>0.3759539713545425</v>
      </c>
      <c r="M66" s="46">
        <f t="shared" si="25"/>
        <v>0.37801397865960867</v>
      </c>
      <c r="N66" s="46">
        <f t="shared" si="25"/>
        <v>0.39036970321391185</v>
      </c>
      <c r="O66" s="46">
        <f t="shared" si="25"/>
        <v>0.39073519927389871</v>
      </c>
      <c r="P66" s="46">
        <f t="shared" si="25"/>
        <v>0.38690985537795941</v>
      </c>
      <c r="Q66" s="46">
        <f t="shared" si="25"/>
        <v>0.40728632377115381</v>
      </c>
      <c r="R66" s="46">
        <f t="shared" si="25"/>
        <v>0.36864437130262434</v>
      </c>
      <c r="S66" s="46">
        <f t="shared" si="25"/>
        <v>0.40207466973004036</v>
      </c>
      <c r="T66" s="46">
        <f t="shared" si="25"/>
        <v>0.37399300709005395</v>
      </c>
      <c r="U66" s="46">
        <f t="shared" si="25"/>
        <v>0.39634194774294434</v>
      </c>
      <c r="V66" s="46">
        <f t="shared" si="25"/>
        <v>0.39614800555904128</v>
      </c>
      <c r="W66" s="46">
        <f t="shared" si="25"/>
        <v>0.38182456933046327</v>
      </c>
      <c r="X66" s="46">
        <f t="shared" si="25"/>
        <v>0.40688587940867965</v>
      </c>
      <c r="Y66" s="46">
        <f t="shared" si="25"/>
        <v>0.41022660136988165</v>
      </c>
      <c r="Z66" s="47">
        <f>IFERROR($Z$65/$Z$63,0)</f>
        <v>0.38862210273900394</v>
      </c>
    </row>
    <row r="67" spans="1:26" x14ac:dyDescent="0.25">
      <c r="A67" s="41" t="s">
        <v>338</v>
      </c>
      <c r="B67" s="42">
        <f>(SUMIFS('04_Base_Despesas'!$D$4:$D$219, '04_Base_Despesas'!$A$4:$A$219, B$59, '04_Base_Despesas'!$B$4:$B$219, "pessoal"))*(IFERROR(SUMIFS('03_Base_Vendas'!$I$4:$I$387, '03_Base_Vendas'!$A$4:$A$387, B$59, '03_Base_Vendas'!$C$4:$C$387, "perfumes")/SUMIFS('03_Base_Vendas'!$I$4:$I$387, '03_Base_Vendas'!$A$4:$A$387, B$59),0))</f>
        <v>18405.94225331859</v>
      </c>
      <c r="C67" s="42">
        <f>(SUMIFS('04_Base_Despesas'!$D$4:$D$219, '04_Base_Despesas'!$A$4:$A$219, C$59, '04_Base_Despesas'!$B$4:$B$219, "pessoal"))*(IFERROR(SUMIFS('03_Base_Vendas'!$I$4:$I$387, '03_Base_Vendas'!$A$4:$A$387, C$59, '03_Base_Vendas'!$C$4:$C$387, "perfumes")/SUMIFS('03_Base_Vendas'!$I$4:$I$387, '03_Base_Vendas'!$A$4:$A$387, C$59),0))</f>
        <v>21934.996132087261</v>
      </c>
      <c r="D67" s="42">
        <f>(SUMIFS('04_Base_Despesas'!$D$4:$D$219, '04_Base_Despesas'!$A$4:$A$219, D$59, '04_Base_Despesas'!$B$4:$B$219, "pessoal"))*(IFERROR(SUMIFS('03_Base_Vendas'!$I$4:$I$387, '03_Base_Vendas'!$A$4:$A$387, D$59, '03_Base_Vendas'!$C$4:$C$387, "perfumes")/SUMIFS('03_Base_Vendas'!$I$4:$I$387, '03_Base_Vendas'!$A$4:$A$387, D$59),0))</f>
        <v>19813.960551798202</v>
      </c>
      <c r="E67" s="42">
        <f>(SUMIFS('04_Base_Despesas'!$D$4:$D$219, '04_Base_Despesas'!$A$4:$A$219, E$59, '04_Base_Despesas'!$B$4:$B$219, "pessoal"))*(IFERROR(SUMIFS('03_Base_Vendas'!$I$4:$I$387, '03_Base_Vendas'!$A$4:$A$387, E$59, '03_Base_Vendas'!$C$4:$C$387, "perfumes")/SUMIFS('03_Base_Vendas'!$I$4:$I$387, '03_Base_Vendas'!$A$4:$A$387, E$59),0))</f>
        <v>19478.1423872827</v>
      </c>
      <c r="F67" s="42">
        <f>(SUMIFS('04_Base_Despesas'!$D$4:$D$219, '04_Base_Despesas'!$A$4:$A$219, F$59, '04_Base_Despesas'!$B$4:$B$219, "pessoal"))*(IFERROR(SUMIFS('03_Base_Vendas'!$I$4:$I$387, '03_Base_Vendas'!$A$4:$A$387, F$59, '03_Base_Vendas'!$C$4:$C$387, "perfumes")/SUMIFS('03_Base_Vendas'!$I$4:$I$387, '03_Base_Vendas'!$A$4:$A$387, F$59),0))</f>
        <v>17282.892987524563</v>
      </c>
      <c r="G67" s="42">
        <f>(SUMIFS('04_Base_Despesas'!$D$4:$D$219, '04_Base_Despesas'!$A$4:$A$219, G$59, '04_Base_Despesas'!$B$4:$B$219, "pessoal"))*(IFERROR(SUMIFS('03_Base_Vendas'!$I$4:$I$387, '03_Base_Vendas'!$A$4:$A$387, G$59, '03_Base_Vendas'!$C$4:$C$387, "perfumes")/SUMIFS('03_Base_Vendas'!$I$4:$I$387, '03_Base_Vendas'!$A$4:$A$387, G$59),0))</f>
        <v>22133.076673742933</v>
      </c>
      <c r="H67" s="42">
        <f>(SUMIFS('04_Base_Despesas'!$D$4:$D$219, '04_Base_Despesas'!$A$4:$A$219, H$59, '04_Base_Despesas'!$B$4:$B$219, "pessoal"))*(IFERROR(SUMIFS('03_Base_Vendas'!$I$4:$I$387, '03_Base_Vendas'!$A$4:$A$387, H$59, '03_Base_Vendas'!$C$4:$C$387, "perfumes")/SUMIFS('03_Base_Vendas'!$I$4:$I$387, '03_Base_Vendas'!$A$4:$A$387, H$59),0))</f>
        <v>20040.310044907186</v>
      </c>
      <c r="I67" s="42">
        <f>(SUMIFS('04_Base_Despesas'!$D$4:$D$219, '04_Base_Despesas'!$A$4:$A$219, I$59, '04_Base_Despesas'!$B$4:$B$219, "pessoal"))*(IFERROR(SUMIFS('03_Base_Vendas'!$I$4:$I$387, '03_Base_Vendas'!$A$4:$A$387, I$59, '03_Base_Vendas'!$C$4:$C$387, "perfumes")/SUMIFS('03_Base_Vendas'!$I$4:$I$387, '03_Base_Vendas'!$A$4:$A$387, I$59),0))</f>
        <v>16341.921725520964</v>
      </c>
      <c r="J67" s="42">
        <f>(SUMIFS('04_Base_Despesas'!$D$4:$D$219, '04_Base_Despesas'!$A$4:$A$219, J$59, '04_Base_Despesas'!$B$4:$B$219, "pessoal"))*(IFERROR(SUMIFS('03_Base_Vendas'!$I$4:$I$387, '03_Base_Vendas'!$A$4:$A$387, J$59, '03_Base_Vendas'!$C$4:$C$387, "perfumes")/SUMIFS('03_Base_Vendas'!$I$4:$I$387, '03_Base_Vendas'!$A$4:$A$387, J$59),0))</f>
        <v>19089.182842738046</v>
      </c>
      <c r="K67" s="42">
        <f>(SUMIFS('04_Base_Despesas'!$D$4:$D$219, '04_Base_Despesas'!$A$4:$A$219, K$59, '04_Base_Despesas'!$B$4:$B$219, "pessoal"))*(IFERROR(SUMIFS('03_Base_Vendas'!$I$4:$I$387, '03_Base_Vendas'!$A$4:$A$387, K$59, '03_Base_Vendas'!$C$4:$C$387, "perfumes")/SUMIFS('03_Base_Vendas'!$I$4:$I$387, '03_Base_Vendas'!$A$4:$A$387, K$59),0))</f>
        <v>19360.487962973228</v>
      </c>
      <c r="L67" s="42">
        <f>(SUMIFS('04_Base_Despesas'!$D$4:$D$219, '04_Base_Despesas'!$A$4:$A$219, L$59, '04_Base_Despesas'!$B$4:$B$219, "pessoal"))*(IFERROR(SUMIFS('03_Base_Vendas'!$I$4:$I$387, '03_Base_Vendas'!$A$4:$A$387, L$59, '03_Base_Vendas'!$C$4:$C$387, "perfumes")/SUMIFS('03_Base_Vendas'!$I$4:$I$387, '03_Base_Vendas'!$A$4:$A$387, L$59),0))</f>
        <v>18143.852573527067</v>
      </c>
      <c r="M67" s="42">
        <f>(SUMIFS('04_Base_Despesas'!$D$4:$D$219, '04_Base_Despesas'!$A$4:$A$219, M$59, '04_Base_Despesas'!$B$4:$B$219, "pessoal"))*(IFERROR(SUMIFS('03_Base_Vendas'!$I$4:$I$387, '03_Base_Vendas'!$A$4:$A$387, M$59, '03_Base_Vendas'!$C$4:$C$387, "perfumes")/SUMIFS('03_Base_Vendas'!$I$4:$I$387, '03_Base_Vendas'!$A$4:$A$387, M$59),0))</f>
        <v>19797.90135767002</v>
      </c>
      <c r="N67" s="42">
        <f>(SUMIFS('04_Base_Despesas'!$D$4:$D$219, '04_Base_Despesas'!$A$4:$A$219, N$59, '04_Base_Despesas'!$B$4:$B$219, "pessoal"))*(IFERROR(SUMIFS('03_Base_Vendas'!$I$4:$I$387, '03_Base_Vendas'!$A$4:$A$387, N$59, '03_Base_Vendas'!$C$4:$C$387, "perfumes")/SUMIFS('03_Base_Vendas'!$I$4:$I$387, '03_Base_Vendas'!$A$4:$A$387, N$59),0))</f>
        <v>20804.908378923577</v>
      </c>
      <c r="O67" s="42">
        <f>(SUMIFS('04_Base_Despesas'!$D$4:$D$219, '04_Base_Despesas'!$A$4:$A$219, O$59, '04_Base_Despesas'!$B$4:$B$219, "pessoal"))*(IFERROR(SUMIFS('03_Base_Vendas'!$I$4:$I$387, '03_Base_Vendas'!$A$4:$A$387, O$59, '03_Base_Vendas'!$C$4:$C$387, "perfumes")/SUMIFS('03_Base_Vendas'!$I$4:$I$387, '03_Base_Vendas'!$A$4:$A$387, O$59),0))</f>
        <v>22970.190732675801</v>
      </c>
      <c r="P67" s="42">
        <f>(SUMIFS('04_Base_Despesas'!$D$4:$D$219, '04_Base_Despesas'!$A$4:$A$219, P$59, '04_Base_Despesas'!$B$4:$B$219, "pessoal"))*(IFERROR(SUMIFS('03_Base_Vendas'!$I$4:$I$387, '03_Base_Vendas'!$A$4:$A$387, P$59, '03_Base_Vendas'!$C$4:$C$387, "perfumes")/SUMIFS('03_Base_Vendas'!$I$4:$I$387, '03_Base_Vendas'!$A$4:$A$387, P$59),0))</f>
        <v>20606.828073429748</v>
      </c>
      <c r="Q67" s="42">
        <f>(SUMIFS('04_Base_Despesas'!$D$4:$D$219, '04_Base_Despesas'!$A$4:$A$219, Q$59, '04_Base_Despesas'!$B$4:$B$219, "pessoal"))*(IFERROR(SUMIFS('03_Base_Vendas'!$I$4:$I$387, '03_Base_Vendas'!$A$4:$A$387, Q$59, '03_Base_Vendas'!$C$4:$C$387, "perfumes")/SUMIFS('03_Base_Vendas'!$I$4:$I$387, '03_Base_Vendas'!$A$4:$A$387, Q$59),0))</f>
        <v>18855.12798951381</v>
      </c>
      <c r="R67" s="42">
        <f>(SUMIFS('04_Base_Despesas'!$D$4:$D$219, '04_Base_Despesas'!$A$4:$A$219, R$59, '04_Base_Despesas'!$B$4:$B$219, "pessoal"))*(IFERROR(SUMIFS('03_Base_Vendas'!$I$4:$I$387, '03_Base_Vendas'!$A$4:$A$387, R$59, '03_Base_Vendas'!$C$4:$C$387, "perfumes")/SUMIFS('03_Base_Vendas'!$I$4:$I$387, '03_Base_Vendas'!$A$4:$A$387, R$59),0))</f>
        <v>20834.821188012214</v>
      </c>
      <c r="S67" s="42">
        <f>(SUMIFS('04_Base_Despesas'!$D$4:$D$219, '04_Base_Despesas'!$A$4:$A$219, S$59, '04_Base_Despesas'!$B$4:$B$219, "pessoal"))*(IFERROR(SUMIFS('03_Base_Vendas'!$I$4:$I$387, '03_Base_Vendas'!$A$4:$A$387, S$59, '03_Base_Vendas'!$C$4:$C$387, "perfumes")/SUMIFS('03_Base_Vendas'!$I$4:$I$387, '03_Base_Vendas'!$A$4:$A$387, S$59),0))</f>
        <v>20211.170649223881</v>
      </c>
      <c r="T67" s="42">
        <f>(SUMIFS('04_Base_Despesas'!$D$4:$D$219, '04_Base_Despesas'!$A$4:$A$219, T$59, '04_Base_Despesas'!$B$4:$B$219, "pessoal"))*(IFERROR(SUMIFS('03_Base_Vendas'!$I$4:$I$387, '03_Base_Vendas'!$A$4:$A$387, T$59, '03_Base_Vendas'!$C$4:$C$387, "perfumes")/SUMIFS('03_Base_Vendas'!$I$4:$I$387, '03_Base_Vendas'!$A$4:$A$387, T$59),0))</f>
        <v>22464.129989695</v>
      </c>
      <c r="U67" s="42">
        <f>(SUMIFS('04_Base_Despesas'!$D$4:$D$219, '04_Base_Despesas'!$A$4:$A$219, U$59, '04_Base_Despesas'!$B$4:$B$219, "pessoal"))*(IFERROR(SUMIFS('03_Base_Vendas'!$I$4:$I$387, '03_Base_Vendas'!$A$4:$A$387, U$59, '03_Base_Vendas'!$C$4:$C$387, "perfumes")/SUMIFS('03_Base_Vendas'!$I$4:$I$387, '03_Base_Vendas'!$A$4:$A$387, U$59),0))</f>
        <v>20898.901390975469</v>
      </c>
      <c r="V67" s="42">
        <f>(SUMIFS('04_Base_Despesas'!$D$4:$D$219, '04_Base_Despesas'!$A$4:$A$219, V$59, '04_Base_Despesas'!$B$4:$B$219, "pessoal"))*(IFERROR(SUMIFS('03_Base_Vendas'!$I$4:$I$387, '03_Base_Vendas'!$A$4:$A$387, V$59, '03_Base_Vendas'!$C$4:$C$387, "perfumes")/SUMIFS('03_Base_Vendas'!$I$4:$I$387, '03_Base_Vendas'!$A$4:$A$387, V$59),0))</f>
        <v>18831.986010952762</v>
      </c>
      <c r="W67" s="42">
        <f>(SUMIFS('04_Base_Despesas'!$D$4:$D$219, '04_Base_Despesas'!$A$4:$A$219, W$59, '04_Base_Despesas'!$B$4:$B$219, "pessoal"))*(IFERROR(SUMIFS('03_Base_Vendas'!$I$4:$I$387, '03_Base_Vendas'!$A$4:$A$387, W$59, '03_Base_Vendas'!$C$4:$C$387, "perfumes")/SUMIFS('03_Base_Vendas'!$I$4:$I$387, '03_Base_Vendas'!$A$4:$A$387, W$59),0))</f>
        <v>17621.898082277086</v>
      </c>
      <c r="X67" s="42">
        <f>(SUMIFS('04_Base_Despesas'!$D$4:$D$219, '04_Base_Despesas'!$A$4:$A$219, X$59, '04_Base_Despesas'!$B$4:$B$219, "pessoal"))*(IFERROR(SUMIFS('03_Base_Vendas'!$I$4:$I$387, '03_Base_Vendas'!$A$4:$A$387, X$59, '03_Base_Vendas'!$C$4:$C$387, "perfumes")/SUMIFS('03_Base_Vendas'!$I$4:$I$387, '03_Base_Vendas'!$A$4:$A$387, X$59),0))</f>
        <v>19575.172409453065</v>
      </c>
      <c r="Y67" s="42">
        <f>(SUMIFS('04_Base_Despesas'!$D$4:$D$219, '04_Base_Despesas'!$A$4:$A$219, Y$59, '04_Base_Despesas'!$B$4:$B$219, "pessoal"))*(IFERROR(SUMIFS('03_Base_Vendas'!$I$4:$I$387, '03_Base_Vendas'!$A$4:$A$387, Y$59, '03_Base_Vendas'!$C$4:$C$387, "perfumes")/SUMIFS('03_Base_Vendas'!$I$4:$I$387, '03_Base_Vendas'!$A$4:$A$387, Y$59),0))</f>
        <v>21966.322837485921</v>
      </c>
      <c r="Z67" s="43">
        <f t="shared" ref="Z67:Z75" si="26">SUM(B67:Y67)</f>
        <v>477464.12522570905</v>
      </c>
    </row>
    <row r="68" spans="1:26" x14ac:dyDescent="0.25">
      <c r="A68" s="41" t="s">
        <v>339</v>
      </c>
      <c r="B68" s="42">
        <f>(SUMIFS('04_Base_Despesas'!$D$4:$D$219, '04_Base_Despesas'!$A$4:$A$219, B$59, '04_Base_Despesas'!$B$4:$B$219, "aluguel"))*(IFERROR(SUMIFS('03_Base_Vendas'!$I$4:$I$387, '03_Base_Vendas'!$A$4:$A$387, B$59, '03_Base_Vendas'!$C$4:$C$387, "perfumes")/SUMIFS('03_Base_Vendas'!$I$4:$I$387, '03_Base_Vendas'!$A$4:$A$387, B$59),0))</f>
        <v>3452.0959748123855</v>
      </c>
      <c r="C68" s="42">
        <f>(SUMIFS('04_Base_Despesas'!$D$4:$D$219, '04_Base_Despesas'!$A$4:$A$219, C$59, '04_Base_Despesas'!$B$4:$B$219, "aluguel"))*(IFERROR(SUMIFS('03_Base_Vendas'!$I$4:$I$387, '03_Base_Vendas'!$A$4:$A$387, C$59, '03_Base_Vendas'!$C$4:$C$387, "perfumes")/SUMIFS('03_Base_Vendas'!$I$4:$I$387, '03_Base_Vendas'!$A$4:$A$387, C$59),0))</f>
        <v>3997.8125914610928</v>
      </c>
      <c r="D68" s="42">
        <f>(SUMIFS('04_Base_Despesas'!$D$4:$D$219, '04_Base_Despesas'!$A$4:$A$219, D$59, '04_Base_Despesas'!$B$4:$B$219, "aluguel"))*(IFERROR(SUMIFS('03_Base_Vendas'!$I$4:$I$387, '03_Base_Vendas'!$A$4:$A$387, D$59, '03_Base_Vendas'!$C$4:$C$387, "perfumes")/SUMIFS('03_Base_Vendas'!$I$4:$I$387, '03_Base_Vendas'!$A$4:$A$387, D$59),0))</f>
        <v>3755.2830735730936</v>
      </c>
      <c r="E68" s="42">
        <f>(SUMIFS('04_Base_Despesas'!$D$4:$D$219, '04_Base_Despesas'!$A$4:$A$219, E$59, '04_Base_Despesas'!$B$4:$B$219, "aluguel"))*(IFERROR(SUMIFS('03_Base_Vendas'!$I$4:$I$387, '03_Base_Vendas'!$A$4:$A$387, E$59, '03_Base_Vendas'!$C$4:$C$387, "perfumes")/SUMIFS('03_Base_Vendas'!$I$4:$I$387, '03_Base_Vendas'!$A$4:$A$387, E$59),0))</f>
        <v>3740.2823464755429</v>
      </c>
      <c r="F68" s="42">
        <f>(SUMIFS('04_Base_Despesas'!$D$4:$D$219, '04_Base_Despesas'!$A$4:$A$219, F$59, '04_Base_Despesas'!$B$4:$B$219, "aluguel"))*(IFERROR(SUMIFS('03_Base_Vendas'!$I$4:$I$387, '03_Base_Vendas'!$A$4:$A$387, F$59, '03_Base_Vendas'!$C$4:$C$387, "perfumes")/SUMIFS('03_Base_Vendas'!$I$4:$I$387, '03_Base_Vendas'!$A$4:$A$387, F$59),0))</f>
        <v>3158.3699602939037</v>
      </c>
      <c r="G68" s="42">
        <f>(SUMIFS('04_Base_Despesas'!$D$4:$D$219, '04_Base_Despesas'!$A$4:$A$219, G$59, '04_Base_Despesas'!$B$4:$B$219, "aluguel"))*(IFERROR(SUMIFS('03_Base_Vendas'!$I$4:$I$387, '03_Base_Vendas'!$A$4:$A$387, G$59, '03_Base_Vendas'!$C$4:$C$387, "perfumes")/SUMIFS('03_Base_Vendas'!$I$4:$I$387, '03_Base_Vendas'!$A$4:$A$387, G$59),0))</f>
        <v>4156.828419129366</v>
      </c>
      <c r="H68" s="42">
        <f>(SUMIFS('04_Base_Despesas'!$D$4:$D$219, '04_Base_Despesas'!$A$4:$A$219, H$59, '04_Base_Despesas'!$B$4:$B$219, "aluguel"))*(IFERROR(SUMIFS('03_Base_Vendas'!$I$4:$I$387, '03_Base_Vendas'!$A$4:$A$387, H$59, '03_Base_Vendas'!$C$4:$C$387, "perfumes")/SUMIFS('03_Base_Vendas'!$I$4:$I$387, '03_Base_Vendas'!$A$4:$A$387, H$59),0))</f>
        <v>3669.4674965073964</v>
      </c>
      <c r="I68" s="42">
        <f>(SUMIFS('04_Base_Despesas'!$D$4:$D$219, '04_Base_Despesas'!$A$4:$A$219, I$59, '04_Base_Despesas'!$B$4:$B$219, "aluguel"))*(IFERROR(SUMIFS('03_Base_Vendas'!$I$4:$I$387, '03_Base_Vendas'!$A$4:$A$387, I$59, '03_Base_Vendas'!$C$4:$C$387, "perfumes")/SUMIFS('03_Base_Vendas'!$I$4:$I$387, '03_Base_Vendas'!$A$4:$A$387, I$59),0))</f>
        <v>2991.0365458187471</v>
      </c>
      <c r="J68" s="42">
        <f>(SUMIFS('04_Base_Despesas'!$D$4:$D$219, '04_Base_Despesas'!$A$4:$A$219, J$59, '04_Base_Despesas'!$B$4:$B$219, "aluguel"))*(IFERROR(SUMIFS('03_Base_Vendas'!$I$4:$I$387, '03_Base_Vendas'!$A$4:$A$387, J$59, '03_Base_Vendas'!$C$4:$C$387, "perfumes")/SUMIFS('03_Base_Vendas'!$I$4:$I$387, '03_Base_Vendas'!$A$4:$A$387, J$59),0))</f>
        <v>3481.4534095536196</v>
      </c>
      <c r="K68" s="42">
        <f>(SUMIFS('04_Base_Despesas'!$D$4:$D$219, '04_Base_Despesas'!$A$4:$A$219, K$59, '04_Base_Despesas'!$B$4:$B$219, "aluguel"))*(IFERROR(SUMIFS('03_Base_Vendas'!$I$4:$I$387, '03_Base_Vendas'!$A$4:$A$387, K$59, '03_Base_Vendas'!$C$4:$C$387, "perfumes")/SUMIFS('03_Base_Vendas'!$I$4:$I$387, '03_Base_Vendas'!$A$4:$A$387, K$59),0))</f>
        <v>3506.0571109240254</v>
      </c>
      <c r="L68" s="42">
        <f>(SUMIFS('04_Base_Despesas'!$D$4:$D$219, '04_Base_Despesas'!$A$4:$A$219, L$59, '04_Base_Despesas'!$B$4:$B$219, "aluguel"))*(IFERROR(SUMIFS('03_Base_Vendas'!$I$4:$I$387, '03_Base_Vendas'!$A$4:$A$387, L$59, '03_Base_Vendas'!$C$4:$C$387, "perfumes")/SUMIFS('03_Base_Vendas'!$I$4:$I$387, '03_Base_Vendas'!$A$4:$A$387, L$59),0))</f>
        <v>3404.3466653652422</v>
      </c>
      <c r="M68" s="42">
        <f>(SUMIFS('04_Base_Despesas'!$D$4:$D$219, '04_Base_Despesas'!$A$4:$A$219, M$59, '04_Base_Despesas'!$B$4:$B$219, "aluguel"))*(IFERROR(SUMIFS('03_Base_Vendas'!$I$4:$I$387, '03_Base_Vendas'!$A$4:$A$387, M$59, '03_Base_Vendas'!$C$4:$C$387, "perfumes")/SUMIFS('03_Base_Vendas'!$I$4:$I$387, '03_Base_Vendas'!$A$4:$A$387, M$59),0))</f>
        <v>3622.9195215903469</v>
      </c>
      <c r="N68" s="42">
        <f>(SUMIFS('04_Base_Despesas'!$D$4:$D$219, '04_Base_Despesas'!$A$4:$A$219, N$59, '04_Base_Despesas'!$B$4:$B$219, "aluguel"))*(IFERROR(SUMIFS('03_Base_Vendas'!$I$4:$I$387, '03_Base_Vendas'!$A$4:$A$387, N$59, '03_Base_Vendas'!$C$4:$C$387, "perfumes")/SUMIFS('03_Base_Vendas'!$I$4:$I$387, '03_Base_Vendas'!$A$4:$A$387, N$59),0))</f>
        <v>3828.0304172795732</v>
      </c>
      <c r="O68" s="42">
        <f>(SUMIFS('04_Base_Despesas'!$D$4:$D$219, '04_Base_Despesas'!$A$4:$A$219, O$59, '04_Base_Despesas'!$B$4:$B$219, "aluguel"))*(IFERROR(SUMIFS('03_Base_Vendas'!$I$4:$I$387, '03_Base_Vendas'!$A$4:$A$387, O$59, '03_Base_Vendas'!$C$4:$C$387, "perfumes")/SUMIFS('03_Base_Vendas'!$I$4:$I$387, '03_Base_Vendas'!$A$4:$A$387, O$59),0))</f>
        <v>4221.1195620359103</v>
      </c>
      <c r="P68" s="42">
        <f>(SUMIFS('04_Base_Despesas'!$D$4:$D$219, '04_Base_Despesas'!$A$4:$A$219, P$59, '04_Base_Despesas'!$B$4:$B$219, "aluguel"))*(IFERROR(SUMIFS('03_Base_Vendas'!$I$4:$I$387, '03_Base_Vendas'!$A$4:$A$387, P$59, '03_Base_Vendas'!$C$4:$C$387, "perfumes")/SUMIFS('03_Base_Vendas'!$I$4:$I$387, '03_Base_Vendas'!$A$4:$A$387, P$59),0))</f>
        <v>3752.5514299649312</v>
      </c>
      <c r="Q68" s="42">
        <f>(SUMIFS('04_Base_Despesas'!$D$4:$D$219, '04_Base_Despesas'!$A$4:$A$219, Q$59, '04_Base_Despesas'!$B$4:$B$219, "aluguel"))*(IFERROR(SUMIFS('03_Base_Vendas'!$I$4:$I$387, '03_Base_Vendas'!$A$4:$A$387, Q$59, '03_Base_Vendas'!$C$4:$C$387, "perfumes")/SUMIFS('03_Base_Vendas'!$I$4:$I$387, '03_Base_Vendas'!$A$4:$A$387, Q$59),0))</f>
        <v>3449.5852553006271</v>
      </c>
      <c r="R68" s="42">
        <f>(SUMIFS('04_Base_Despesas'!$D$4:$D$219, '04_Base_Despesas'!$A$4:$A$219, R$59, '04_Base_Despesas'!$B$4:$B$219, "aluguel"))*(IFERROR(SUMIFS('03_Base_Vendas'!$I$4:$I$387, '03_Base_Vendas'!$A$4:$A$387, R$59, '03_Base_Vendas'!$C$4:$C$387, "perfumes")/SUMIFS('03_Base_Vendas'!$I$4:$I$387, '03_Base_Vendas'!$A$4:$A$387, R$59),0))</f>
        <v>3788.3352795383648</v>
      </c>
      <c r="S68" s="42">
        <f>(SUMIFS('04_Base_Despesas'!$D$4:$D$219, '04_Base_Despesas'!$A$4:$A$219, S$59, '04_Base_Despesas'!$B$4:$B$219, "aluguel"))*(IFERROR(SUMIFS('03_Base_Vendas'!$I$4:$I$387, '03_Base_Vendas'!$A$4:$A$387, S$59, '03_Base_Vendas'!$C$4:$C$387, "perfumes")/SUMIFS('03_Base_Vendas'!$I$4:$I$387, '03_Base_Vendas'!$A$4:$A$387, S$59),0))</f>
        <v>3807.9991384553477</v>
      </c>
      <c r="T68" s="42">
        <f>(SUMIFS('04_Base_Despesas'!$D$4:$D$219, '04_Base_Despesas'!$A$4:$A$219, T$59, '04_Base_Despesas'!$B$4:$B$219, "aluguel"))*(IFERROR(SUMIFS('03_Base_Vendas'!$I$4:$I$387, '03_Base_Vendas'!$A$4:$A$387, T$59, '03_Base_Vendas'!$C$4:$C$387, "perfumes")/SUMIFS('03_Base_Vendas'!$I$4:$I$387, '03_Base_Vendas'!$A$4:$A$387, T$59),0))</f>
        <v>4230.7999196580613</v>
      </c>
      <c r="U68" s="42">
        <f>(SUMIFS('04_Base_Despesas'!$D$4:$D$219, '04_Base_Despesas'!$A$4:$A$219, U$59, '04_Base_Despesas'!$B$4:$B$219, "aluguel"))*(IFERROR(SUMIFS('03_Base_Vendas'!$I$4:$I$387, '03_Base_Vendas'!$A$4:$A$387, U$59, '03_Base_Vendas'!$C$4:$C$387, "perfumes")/SUMIFS('03_Base_Vendas'!$I$4:$I$387, '03_Base_Vendas'!$A$4:$A$387, U$59),0))</f>
        <v>3877.7053951916068</v>
      </c>
      <c r="V68" s="42">
        <f>(SUMIFS('04_Base_Despesas'!$D$4:$D$219, '04_Base_Despesas'!$A$4:$A$219, V$59, '04_Base_Despesas'!$B$4:$B$219, "aluguel"))*(IFERROR(SUMIFS('03_Base_Vendas'!$I$4:$I$387, '03_Base_Vendas'!$A$4:$A$387, V$59, '03_Base_Vendas'!$C$4:$C$387, "perfumes")/SUMIFS('03_Base_Vendas'!$I$4:$I$387, '03_Base_Vendas'!$A$4:$A$387, V$59),0))</f>
        <v>3491.7085347895904</v>
      </c>
      <c r="W68" s="42">
        <f>(SUMIFS('04_Base_Despesas'!$D$4:$D$219, '04_Base_Despesas'!$A$4:$A$219, W$59, '04_Base_Despesas'!$B$4:$B$219, "aluguel"))*(IFERROR(SUMIFS('03_Base_Vendas'!$I$4:$I$387, '03_Base_Vendas'!$A$4:$A$387, W$59, '03_Base_Vendas'!$C$4:$C$387, "perfumes")/SUMIFS('03_Base_Vendas'!$I$4:$I$387, '03_Base_Vendas'!$A$4:$A$387, W$59),0))</f>
        <v>3267.6834735103389</v>
      </c>
      <c r="X68" s="42">
        <f>(SUMIFS('04_Base_Despesas'!$D$4:$D$219, '04_Base_Despesas'!$A$4:$A$219, X$59, '04_Base_Despesas'!$B$4:$B$219, "aluguel"))*(IFERROR(SUMIFS('03_Base_Vendas'!$I$4:$I$387, '03_Base_Vendas'!$A$4:$A$387, X$59, '03_Base_Vendas'!$C$4:$C$387, "perfumes")/SUMIFS('03_Base_Vendas'!$I$4:$I$387, '03_Base_Vendas'!$A$4:$A$387, X$59),0))</f>
        <v>3629.6358341819555</v>
      </c>
      <c r="Y68" s="42">
        <f>(SUMIFS('04_Base_Despesas'!$D$4:$D$219, '04_Base_Despesas'!$A$4:$A$219, Y$59, '04_Base_Despesas'!$B$4:$B$219, "aluguel"))*(IFERROR(SUMIFS('03_Base_Vendas'!$I$4:$I$387, '03_Base_Vendas'!$A$4:$A$387, Y$59, '03_Base_Vendas'!$C$4:$C$387, "perfumes")/SUMIFS('03_Base_Vendas'!$I$4:$I$387, '03_Base_Vendas'!$A$4:$A$387, Y$59),0))</f>
        <v>4083.0182561486754</v>
      </c>
      <c r="Z68" s="43">
        <f t="shared" si="26"/>
        <v>88364.125611559721</v>
      </c>
    </row>
    <row r="69" spans="1:26" x14ac:dyDescent="0.25">
      <c r="A69" s="41" t="s">
        <v>340</v>
      </c>
      <c r="B69" s="42">
        <f>(SUMIFS('04_Base_Despesas'!$D$4:$D$219, '04_Base_Despesas'!$A$4:$A$219, B$59, '04_Base_Despesas'!$B$4:$B$219, "marketing"))*(IFERROR(SUMIFS('03_Base_Vendas'!$I$4:$I$387, '03_Base_Vendas'!$A$4:$A$387, B$59, '03_Base_Vendas'!$C$4:$C$387, "perfumes")/SUMIFS('03_Base_Vendas'!$I$4:$I$387, '03_Base_Vendas'!$A$4:$A$387, B$59),0))</f>
        <v>6484.9880246370267</v>
      </c>
      <c r="C69" s="42">
        <f>(SUMIFS('04_Base_Despesas'!$D$4:$D$219, '04_Base_Despesas'!$A$4:$A$219, C$59, '04_Base_Despesas'!$B$4:$B$219, "marketing"))*(IFERROR(SUMIFS('03_Base_Vendas'!$I$4:$I$387, '03_Base_Vendas'!$A$4:$A$387, C$59, '03_Base_Vendas'!$C$4:$C$387, "perfumes")/SUMIFS('03_Base_Vendas'!$I$4:$I$387, '03_Base_Vendas'!$A$4:$A$387, C$59),0))</f>
        <v>5112.2470376805668</v>
      </c>
      <c r="D69" s="42">
        <f>(SUMIFS('04_Base_Despesas'!$D$4:$D$219, '04_Base_Despesas'!$A$4:$A$219, D$59, '04_Base_Despesas'!$B$4:$B$219, "marketing"))*(IFERROR(SUMIFS('03_Base_Vendas'!$I$4:$I$387, '03_Base_Vendas'!$A$4:$A$387, D$59, '03_Base_Vendas'!$C$4:$C$387, "perfumes")/SUMIFS('03_Base_Vendas'!$I$4:$I$387, '03_Base_Vendas'!$A$4:$A$387, D$59),0))</f>
        <v>4344.6964930829217</v>
      </c>
      <c r="E69" s="42">
        <f>(SUMIFS('04_Base_Despesas'!$D$4:$D$219, '04_Base_Despesas'!$A$4:$A$219, E$59, '04_Base_Despesas'!$B$4:$B$219, "marketing"))*(IFERROR(SUMIFS('03_Base_Vendas'!$I$4:$I$387, '03_Base_Vendas'!$A$4:$A$387, E$59, '03_Base_Vendas'!$C$4:$C$387, "perfumes")/SUMIFS('03_Base_Vendas'!$I$4:$I$387, '03_Base_Vendas'!$A$4:$A$387, E$59),0))</f>
        <v>4870.5129916548985</v>
      </c>
      <c r="F69" s="42">
        <f>(SUMIFS('04_Base_Despesas'!$D$4:$D$219, '04_Base_Despesas'!$A$4:$A$219, F$59, '04_Base_Despesas'!$B$4:$B$219, "marketing"))*(IFERROR(SUMIFS('03_Base_Vendas'!$I$4:$I$387, '03_Base_Vendas'!$A$4:$A$387, F$59, '03_Base_Vendas'!$C$4:$C$387, "perfumes")/SUMIFS('03_Base_Vendas'!$I$4:$I$387, '03_Base_Vendas'!$A$4:$A$387, F$59),0))</f>
        <v>5685.9103769184112</v>
      </c>
      <c r="G69" s="42">
        <f>(SUMIFS('04_Base_Despesas'!$D$4:$D$219, '04_Base_Despesas'!$A$4:$A$219, G$59, '04_Base_Despesas'!$B$4:$B$219, "marketing"))*(IFERROR(SUMIFS('03_Base_Vendas'!$I$4:$I$387, '03_Base_Vendas'!$A$4:$A$387, G$59, '03_Base_Vendas'!$C$4:$C$387, "perfumes")/SUMIFS('03_Base_Vendas'!$I$4:$I$387, '03_Base_Vendas'!$A$4:$A$387, G$59),0))</f>
        <v>7756.9875031955144</v>
      </c>
      <c r="H69" s="42">
        <f>(SUMIFS('04_Base_Despesas'!$D$4:$D$219, '04_Base_Despesas'!$A$4:$A$219, H$59, '04_Base_Despesas'!$B$4:$B$219, "marketing"))*(IFERROR(SUMIFS('03_Base_Vendas'!$I$4:$I$387, '03_Base_Vendas'!$A$4:$A$387, H$59, '03_Base_Vendas'!$C$4:$C$387, "perfumes")/SUMIFS('03_Base_Vendas'!$I$4:$I$387, '03_Base_Vendas'!$A$4:$A$387, H$59),0))</f>
        <v>3842.7011257188278</v>
      </c>
      <c r="I69" s="42">
        <f>(SUMIFS('04_Base_Despesas'!$D$4:$D$219, '04_Base_Despesas'!$A$4:$A$219, I$59, '04_Base_Despesas'!$B$4:$B$219, "marketing"))*(IFERROR(SUMIFS('03_Base_Vendas'!$I$4:$I$387, '03_Base_Vendas'!$A$4:$A$387, I$59, '03_Base_Vendas'!$C$4:$C$387, "perfumes")/SUMIFS('03_Base_Vendas'!$I$4:$I$387, '03_Base_Vendas'!$A$4:$A$387, I$59),0))</f>
        <v>4045.6004688459111</v>
      </c>
      <c r="J69" s="42">
        <f>(SUMIFS('04_Base_Despesas'!$D$4:$D$219, '04_Base_Despesas'!$A$4:$A$219, J$59, '04_Base_Despesas'!$B$4:$B$219, "marketing"))*(IFERROR(SUMIFS('03_Base_Vendas'!$I$4:$I$387, '03_Base_Vendas'!$A$4:$A$387, J$59, '03_Base_Vendas'!$C$4:$C$387, "perfumes")/SUMIFS('03_Base_Vendas'!$I$4:$I$387, '03_Base_Vendas'!$A$4:$A$387, J$59),0))</f>
        <v>5227.9006919854965</v>
      </c>
      <c r="K69" s="42">
        <f>(SUMIFS('04_Base_Despesas'!$D$4:$D$219, '04_Base_Despesas'!$A$4:$A$219, K$59, '04_Base_Despesas'!$B$4:$B$219, "marketing"))*(IFERROR(SUMIFS('03_Base_Vendas'!$I$4:$I$387, '03_Base_Vendas'!$A$4:$A$387, K$59, '03_Base_Vendas'!$C$4:$C$387, "perfumes")/SUMIFS('03_Base_Vendas'!$I$4:$I$387, '03_Base_Vendas'!$A$4:$A$387, K$59),0))</f>
        <v>5357.1888349361252</v>
      </c>
      <c r="L69" s="42">
        <f>(SUMIFS('04_Base_Despesas'!$D$4:$D$219, '04_Base_Despesas'!$A$4:$A$219, L$59, '04_Base_Despesas'!$B$4:$B$219, "marketing"))*(IFERROR(SUMIFS('03_Base_Vendas'!$I$4:$I$387, '03_Base_Vendas'!$A$4:$A$387, L$59, '03_Base_Vendas'!$C$4:$C$387, "perfumes")/SUMIFS('03_Base_Vendas'!$I$4:$I$387, '03_Base_Vendas'!$A$4:$A$387, L$59),0))</f>
        <v>5765.6409312134356</v>
      </c>
      <c r="M69" s="42">
        <f>(SUMIFS('04_Base_Despesas'!$D$4:$D$219, '04_Base_Despesas'!$A$4:$A$219, M$59, '04_Base_Despesas'!$B$4:$B$219, "marketing"))*(IFERROR(SUMIFS('03_Base_Vendas'!$I$4:$I$387, '03_Base_Vendas'!$A$4:$A$387, M$59, '03_Base_Vendas'!$C$4:$C$387, "perfumes")/SUMIFS('03_Base_Vendas'!$I$4:$I$387, '03_Base_Vendas'!$A$4:$A$387, M$59),0))</f>
        <v>6933.924740369247</v>
      </c>
      <c r="N69" s="42">
        <f>(SUMIFS('04_Base_Despesas'!$D$4:$D$219, '04_Base_Despesas'!$A$4:$A$219, N$59, '04_Base_Despesas'!$B$4:$B$219, "marketing"))*(IFERROR(SUMIFS('03_Base_Vendas'!$I$4:$I$387, '03_Base_Vendas'!$A$4:$A$387, N$59, '03_Base_Vendas'!$C$4:$C$387, "perfumes")/SUMIFS('03_Base_Vendas'!$I$4:$I$387, '03_Base_Vendas'!$A$4:$A$387, N$59),0))</f>
        <v>6062.187502230704</v>
      </c>
      <c r="O69" s="42">
        <f>(SUMIFS('04_Base_Despesas'!$D$4:$D$219, '04_Base_Despesas'!$A$4:$A$219, O$59, '04_Base_Despesas'!$B$4:$B$219, "marketing"))*(IFERROR(SUMIFS('03_Base_Vendas'!$I$4:$I$387, '03_Base_Vendas'!$A$4:$A$387, O$59, '03_Base_Vendas'!$C$4:$C$387, "perfumes")/SUMIFS('03_Base_Vendas'!$I$4:$I$387, '03_Base_Vendas'!$A$4:$A$387, O$59),0))</f>
        <v>5383.7091983793398</v>
      </c>
      <c r="P69" s="42">
        <f>(SUMIFS('04_Base_Despesas'!$D$4:$D$219, '04_Base_Despesas'!$A$4:$A$219, P$59, '04_Base_Despesas'!$B$4:$B$219, "marketing"))*(IFERROR(SUMIFS('03_Base_Vendas'!$I$4:$I$387, '03_Base_Vendas'!$A$4:$A$387, P$59, '03_Base_Vendas'!$C$4:$C$387, "perfumes")/SUMIFS('03_Base_Vendas'!$I$4:$I$387, '03_Base_Vendas'!$A$4:$A$387, P$59),0))</f>
        <v>6294.5455688397224</v>
      </c>
      <c r="Q69" s="42">
        <f>(SUMIFS('04_Base_Despesas'!$D$4:$D$219, '04_Base_Despesas'!$A$4:$A$219, Q$59, '04_Base_Despesas'!$B$4:$B$219, "marketing"))*(IFERROR(SUMIFS('03_Base_Vendas'!$I$4:$I$387, '03_Base_Vendas'!$A$4:$A$387, Q$59, '03_Base_Vendas'!$C$4:$C$387, "perfumes")/SUMIFS('03_Base_Vendas'!$I$4:$I$387, '03_Base_Vendas'!$A$4:$A$387, Q$59),0))</f>
        <v>4387.8397644610313</v>
      </c>
      <c r="R69" s="42">
        <f>(SUMIFS('04_Base_Despesas'!$D$4:$D$219, '04_Base_Despesas'!$A$4:$A$219, R$59, '04_Base_Despesas'!$B$4:$B$219, "marketing"))*(IFERROR(SUMIFS('03_Base_Vendas'!$I$4:$I$387, '03_Base_Vendas'!$A$4:$A$387, R$59, '03_Base_Vendas'!$C$4:$C$387, "perfumes")/SUMIFS('03_Base_Vendas'!$I$4:$I$387, '03_Base_Vendas'!$A$4:$A$387, R$59),0))</f>
        <v>8328.9932764609293</v>
      </c>
      <c r="S69" s="42">
        <f>(SUMIFS('04_Base_Despesas'!$D$4:$D$219, '04_Base_Despesas'!$A$4:$A$219, S$59, '04_Base_Despesas'!$B$4:$B$219, "marketing"))*(IFERROR(SUMIFS('03_Base_Vendas'!$I$4:$I$387, '03_Base_Vendas'!$A$4:$A$387, S$59, '03_Base_Vendas'!$C$4:$C$387, "perfumes")/SUMIFS('03_Base_Vendas'!$I$4:$I$387, '03_Base_Vendas'!$A$4:$A$387, S$59),0))</f>
        <v>6027.3949022245552</v>
      </c>
      <c r="T69" s="42">
        <f>(SUMIFS('04_Base_Despesas'!$D$4:$D$219, '04_Base_Despesas'!$A$4:$A$219, T$59, '04_Base_Despesas'!$B$4:$B$219, "marketing"))*(IFERROR(SUMIFS('03_Base_Vendas'!$I$4:$I$387, '03_Base_Vendas'!$A$4:$A$387, T$59, '03_Base_Vendas'!$C$4:$C$387, "perfumes")/SUMIFS('03_Base_Vendas'!$I$4:$I$387, '03_Base_Vendas'!$A$4:$A$387, T$59),0))</f>
        <v>6164.1487505769728</v>
      </c>
      <c r="U69" s="42">
        <f>(SUMIFS('04_Base_Despesas'!$D$4:$D$219, '04_Base_Despesas'!$A$4:$A$219, U$59, '04_Base_Despesas'!$B$4:$B$219, "marketing"))*(IFERROR(SUMIFS('03_Base_Vendas'!$I$4:$I$387, '03_Base_Vendas'!$A$4:$A$387, U$59, '03_Base_Vendas'!$C$4:$C$387, "perfumes")/SUMIFS('03_Base_Vendas'!$I$4:$I$387, '03_Base_Vendas'!$A$4:$A$387, U$59),0))</f>
        <v>5302.7621279245222</v>
      </c>
      <c r="V69" s="42">
        <f>(SUMIFS('04_Base_Despesas'!$D$4:$D$219, '04_Base_Despesas'!$A$4:$A$219, V$59, '04_Base_Despesas'!$B$4:$B$219, "marketing"))*(IFERROR(SUMIFS('03_Base_Vendas'!$I$4:$I$387, '03_Base_Vendas'!$A$4:$A$387, V$59, '03_Base_Vendas'!$C$4:$C$387, "perfumes")/SUMIFS('03_Base_Vendas'!$I$4:$I$387, '03_Base_Vendas'!$A$4:$A$387, V$59),0))</f>
        <v>4342.3916473790441</v>
      </c>
      <c r="W69" s="42">
        <f>(SUMIFS('04_Base_Despesas'!$D$4:$D$219, '04_Base_Despesas'!$A$4:$A$219, W$59, '04_Base_Despesas'!$B$4:$B$219, "marketing"))*(IFERROR(SUMIFS('03_Base_Vendas'!$I$4:$I$387, '03_Base_Vendas'!$A$4:$A$387, W$59, '03_Base_Vendas'!$C$4:$C$387, "perfumes")/SUMIFS('03_Base_Vendas'!$I$4:$I$387, '03_Base_Vendas'!$A$4:$A$387, W$59),0))</f>
        <v>5208.1921447542318</v>
      </c>
      <c r="X69" s="42">
        <f>(SUMIFS('04_Base_Despesas'!$D$4:$D$219, '04_Base_Despesas'!$A$4:$A$219, X$59, '04_Base_Despesas'!$B$4:$B$219, "marketing"))*(IFERROR(SUMIFS('03_Base_Vendas'!$I$4:$I$387, '03_Base_Vendas'!$A$4:$A$387, X$59, '03_Base_Vendas'!$C$4:$C$387, "perfumes")/SUMIFS('03_Base_Vendas'!$I$4:$I$387, '03_Base_Vendas'!$A$4:$A$387, X$59),0))</f>
        <v>6545.23442438644</v>
      </c>
      <c r="Y69" s="42">
        <f>(SUMIFS('04_Base_Despesas'!$D$4:$D$219, '04_Base_Despesas'!$A$4:$A$219, Y$59, '04_Base_Despesas'!$B$4:$B$219, "marketing"))*(IFERROR(SUMIFS('03_Base_Vendas'!$I$4:$I$387, '03_Base_Vendas'!$A$4:$A$387, Y$59, '03_Base_Vendas'!$C$4:$C$387, "perfumes")/SUMIFS('03_Base_Vendas'!$I$4:$I$387, '03_Base_Vendas'!$A$4:$A$387, Y$59),0))</f>
        <v>6073.362921416845</v>
      </c>
      <c r="Z69" s="43">
        <f t="shared" si="26"/>
        <v>135549.0614492727</v>
      </c>
    </row>
    <row r="70" spans="1:26" x14ac:dyDescent="0.25">
      <c r="A70" s="41" t="s">
        <v>341</v>
      </c>
      <c r="B70" s="42">
        <f>(SUMIFS('04_Base_Despesas'!$D$4:$D$219, '04_Base_Despesas'!$A$4:$A$219, B$59, '04_Base_Despesas'!$B$4:$B$219, "logistica"))*(IFERROR(SUMIFS('03_Base_Vendas'!$I$4:$I$387, '03_Base_Vendas'!$A$4:$A$387, B$59, '03_Base_Vendas'!$C$4:$C$387, "perfumes")/SUMIFS('03_Base_Vendas'!$I$4:$I$387, '03_Base_Vendas'!$A$4:$A$387, B$59),0))</f>
        <v>3268.2048326963713</v>
      </c>
      <c r="C70" s="42">
        <f>(SUMIFS('04_Base_Despesas'!$D$4:$D$219, '04_Base_Despesas'!$A$4:$A$219, C$59, '04_Base_Despesas'!$B$4:$B$219, "logistica"))*(IFERROR(SUMIFS('03_Base_Vendas'!$I$4:$I$387, '03_Base_Vendas'!$A$4:$A$387, C$59, '03_Base_Vendas'!$C$4:$C$387, "perfumes")/SUMIFS('03_Base_Vendas'!$I$4:$I$387, '03_Base_Vendas'!$A$4:$A$387, C$59),0))</f>
        <v>3854.9770599038584</v>
      </c>
      <c r="D70" s="42">
        <f>(SUMIFS('04_Base_Despesas'!$D$4:$D$219, '04_Base_Despesas'!$A$4:$A$219, D$59, '04_Base_Despesas'!$B$4:$B$219, "logistica"))*(IFERROR(SUMIFS('03_Base_Vendas'!$I$4:$I$387, '03_Base_Vendas'!$A$4:$A$387, D$59, '03_Base_Vendas'!$C$4:$C$387, "perfumes")/SUMIFS('03_Base_Vendas'!$I$4:$I$387, '03_Base_Vendas'!$A$4:$A$387, D$59),0))</f>
        <v>3859.6680842297719</v>
      </c>
      <c r="E70" s="42">
        <f>(SUMIFS('04_Base_Despesas'!$D$4:$D$219, '04_Base_Despesas'!$A$4:$A$219, E$59, '04_Base_Despesas'!$B$4:$B$219, "logistica"))*(IFERROR(SUMIFS('03_Base_Vendas'!$I$4:$I$387, '03_Base_Vendas'!$A$4:$A$387, E$59, '03_Base_Vendas'!$C$4:$C$387, "perfumes")/SUMIFS('03_Base_Vendas'!$I$4:$I$387, '03_Base_Vendas'!$A$4:$A$387, E$59),0))</f>
        <v>4274.9931107276871</v>
      </c>
      <c r="F70" s="42">
        <f>(SUMIFS('04_Base_Despesas'!$D$4:$D$219, '04_Base_Despesas'!$A$4:$A$219, F$59, '04_Base_Despesas'!$B$4:$B$219, "logistica"))*(IFERROR(SUMIFS('03_Base_Vendas'!$I$4:$I$387, '03_Base_Vendas'!$A$4:$A$387, F$59, '03_Base_Vendas'!$C$4:$C$387, "perfumes")/SUMIFS('03_Base_Vendas'!$I$4:$I$387, '03_Base_Vendas'!$A$4:$A$387, F$59),0))</f>
        <v>3280.3561819603287</v>
      </c>
      <c r="G70" s="42">
        <f>(SUMIFS('04_Base_Despesas'!$D$4:$D$219, '04_Base_Despesas'!$A$4:$A$219, G$59, '04_Base_Despesas'!$B$4:$B$219, "logistica"))*(IFERROR(SUMIFS('03_Base_Vendas'!$I$4:$I$387, '03_Base_Vendas'!$A$4:$A$387, G$59, '03_Base_Vendas'!$C$4:$C$387, "perfumes")/SUMIFS('03_Base_Vendas'!$I$4:$I$387, '03_Base_Vendas'!$A$4:$A$387, G$59),0))</f>
        <v>4124.418284286744</v>
      </c>
      <c r="H70" s="42">
        <f>(SUMIFS('04_Base_Despesas'!$D$4:$D$219, '04_Base_Despesas'!$A$4:$A$219, H$59, '04_Base_Despesas'!$B$4:$B$219, "logistica"))*(IFERROR(SUMIFS('03_Base_Vendas'!$I$4:$I$387, '03_Base_Vendas'!$A$4:$A$387, H$59, '03_Base_Vendas'!$C$4:$C$387, "perfumes")/SUMIFS('03_Base_Vendas'!$I$4:$I$387, '03_Base_Vendas'!$A$4:$A$387, H$59),0))</f>
        <v>4148.2441650622222</v>
      </c>
      <c r="I70" s="42">
        <f>(SUMIFS('04_Base_Despesas'!$D$4:$D$219, '04_Base_Despesas'!$A$4:$A$219, I$59, '04_Base_Despesas'!$B$4:$B$219, "logistica"))*(IFERROR(SUMIFS('03_Base_Vendas'!$I$4:$I$387, '03_Base_Vendas'!$A$4:$A$387, I$59, '03_Base_Vendas'!$C$4:$C$387, "perfumes")/SUMIFS('03_Base_Vendas'!$I$4:$I$387, '03_Base_Vendas'!$A$4:$A$387, I$59),0))</f>
        <v>3386.8892130495319</v>
      </c>
      <c r="J70" s="42">
        <f>(SUMIFS('04_Base_Despesas'!$D$4:$D$219, '04_Base_Despesas'!$A$4:$A$219, J$59, '04_Base_Despesas'!$B$4:$B$219, "logistica"))*(IFERROR(SUMIFS('03_Base_Vendas'!$I$4:$I$387, '03_Base_Vendas'!$A$4:$A$387, J$59, '03_Base_Vendas'!$C$4:$C$387, "perfumes")/SUMIFS('03_Base_Vendas'!$I$4:$I$387, '03_Base_Vendas'!$A$4:$A$387, J$59),0))</f>
        <v>3956.0194855293721</v>
      </c>
      <c r="K70" s="42">
        <f>(SUMIFS('04_Base_Despesas'!$D$4:$D$219, '04_Base_Despesas'!$A$4:$A$219, K$59, '04_Base_Despesas'!$B$4:$B$219, "logistica"))*(IFERROR(SUMIFS('03_Base_Vendas'!$I$4:$I$387, '03_Base_Vendas'!$A$4:$A$387, K$59, '03_Base_Vendas'!$C$4:$C$387, "perfumes")/SUMIFS('03_Base_Vendas'!$I$4:$I$387, '03_Base_Vendas'!$A$4:$A$387, K$59),0))</f>
        <v>3755.6699242896534</v>
      </c>
      <c r="L70" s="42">
        <f>(SUMIFS('04_Base_Despesas'!$D$4:$D$219, '04_Base_Despesas'!$A$4:$A$219, L$59, '04_Base_Despesas'!$B$4:$B$219, "logistica"))*(IFERROR(SUMIFS('03_Base_Vendas'!$I$4:$I$387, '03_Base_Vendas'!$A$4:$A$387, L$59, '03_Base_Vendas'!$C$4:$C$387, "perfumes")/SUMIFS('03_Base_Vendas'!$I$4:$I$387, '03_Base_Vendas'!$A$4:$A$387, L$59),0))</f>
        <v>3674.3221064971221</v>
      </c>
      <c r="M70" s="42">
        <f>(SUMIFS('04_Base_Despesas'!$D$4:$D$219, '04_Base_Despesas'!$A$4:$A$219, M$59, '04_Base_Despesas'!$B$4:$B$219, "logistica"))*(IFERROR(SUMIFS('03_Base_Vendas'!$I$4:$I$387, '03_Base_Vendas'!$A$4:$A$387, M$59, '03_Base_Vendas'!$C$4:$C$387, "perfumes")/SUMIFS('03_Base_Vendas'!$I$4:$I$387, '03_Base_Vendas'!$A$4:$A$387, M$59),0))</f>
        <v>3782.3813709332717</v>
      </c>
      <c r="N70" s="42">
        <f>(SUMIFS('04_Base_Despesas'!$D$4:$D$219, '04_Base_Despesas'!$A$4:$A$219, N$59, '04_Base_Despesas'!$B$4:$B$219, "logistica"))*(IFERROR(SUMIFS('03_Base_Vendas'!$I$4:$I$387, '03_Base_Vendas'!$A$4:$A$387, N$59, '03_Base_Vendas'!$C$4:$C$387, "perfumes")/SUMIFS('03_Base_Vendas'!$I$4:$I$387, '03_Base_Vendas'!$A$4:$A$387, N$59),0))</f>
        <v>3813.6652445717532</v>
      </c>
      <c r="O70" s="42">
        <f>(SUMIFS('04_Base_Despesas'!$D$4:$D$219, '04_Base_Despesas'!$A$4:$A$219, O$59, '04_Base_Despesas'!$B$4:$B$219, "logistica"))*(IFERROR(SUMIFS('03_Base_Vendas'!$I$4:$I$387, '03_Base_Vendas'!$A$4:$A$387, O$59, '03_Base_Vendas'!$C$4:$C$387, "perfumes")/SUMIFS('03_Base_Vendas'!$I$4:$I$387, '03_Base_Vendas'!$A$4:$A$387, O$59),0))</f>
        <v>4615.9008798962559</v>
      </c>
      <c r="P70" s="42">
        <f>(SUMIFS('04_Base_Despesas'!$D$4:$D$219, '04_Base_Despesas'!$A$4:$A$219, P$59, '04_Base_Despesas'!$B$4:$B$219, "logistica"))*(IFERROR(SUMIFS('03_Base_Vendas'!$I$4:$I$387, '03_Base_Vendas'!$A$4:$A$387, P$59, '03_Base_Vendas'!$C$4:$C$387, "perfumes")/SUMIFS('03_Base_Vendas'!$I$4:$I$387, '03_Base_Vendas'!$A$4:$A$387, P$59),0))</f>
        <v>4407.4427554682743</v>
      </c>
      <c r="Q70" s="42">
        <f>(SUMIFS('04_Base_Despesas'!$D$4:$D$219, '04_Base_Despesas'!$A$4:$A$219, Q$59, '04_Base_Despesas'!$B$4:$B$219, "logistica"))*(IFERROR(SUMIFS('03_Base_Vendas'!$I$4:$I$387, '03_Base_Vendas'!$A$4:$A$387, Q$59, '03_Base_Vendas'!$C$4:$C$387, "perfumes")/SUMIFS('03_Base_Vendas'!$I$4:$I$387, '03_Base_Vendas'!$A$4:$A$387, Q$59),0))</f>
        <v>3429.1927597282393</v>
      </c>
      <c r="R70" s="42">
        <f>(SUMIFS('04_Base_Despesas'!$D$4:$D$219, '04_Base_Despesas'!$A$4:$A$219, R$59, '04_Base_Despesas'!$B$4:$B$219, "logistica"))*(IFERROR(SUMIFS('03_Base_Vendas'!$I$4:$I$387, '03_Base_Vendas'!$A$4:$A$387, R$59, '03_Base_Vendas'!$C$4:$C$387, "perfumes")/SUMIFS('03_Base_Vendas'!$I$4:$I$387, '03_Base_Vendas'!$A$4:$A$387, R$59),0))</f>
        <v>4186.7999402464193</v>
      </c>
      <c r="S70" s="42">
        <f>(SUMIFS('04_Base_Despesas'!$D$4:$D$219, '04_Base_Despesas'!$A$4:$A$219, S$59, '04_Base_Despesas'!$B$4:$B$219, "logistica"))*(IFERROR(SUMIFS('03_Base_Vendas'!$I$4:$I$387, '03_Base_Vendas'!$A$4:$A$387, S$59, '03_Base_Vendas'!$C$4:$C$387, "perfumes")/SUMIFS('03_Base_Vendas'!$I$4:$I$387, '03_Base_Vendas'!$A$4:$A$387, S$59),0))</f>
        <v>3909.0833712862259</v>
      </c>
      <c r="T70" s="42">
        <f>(SUMIFS('04_Base_Despesas'!$D$4:$D$219, '04_Base_Despesas'!$A$4:$A$219, T$59, '04_Base_Despesas'!$B$4:$B$219, "logistica"))*(IFERROR(SUMIFS('03_Base_Vendas'!$I$4:$I$387, '03_Base_Vendas'!$A$4:$A$387, T$59, '03_Base_Vendas'!$C$4:$C$387, "perfumes")/SUMIFS('03_Base_Vendas'!$I$4:$I$387, '03_Base_Vendas'!$A$4:$A$387, T$59),0))</f>
        <v>4184.5818192916286</v>
      </c>
      <c r="U70" s="42">
        <f>(SUMIFS('04_Base_Despesas'!$D$4:$D$219, '04_Base_Despesas'!$A$4:$A$219, U$59, '04_Base_Despesas'!$B$4:$B$219, "logistica"))*(IFERROR(SUMIFS('03_Base_Vendas'!$I$4:$I$387, '03_Base_Vendas'!$A$4:$A$387, U$59, '03_Base_Vendas'!$C$4:$C$387, "perfumes")/SUMIFS('03_Base_Vendas'!$I$4:$I$387, '03_Base_Vendas'!$A$4:$A$387, U$59),0))</f>
        <v>4014.5434958951892</v>
      </c>
      <c r="V70" s="42">
        <f>(SUMIFS('04_Base_Despesas'!$D$4:$D$219, '04_Base_Despesas'!$A$4:$A$219, V$59, '04_Base_Despesas'!$B$4:$B$219, "logistica"))*(IFERROR(SUMIFS('03_Base_Vendas'!$I$4:$I$387, '03_Base_Vendas'!$A$4:$A$387, V$59, '03_Base_Vendas'!$C$4:$C$387, "perfumes")/SUMIFS('03_Base_Vendas'!$I$4:$I$387, '03_Base_Vendas'!$A$4:$A$387, V$59),0))</f>
        <v>3333.2217221368246</v>
      </c>
      <c r="W70" s="42">
        <f>(SUMIFS('04_Base_Despesas'!$D$4:$D$219, '04_Base_Despesas'!$A$4:$A$219, W$59, '04_Base_Despesas'!$B$4:$B$219, "logistica"))*(IFERROR(SUMIFS('03_Base_Vendas'!$I$4:$I$387, '03_Base_Vendas'!$A$4:$A$387, W$59, '03_Base_Vendas'!$C$4:$C$387, "perfumes")/SUMIFS('03_Base_Vendas'!$I$4:$I$387, '03_Base_Vendas'!$A$4:$A$387, W$59),0))</f>
        <v>3292.4456349059187</v>
      </c>
      <c r="X70" s="42">
        <f>(SUMIFS('04_Base_Despesas'!$D$4:$D$219, '04_Base_Despesas'!$A$4:$A$219, X$59, '04_Base_Despesas'!$B$4:$B$219, "logistica"))*(IFERROR(SUMIFS('03_Base_Vendas'!$I$4:$I$387, '03_Base_Vendas'!$A$4:$A$387, X$59, '03_Base_Vendas'!$C$4:$C$387, "perfumes")/SUMIFS('03_Base_Vendas'!$I$4:$I$387, '03_Base_Vendas'!$A$4:$A$387, X$59),0))</f>
        <v>3891.745210110782</v>
      </c>
      <c r="Y70" s="42">
        <f>(SUMIFS('04_Base_Despesas'!$D$4:$D$219, '04_Base_Despesas'!$A$4:$A$219, Y$59, '04_Base_Despesas'!$B$4:$B$219, "logistica"))*(IFERROR(SUMIFS('03_Base_Vendas'!$I$4:$I$387, '03_Base_Vendas'!$A$4:$A$387, Y$59, '03_Base_Vendas'!$C$4:$C$387, "perfumes")/SUMIFS('03_Base_Vendas'!$I$4:$I$387, '03_Base_Vendas'!$A$4:$A$387, Y$59),0))</f>
        <v>3998.4182069339581</v>
      </c>
      <c r="Z70" s="43">
        <f t="shared" si="26"/>
        <v>92443.184859637389</v>
      </c>
    </row>
    <row r="71" spans="1:26" x14ac:dyDescent="0.25">
      <c r="A71" s="41" t="s">
        <v>342</v>
      </c>
      <c r="B71" s="42">
        <f>(SUMIFS('04_Base_Despesas'!$D$4:$D$219, '04_Base_Despesas'!$A$4:$A$219, B$59, '04_Base_Despesas'!$B$4:$B$219, "tecnologia"))*(IFERROR(SUMIFS('03_Base_Vendas'!$I$4:$I$387, '03_Base_Vendas'!$A$4:$A$387, B$59, '03_Base_Vendas'!$C$4:$C$387, "perfumes")/SUMIFS('03_Base_Vendas'!$I$4:$I$387, '03_Base_Vendas'!$A$4:$A$387, B$59),0))</f>
        <v>2440.1023868042148</v>
      </c>
      <c r="C71" s="42">
        <f>(SUMIFS('04_Base_Despesas'!$D$4:$D$219, '04_Base_Despesas'!$A$4:$A$219, C$59, '04_Base_Despesas'!$B$4:$B$219, "tecnologia"))*(IFERROR(SUMIFS('03_Base_Vendas'!$I$4:$I$387, '03_Base_Vendas'!$A$4:$A$387, C$59, '03_Base_Vendas'!$C$4:$C$387, "perfumes")/SUMIFS('03_Base_Vendas'!$I$4:$I$387, '03_Base_Vendas'!$A$4:$A$387, C$59),0))</f>
        <v>2784.6363824563095</v>
      </c>
      <c r="D71" s="42">
        <f>(SUMIFS('04_Base_Despesas'!$D$4:$D$219, '04_Base_Despesas'!$A$4:$A$219, D$59, '04_Base_Despesas'!$B$4:$B$219, "tecnologia"))*(IFERROR(SUMIFS('03_Base_Vendas'!$I$4:$I$387, '03_Base_Vendas'!$A$4:$A$387, D$59, '03_Base_Vendas'!$C$4:$C$387, "perfumes")/SUMIFS('03_Base_Vendas'!$I$4:$I$387, '03_Base_Vendas'!$A$4:$A$387, D$59),0))</f>
        <v>2629.911700873362</v>
      </c>
      <c r="E71" s="42">
        <f>(SUMIFS('04_Base_Despesas'!$D$4:$D$219, '04_Base_Despesas'!$A$4:$A$219, E$59, '04_Base_Despesas'!$B$4:$B$219, "tecnologia"))*(IFERROR(SUMIFS('03_Base_Vendas'!$I$4:$I$387, '03_Base_Vendas'!$A$4:$A$387, E$59, '03_Base_Vendas'!$C$4:$C$387, "perfumes")/SUMIFS('03_Base_Vendas'!$I$4:$I$387, '03_Base_Vendas'!$A$4:$A$387, E$59),0))</f>
        <v>2594.0826642463931</v>
      </c>
      <c r="F71" s="42">
        <f>(SUMIFS('04_Base_Despesas'!$D$4:$D$219, '04_Base_Despesas'!$A$4:$A$219, F$59, '04_Base_Despesas'!$B$4:$B$219, "tecnologia"))*(IFERROR(SUMIFS('03_Base_Vendas'!$I$4:$I$387, '03_Base_Vendas'!$A$4:$A$387, F$59, '03_Base_Vendas'!$C$4:$C$387, "perfumes")/SUMIFS('03_Base_Vendas'!$I$4:$I$387, '03_Base_Vendas'!$A$4:$A$387, F$59),0))</f>
        <v>2191.0111104552543</v>
      </c>
      <c r="G71" s="42">
        <f>(SUMIFS('04_Base_Despesas'!$D$4:$D$219, '04_Base_Despesas'!$A$4:$A$219, G$59, '04_Base_Despesas'!$B$4:$B$219, "tecnologia"))*(IFERROR(SUMIFS('03_Base_Vendas'!$I$4:$I$387, '03_Base_Vendas'!$A$4:$A$387, G$59, '03_Base_Vendas'!$C$4:$C$387, "perfumes")/SUMIFS('03_Base_Vendas'!$I$4:$I$387, '03_Base_Vendas'!$A$4:$A$387, G$59),0))</f>
        <v>2931.8460888828399</v>
      </c>
      <c r="H71" s="42">
        <f>(SUMIFS('04_Base_Despesas'!$D$4:$D$219, '04_Base_Despesas'!$A$4:$A$219, H$59, '04_Base_Despesas'!$B$4:$B$219, "tecnologia"))*(IFERROR(SUMIFS('03_Base_Vendas'!$I$4:$I$387, '03_Base_Vendas'!$A$4:$A$387, H$59, '03_Base_Vendas'!$C$4:$C$387, "perfumes")/SUMIFS('03_Base_Vendas'!$I$4:$I$387, '03_Base_Vendas'!$A$4:$A$387, H$59),0))</f>
        <v>2558.6965097304192</v>
      </c>
      <c r="I71" s="42">
        <f>(SUMIFS('04_Base_Despesas'!$D$4:$D$219, '04_Base_Despesas'!$A$4:$A$219, I$59, '04_Base_Despesas'!$B$4:$B$219, "tecnologia"))*(IFERROR(SUMIFS('03_Base_Vendas'!$I$4:$I$387, '03_Base_Vendas'!$A$4:$A$387, I$59, '03_Base_Vendas'!$C$4:$C$387, "perfumes")/SUMIFS('03_Base_Vendas'!$I$4:$I$387, '03_Base_Vendas'!$A$4:$A$387, I$59),0))</f>
        <v>2139.2995336528347</v>
      </c>
      <c r="J71" s="42">
        <f>(SUMIFS('04_Base_Despesas'!$D$4:$D$219, '04_Base_Despesas'!$A$4:$A$219, J$59, '04_Base_Despesas'!$B$4:$B$219, "tecnologia"))*(IFERROR(SUMIFS('03_Base_Vendas'!$I$4:$I$387, '03_Base_Vendas'!$A$4:$A$387, J$59, '03_Base_Vendas'!$C$4:$C$387, "perfumes")/SUMIFS('03_Base_Vendas'!$I$4:$I$387, '03_Base_Vendas'!$A$4:$A$387, J$59),0))</f>
        <v>2485.4132537681285</v>
      </c>
      <c r="K71" s="42">
        <f>(SUMIFS('04_Base_Despesas'!$D$4:$D$219, '04_Base_Despesas'!$A$4:$A$219, K$59, '04_Base_Despesas'!$B$4:$B$219, "tecnologia"))*(IFERROR(SUMIFS('03_Base_Vendas'!$I$4:$I$387, '03_Base_Vendas'!$A$4:$A$387, K$59, '03_Base_Vendas'!$C$4:$C$387, "perfumes")/SUMIFS('03_Base_Vendas'!$I$4:$I$387, '03_Base_Vendas'!$A$4:$A$387, K$59),0))</f>
        <v>2496.1207524834135</v>
      </c>
      <c r="L71" s="42">
        <f>(SUMIFS('04_Base_Despesas'!$D$4:$D$219, '04_Base_Despesas'!$A$4:$A$219, L$59, '04_Base_Despesas'!$B$4:$B$219, "tecnologia"))*(IFERROR(SUMIFS('03_Base_Vendas'!$I$4:$I$387, '03_Base_Vendas'!$A$4:$A$387, L$59, '03_Base_Vendas'!$C$4:$C$387, "perfumes")/SUMIFS('03_Base_Vendas'!$I$4:$I$387, '03_Base_Vendas'!$A$4:$A$387, L$59),0))</f>
        <v>2334.6292726513698</v>
      </c>
      <c r="M71" s="42">
        <f>(SUMIFS('04_Base_Despesas'!$D$4:$D$219, '04_Base_Despesas'!$A$4:$A$219, M$59, '04_Base_Despesas'!$B$4:$B$219, "tecnologia"))*(IFERROR(SUMIFS('03_Base_Vendas'!$I$4:$I$387, '03_Base_Vendas'!$A$4:$A$387, M$59, '03_Base_Vendas'!$C$4:$C$387, "perfumes")/SUMIFS('03_Base_Vendas'!$I$4:$I$387, '03_Base_Vendas'!$A$4:$A$387, M$59),0))</f>
        <v>2492.3588828818561</v>
      </c>
      <c r="N71" s="42">
        <f>(SUMIFS('04_Base_Despesas'!$D$4:$D$219, '04_Base_Despesas'!$A$4:$A$219, N$59, '04_Base_Despesas'!$B$4:$B$219, "tecnologia"))*(IFERROR(SUMIFS('03_Base_Vendas'!$I$4:$I$387, '03_Base_Vendas'!$A$4:$A$387, N$59, '03_Base_Vendas'!$C$4:$C$387, "perfumes")/SUMIFS('03_Base_Vendas'!$I$4:$I$387, '03_Base_Vendas'!$A$4:$A$387, N$59),0))</f>
        <v>2627.4847815446014</v>
      </c>
      <c r="O71" s="42">
        <f>(SUMIFS('04_Base_Despesas'!$D$4:$D$219, '04_Base_Despesas'!$A$4:$A$219, O$59, '04_Base_Despesas'!$B$4:$B$219, "tecnologia"))*(IFERROR(SUMIFS('03_Base_Vendas'!$I$4:$I$387, '03_Base_Vendas'!$A$4:$A$387, O$59, '03_Base_Vendas'!$C$4:$C$387, "perfumes")/SUMIFS('03_Base_Vendas'!$I$4:$I$387, '03_Base_Vendas'!$A$4:$A$387, O$59),0))</f>
        <v>2971.0194522458523</v>
      </c>
      <c r="P71" s="42">
        <f>(SUMIFS('04_Base_Despesas'!$D$4:$D$219, '04_Base_Despesas'!$A$4:$A$219, P$59, '04_Base_Despesas'!$B$4:$B$219, "tecnologia"))*(IFERROR(SUMIFS('03_Base_Vendas'!$I$4:$I$387, '03_Base_Vendas'!$A$4:$A$387, P$59, '03_Base_Vendas'!$C$4:$C$387, "perfumes")/SUMIFS('03_Base_Vendas'!$I$4:$I$387, '03_Base_Vendas'!$A$4:$A$387, P$59),0))</f>
        <v>2653.8833723539356</v>
      </c>
      <c r="Q71" s="42">
        <f>(SUMIFS('04_Base_Despesas'!$D$4:$D$219, '04_Base_Despesas'!$A$4:$A$219, Q$59, '04_Base_Despesas'!$B$4:$B$219, "tecnologia"))*(IFERROR(SUMIFS('03_Base_Vendas'!$I$4:$I$387, '03_Base_Vendas'!$A$4:$A$387, Q$59, '03_Base_Vendas'!$C$4:$C$387, "perfumes")/SUMIFS('03_Base_Vendas'!$I$4:$I$387, '03_Base_Vendas'!$A$4:$A$387, Q$59),0))</f>
        <v>2439.1036931789754</v>
      </c>
      <c r="R71" s="42">
        <f>(SUMIFS('04_Base_Despesas'!$D$4:$D$219, '04_Base_Despesas'!$A$4:$A$219, R$59, '04_Base_Despesas'!$B$4:$B$219, "tecnologia"))*(IFERROR(SUMIFS('03_Base_Vendas'!$I$4:$I$387, '03_Base_Vendas'!$A$4:$A$387, R$59, '03_Base_Vendas'!$C$4:$C$387, "perfumes")/SUMIFS('03_Base_Vendas'!$I$4:$I$387, '03_Base_Vendas'!$A$4:$A$387, R$59),0))</f>
        <v>2631.5543625707342</v>
      </c>
      <c r="S71" s="42">
        <f>(SUMIFS('04_Base_Despesas'!$D$4:$D$219, '04_Base_Despesas'!$A$4:$A$219, S$59, '04_Base_Despesas'!$B$4:$B$219, "tecnologia"))*(IFERROR(SUMIFS('03_Base_Vendas'!$I$4:$I$387, '03_Base_Vendas'!$A$4:$A$387, S$59, '03_Base_Vendas'!$C$4:$C$387, "perfumes")/SUMIFS('03_Base_Vendas'!$I$4:$I$387, '03_Base_Vendas'!$A$4:$A$387, S$59),0))</f>
        <v>2689.8755662935409</v>
      </c>
      <c r="T71" s="42">
        <f>(SUMIFS('04_Base_Despesas'!$D$4:$D$219, '04_Base_Despesas'!$A$4:$A$219, T$59, '04_Base_Despesas'!$B$4:$B$219, "tecnologia"))*(IFERROR(SUMIFS('03_Base_Vendas'!$I$4:$I$387, '03_Base_Vendas'!$A$4:$A$387, T$59, '03_Base_Vendas'!$C$4:$C$387, "perfumes")/SUMIFS('03_Base_Vendas'!$I$4:$I$387, '03_Base_Vendas'!$A$4:$A$387, T$59),0))</f>
        <v>3041.3852565760262</v>
      </c>
      <c r="U71" s="42">
        <f>(SUMIFS('04_Base_Despesas'!$D$4:$D$219, '04_Base_Despesas'!$A$4:$A$219, U$59, '04_Base_Despesas'!$B$4:$B$219, "tecnologia"))*(IFERROR(SUMIFS('03_Base_Vendas'!$I$4:$I$387, '03_Base_Vendas'!$A$4:$A$387, U$59, '03_Base_Vendas'!$C$4:$C$387, "perfumes")/SUMIFS('03_Base_Vendas'!$I$4:$I$387, '03_Base_Vendas'!$A$4:$A$387, U$59),0))</f>
        <v>2804.507568223225</v>
      </c>
      <c r="V71" s="42">
        <f>(SUMIFS('04_Base_Despesas'!$D$4:$D$219, '04_Base_Despesas'!$A$4:$A$219, V$59, '04_Base_Despesas'!$B$4:$B$219, "tecnologia"))*(IFERROR(SUMIFS('03_Base_Vendas'!$I$4:$I$387, '03_Base_Vendas'!$A$4:$A$387, V$59, '03_Base_Vendas'!$C$4:$C$387, "perfumes")/SUMIFS('03_Base_Vendas'!$I$4:$I$387, '03_Base_Vendas'!$A$4:$A$387, V$59),0))</f>
        <v>2468.5203186508584</v>
      </c>
      <c r="W71" s="42">
        <f>(SUMIFS('04_Base_Despesas'!$D$4:$D$219, '04_Base_Despesas'!$A$4:$A$219, W$59, '04_Base_Despesas'!$B$4:$B$219, "tecnologia"))*(IFERROR(SUMIFS('03_Base_Vendas'!$I$4:$I$387, '03_Base_Vendas'!$A$4:$A$387, W$59, '03_Base_Vendas'!$C$4:$C$387, "perfumes")/SUMIFS('03_Base_Vendas'!$I$4:$I$387, '03_Base_Vendas'!$A$4:$A$387, W$59),0))</f>
        <v>2293.961953739657</v>
      </c>
      <c r="X71" s="42">
        <f>(SUMIFS('04_Base_Despesas'!$D$4:$D$219, '04_Base_Despesas'!$A$4:$A$219, X$59, '04_Base_Despesas'!$B$4:$B$219, "tecnologia"))*(IFERROR(SUMIFS('03_Base_Vendas'!$I$4:$I$387, '03_Base_Vendas'!$A$4:$A$387, X$59, '03_Base_Vendas'!$C$4:$C$387, "perfumes")/SUMIFS('03_Base_Vendas'!$I$4:$I$387, '03_Base_Vendas'!$A$4:$A$387, X$59),0))</f>
        <v>2579.6471387312013</v>
      </c>
      <c r="Y71" s="42">
        <f>(SUMIFS('04_Base_Despesas'!$D$4:$D$219, '04_Base_Despesas'!$A$4:$A$219, Y$59, '04_Base_Despesas'!$B$4:$B$219, "tecnologia"))*(IFERROR(SUMIFS('03_Base_Vendas'!$I$4:$I$387, '03_Base_Vendas'!$A$4:$A$387, Y$59, '03_Base_Vendas'!$C$4:$C$387, "perfumes")/SUMIFS('03_Base_Vendas'!$I$4:$I$387, '03_Base_Vendas'!$A$4:$A$387, Y$59),0))</f>
        <v>0</v>
      </c>
      <c r="Z71" s="43">
        <f t="shared" si="26"/>
        <v>59279.052002995013</v>
      </c>
    </row>
    <row r="72" spans="1:26" x14ac:dyDescent="0.25">
      <c r="A72" s="41" t="s">
        <v>343</v>
      </c>
      <c r="B72" s="42">
        <f>(SUMIFS('04_Base_Despesas'!$D$4:$D$219, '04_Base_Despesas'!$A$4:$A$219, B$59, '04_Base_Despesas'!$B$4:$B$219, "administrativo"))*(IFERROR(SUMIFS('03_Base_Vendas'!$I$4:$I$387, '03_Base_Vendas'!$A$4:$A$387, B$59, '03_Base_Vendas'!$C$4:$C$387, "perfumes")/SUMIFS('03_Base_Vendas'!$I$4:$I$387, '03_Base_Vendas'!$A$4:$A$387, B$59),0))</f>
        <v>1493.153486063891</v>
      </c>
      <c r="C72" s="42">
        <f>(SUMIFS('04_Base_Despesas'!$D$4:$D$219, '04_Base_Despesas'!$A$4:$A$219, C$59, '04_Base_Despesas'!$B$4:$B$219, "administrativo"))*(IFERROR(SUMIFS('03_Base_Vendas'!$I$4:$I$387, '03_Base_Vendas'!$A$4:$A$387, C$59, '03_Base_Vendas'!$C$4:$C$387, "perfumes")/SUMIFS('03_Base_Vendas'!$I$4:$I$387, '03_Base_Vendas'!$A$4:$A$387, C$59),0))</f>
        <v>1052.0559451213401</v>
      </c>
      <c r="D72" s="42">
        <f>(SUMIFS('04_Base_Despesas'!$D$4:$D$219, '04_Base_Despesas'!$A$4:$A$219, D$59, '04_Base_Despesas'!$B$4:$B$219, "administrativo"))*(IFERROR(SUMIFS('03_Base_Vendas'!$I$4:$I$387, '03_Base_Vendas'!$A$4:$A$387, D$59, '03_Base_Vendas'!$C$4:$C$387, "perfumes")/SUMIFS('03_Base_Vendas'!$I$4:$I$387, '03_Base_Vendas'!$A$4:$A$387, D$59),0))</f>
        <v>988.23238778239295</v>
      </c>
      <c r="E72" s="42">
        <f>(SUMIFS('04_Base_Despesas'!$D$4:$D$219, '04_Base_Despesas'!$A$4:$A$219, E$59, '04_Base_Despesas'!$B$4:$B$219, "administrativo"))*(IFERROR(SUMIFS('03_Base_Vendas'!$I$4:$I$387, '03_Base_Vendas'!$A$4:$A$387, E$59, '03_Base_Vendas'!$C$4:$C$387, "perfumes")/SUMIFS('03_Base_Vendas'!$I$4:$I$387, '03_Base_Vendas'!$A$4:$A$387, E$59),0))</f>
        <v>1794.264624415375</v>
      </c>
      <c r="F72" s="42">
        <f>(SUMIFS('04_Base_Despesas'!$D$4:$D$219, '04_Base_Despesas'!$A$4:$A$219, F$59, '04_Base_Despesas'!$B$4:$B$219, "administrativo"))*(IFERROR(SUMIFS('03_Base_Vendas'!$I$4:$I$387, '03_Base_Vendas'!$A$4:$A$387, F$59, '03_Base_Vendas'!$C$4:$C$387, "perfumes")/SUMIFS('03_Base_Vendas'!$I$4:$I$387, '03_Base_Vendas'!$A$4:$A$387, F$59),0))</f>
        <v>831.14998955102726</v>
      </c>
      <c r="G72" s="42">
        <f>(SUMIFS('04_Base_Despesas'!$D$4:$D$219, '04_Base_Despesas'!$A$4:$A$219, G$59, '04_Base_Despesas'!$B$4:$B$219, "administrativo"))*(IFERROR(SUMIFS('03_Base_Vendas'!$I$4:$I$387, '03_Base_Vendas'!$A$4:$A$387, G$59, '03_Base_Vendas'!$C$4:$C$387, "perfumes")/SUMIFS('03_Base_Vendas'!$I$4:$I$387, '03_Base_Vendas'!$A$4:$A$387, G$59),0))</f>
        <v>1093.9022155603595</v>
      </c>
      <c r="H72" s="42">
        <f>(SUMIFS('04_Base_Despesas'!$D$4:$D$219, '04_Base_Despesas'!$A$4:$A$219, H$59, '04_Base_Despesas'!$B$4:$B$219, "administrativo"))*(IFERROR(SUMIFS('03_Base_Vendas'!$I$4:$I$387, '03_Base_Vendas'!$A$4:$A$387, H$59, '03_Base_Vendas'!$C$4:$C$387, "perfumes")/SUMIFS('03_Base_Vendas'!$I$4:$I$387, '03_Base_Vendas'!$A$4:$A$387, H$59),0))</f>
        <v>1642.6660942917715</v>
      </c>
      <c r="I72" s="42">
        <f>(SUMIFS('04_Base_Despesas'!$D$4:$D$219, '04_Base_Despesas'!$A$4:$A$219, I$59, '04_Base_Despesas'!$B$4:$B$219, "administrativo"))*(IFERROR(SUMIFS('03_Base_Vendas'!$I$4:$I$387, '03_Base_Vendas'!$A$4:$A$387, I$59, '03_Base_Vendas'!$C$4:$C$387, "perfumes")/SUMIFS('03_Base_Vendas'!$I$4:$I$387, '03_Base_Vendas'!$A$4:$A$387, I$59),0))</f>
        <v>787.11488047861769</v>
      </c>
      <c r="J72" s="42">
        <f>(SUMIFS('04_Base_Despesas'!$D$4:$D$219, '04_Base_Despesas'!$A$4:$A$219, J$59, '04_Base_Despesas'!$B$4:$B$219, "administrativo"))*(IFERROR(SUMIFS('03_Base_Vendas'!$I$4:$I$387, '03_Base_Vendas'!$A$4:$A$387, J$59, '03_Base_Vendas'!$C$4:$C$387, "perfumes")/SUMIFS('03_Base_Vendas'!$I$4:$I$387, '03_Base_Vendas'!$A$4:$A$387, J$59),0))</f>
        <v>916.16828519473188</v>
      </c>
      <c r="K72" s="42">
        <f>(SUMIFS('04_Base_Despesas'!$D$4:$D$219, '04_Base_Despesas'!$A$4:$A$219, K$59, '04_Base_Despesas'!$B$4:$B$219, "administrativo"))*(IFERROR(SUMIFS('03_Base_Vendas'!$I$4:$I$387, '03_Base_Vendas'!$A$4:$A$387, K$59, '03_Base_Vendas'!$C$4:$C$387, "perfumes")/SUMIFS('03_Base_Vendas'!$I$4:$I$387, '03_Base_Vendas'!$A$4:$A$387, K$59),0))</f>
        <v>1674.6183561160212</v>
      </c>
      <c r="L72" s="42">
        <f>(SUMIFS('04_Base_Despesas'!$D$4:$D$219, '04_Base_Despesas'!$A$4:$A$219, L$59, '04_Base_Despesas'!$B$4:$B$219, "administrativo"))*(IFERROR(SUMIFS('03_Base_Vendas'!$I$4:$I$387, '03_Base_Vendas'!$A$4:$A$387, L$59, '03_Base_Vendas'!$C$4:$C$387, "perfumes")/SUMIFS('03_Base_Vendas'!$I$4:$I$387, '03_Base_Vendas'!$A$4:$A$387, L$59),0))</f>
        <v>895.88070141190576</v>
      </c>
      <c r="M72" s="42">
        <f>(SUMIFS('04_Base_Despesas'!$D$4:$D$219, '04_Base_Despesas'!$A$4:$A$219, M$59, '04_Base_Despesas'!$B$4:$B$219, "administrativo"))*(IFERROR(SUMIFS('03_Base_Vendas'!$I$4:$I$387, '03_Base_Vendas'!$A$4:$A$387, M$59, '03_Base_Vendas'!$C$4:$C$387, "perfumes")/SUMIFS('03_Base_Vendas'!$I$4:$I$387, '03_Base_Vendas'!$A$4:$A$387, M$59),0))</f>
        <v>953.39987410272295</v>
      </c>
      <c r="N72" s="42">
        <f>(SUMIFS('04_Base_Despesas'!$D$4:$D$219, '04_Base_Despesas'!$A$4:$A$219, N$59, '04_Base_Despesas'!$B$4:$B$219, "administrativo"))*(IFERROR(SUMIFS('03_Base_Vendas'!$I$4:$I$387, '03_Base_Vendas'!$A$4:$A$387, N$59, '03_Base_Vendas'!$C$4:$C$387, "perfumes")/SUMIFS('03_Base_Vendas'!$I$4:$I$387, '03_Base_Vendas'!$A$4:$A$387, N$59),0))</f>
        <v>1834.4265105364186</v>
      </c>
      <c r="O72" s="42">
        <f>(SUMIFS('04_Base_Despesas'!$D$4:$D$219, '04_Base_Despesas'!$A$4:$A$219, O$59, '04_Base_Despesas'!$B$4:$B$219, "administrativo"))*(IFERROR(SUMIFS('03_Base_Vendas'!$I$4:$I$387, '03_Base_Vendas'!$A$4:$A$387, O$59, '03_Base_Vendas'!$C$4:$C$387, "perfumes")/SUMIFS('03_Base_Vendas'!$I$4:$I$387, '03_Base_Vendas'!$A$4:$A$387, O$59),0))</f>
        <v>1110.8164940941215</v>
      </c>
      <c r="P72" s="42">
        <f>(SUMIFS('04_Base_Despesas'!$D$4:$D$219, '04_Base_Despesas'!$A$4:$A$219, P$59, '04_Base_Despesas'!$B$4:$B$219, "administrativo"))*(IFERROR(SUMIFS('03_Base_Vendas'!$I$4:$I$387, '03_Base_Vendas'!$A$4:$A$387, P$59, '03_Base_Vendas'!$C$4:$C$387, "perfumes")/SUMIFS('03_Base_Vendas'!$I$4:$I$387, '03_Base_Vendas'!$A$4:$A$387, P$59),0))</f>
        <v>987.5135342012976</v>
      </c>
      <c r="Q72" s="42">
        <f>(SUMIFS('04_Base_Despesas'!$D$4:$D$219, '04_Base_Despesas'!$A$4:$A$219, Q$59, '04_Base_Despesas'!$B$4:$B$219, "administrativo"))*(IFERROR(SUMIFS('03_Base_Vendas'!$I$4:$I$387, '03_Base_Vendas'!$A$4:$A$387, Q$59, '03_Base_Vendas'!$C$4:$C$387, "perfumes")/SUMIFS('03_Base_Vendas'!$I$4:$I$387, '03_Base_Vendas'!$A$4:$A$387, Q$59),0))</f>
        <v>1627.5796840135677</v>
      </c>
      <c r="R72" s="42">
        <f>(SUMIFS('04_Base_Despesas'!$D$4:$D$219, '04_Base_Despesas'!$A$4:$A$219, R$59, '04_Base_Despesas'!$B$4:$B$219, "administrativo"))*(IFERROR(SUMIFS('03_Base_Vendas'!$I$4:$I$387, '03_Base_Vendas'!$A$4:$A$387, R$59, '03_Base_Vendas'!$C$4:$C$387, "perfumes")/SUMIFS('03_Base_Vendas'!$I$4:$I$387, '03_Base_Vendas'!$A$4:$A$387, R$59),0))</f>
        <v>996.92529960422314</v>
      </c>
      <c r="S72" s="42">
        <f>(SUMIFS('04_Base_Despesas'!$D$4:$D$219, '04_Base_Despesas'!$A$4:$A$219, S$59, '04_Base_Despesas'!$B$4:$B$219, "administrativo"))*(IFERROR(SUMIFS('03_Base_Vendas'!$I$4:$I$387, '03_Base_Vendas'!$A$4:$A$387, S$59, '03_Base_Vendas'!$C$4:$C$387, "perfumes")/SUMIFS('03_Base_Vendas'!$I$4:$I$387, '03_Base_Vendas'!$A$4:$A$387, S$59),0))</f>
        <v>1002.0999731733949</v>
      </c>
      <c r="T72" s="42">
        <f>(SUMIFS('04_Base_Despesas'!$D$4:$D$219, '04_Base_Despesas'!$A$4:$A$219, T$59, '04_Base_Despesas'!$B$4:$B$219, "administrativo"))*(IFERROR(SUMIFS('03_Base_Vendas'!$I$4:$I$387, '03_Base_Vendas'!$A$4:$A$387, T$59, '03_Base_Vendas'!$C$4:$C$387, "perfumes")/SUMIFS('03_Base_Vendas'!$I$4:$I$387, '03_Base_Vendas'!$A$4:$A$387, T$59),0))</f>
        <v>1854.6337679032347</v>
      </c>
      <c r="U72" s="42">
        <f>(SUMIFS('04_Base_Despesas'!$D$4:$D$219, '04_Base_Despesas'!$A$4:$A$219, U$59, '04_Base_Despesas'!$B$4:$B$219, "administrativo"))*(IFERROR(SUMIFS('03_Base_Vendas'!$I$4:$I$387, '03_Base_Vendas'!$A$4:$A$387, U$59, '03_Base_Vendas'!$C$4:$C$387, "perfumes")/SUMIFS('03_Base_Vendas'!$I$4:$I$387, '03_Base_Vendas'!$A$4:$A$387, U$59),0))</f>
        <v>1020.4487882083175</v>
      </c>
      <c r="V72" s="42">
        <f>(SUMIFS('04_Base_Despesas'!$D$4:$D$219, '04_Base_Despesas'!$A$4:$A$219, V$59, '04_Base_Despesas'!$B$4:$B$219, "administrativo"))*(IFERROR(SUMIFS('03_Base_Vendas'!$I$4:$I$387, '03_Base_Vendas'!$A$4:$A$387, V$59, '03_Base_Vendas'!$C$4:$C$387, "perfumes")/SUMIFS('03_Base_Vendas'!$I$4:$I$387, '03_Base_Vendas'!$A$4:$A$387, V$59),0))</f>
        <v>918.87066704989218</v>
      </c>
      <c r="W72" s="42">
        <f>(SUMIFS('04_Base_Despesas'!$D$4:$D$219, '04_Base_Despesas'!$A$4:$A$219, W$59, '04_Base_Despesas'!$B$4:$B$219, "administrativo"))*(IFERROR(SUMIFS('03_Base_Vendas'!$I$4:$I$387, '03_Base_Vendas'!$A$4:$A$387, W$59, '03_Base_Vendas'!$C$4:$C$387, "perfumes")/SUMIFS('03_Base_Vendas'!$I$4:$I$387, '03_Base_Vendas'!$A$4:$A$387, W$59),0))</f>
        <v>1539.7186940508147</v>
      </c>
      <c r="X72" s="42">
        <f>(SUMIFS('04_Base_Despesas'!$D$4:$D$219, '04_Base_Despesas'!$A$4:$A$219, X$59, '04_Base_Despesas'!$B$4:$B$219, "administrativo"))*(IFERROR(SUMIFS('03_Base_Vendas'!$I$4:$I$387, '03_Base_Vendas'!$A$4:$A$387, X$59, '03_Base_Vendas'!$C$4:$C$387, "perfumes")/SUMIFS('03_Base_Vendas'!$I$4:$I$387, '03_Base_Vendas'!$A$4:$A$387, X$59),0))</f>
        <v>955.16732478472522</v>
      </c>
      <c r="Y72" s="42">
        <f>(SUMIFS('04_Base_Despesas'!$D$4:$D$219, '04_Base_Despesas'!$A$4:$A$219, Y$59, '04_Base_Despesas'!$B$4:$B$219, "administrativo"))*(IFERROR(SUMIFS('03_Base_Vendas'!$I$4:$I$387, '03_Base_Vendas'!$A$4:$A$387, Y$59, '03_Base_Vendas'!$C$4:$C$387, "perfumes")/SUMIFS('03_Base_Vendas'!$I$4:$I$387, '03_Base_Vendas'!$A$4:$A$387, Y$59),0))</f>
        <v>1074.4773574313804</v>
      </c>
      <c r="Z72" s="43">
        <f t="shared" si="26"/>
        <v>29045.284935141539</v>
      </c>
    </row>
    <row r="73" spans="1:26" x14ac:dyDescent="0.25">
      <c r="A73" s="41" t="s">
        <v>344</v>
      </c>
      <c r="B73" s="42">
        <f>(SUMIFS('04_Base_Despesas'!$D$4:$D$219, '04_Base_Despesas'!$A$4:$A$219, B$59, '04_Base_Despesas'!$B$4:$B$219, "outros"))*(IFERROR(SUMIFS('03_Base_Vendas'!$I$4:$I$387, '03_Base_Vendas'!$A$4:$A$387, B$59, '03_Base_Vendas'!$C$4:$C$387, "perfumes")/SUMIFS('03_Base_Vendas'!$I$4:$I$387, '03_Base_Vendas'!$A$4:$A$387, B$59),0))</f>
        <v>287.58836225917298</v>
      </c>
      <c r="C73" s="42">
        <f>(SUMIFS('04_Base_Despesas'!$D$4:$D$219, '04_Base_Despesas'!$A$4:$A$219, C$59, '04_Base_Despesas'!$B$4:$B$219, "outros"))*(IFERROR(SUMIFS('03_Base_Vendas'!$I$4:$I$387, '03_Base_Vendas'!$A$4:$A$387, C$59, '03_Base_Vendas'!$C$4:$C$387, "perfumes")/SUMIFS('03_Base_Vendas'!$I$4:$I$387, '03_Base_Vendas'!$A$4:$A$387, C$59),0))</f>
        <v>369.76399891990718</v>
      </c>
      <c r="D73" s="42">
        <f>(SUMIFS('04_Base_Despesas'!$D$4:$D$219, '04_Base_Despesas'!$A$4:$A$219, D$59, '04_Base_Despesas'!$B$4:$B$219, "outros"))*(IFERROR(SUMIFS('03_Base_Vendas'!$I$4:$I$387, '03_Base_Vendas'!$A$4:$A$387, D$59, '03_Base_Vendas'!$C$4:$C$387, "perfumes")/SUMIFS('03_Base_Vendas'!$I$4:$I$387, '03_Base_Vendas'!$A$4:$A$387, D$59),0))</f>
        <v>341.85330051123651</v>
      </c>
      <c r="E73" s="42">
        <f>(SUMIFS('04_Base_Despesas'!$D$4:$D$219, '04_Base_Despesas'!$A$4:$A$219, E$59, '04_Base_Despesas'!$B$4:$B$219, "outros"))*(IFERROR(SUMIFS('03_Base_Vendas'!$I$4:$I$387, '03_Base_Vendas'!$A$4:$A$387, E$59, '03_Base_Vendas'!$C$4:$C$387, "perfumes")/SUMIFS('03_Base_Vendas'!$I$4:$I$387, '03_Base_Vendas'!$A$4:$A$387, E$59),0))</f>
        <v>271.09172733323527</v>
      </c>
      <c r="F73" s="42">
        <f>(SUMIFS('04_Base_Despesas'!$D$4:$D$219, '04_Base_Despesas'!$A$4:$A$219, F$59, '04_Base_Despesas'!$B$4:$B$219, "outros"))*(IFERROR(SUMIFS('03_Base_Vendas'!$I$4:$I$387, '03_Base_Vendas'!$A$4:$A$387, F$59, '03_Base_Vendas'!$C$4:$C$387, "perfumes")/SUMIFS('03_Base_Vendas'!$I$4:$I$387, '03_Base_Vendas'!$A$4:$A$387, F$59),0))</f>
        <v>257.23094796616834</v>
      </c>
      <c r="G73" s="42">
        <f>(SUMIFS('04_Base_Despesas'!$D$4:$D$219, '04_Base_Despesas'!$A$4:$A$219, G$59, '04_Base_Despesas'!$B$4:$B$219, "outros"))*(IFERROR(SUMIFS('03_Base_Vendas'!$I$4:$I$387, '03_Base_Vendas'!$A$4:$A$387, G$59, '03_Base_Vendas'!$C$4:$C$387, "perfumes")/SUMIFS('03_Base_Vendas'!$I$4:$I$387, '03_Base_Vendas'!$A$4:$A$387, G$59),0))</f>
        <v>337.28068231929456</v>
      </c>
      <c r="H73" s="42">
        <f>(SUMIFS('04_Base_Despesas'!$D$4:$D$219, '04_Base_Despesas'!$A$4:$A$219, H$59, '04_Base_Despesas'!$B$4:$B$219, "outros"))*(IFERROR(SUMIFS('03_Base_Vendas'!$I$4:$I$387, '03_Base_Vendas'!$A$4:$A$387, H$59, '03_Base_Vendas'!$C$4:$C$387, "perfumes")/SUMIFS('03_Base_Vendas'!$I$4:$I$387, '03_Base_Vendas'!$A$4:$A$387, H$59),0))</f>
        <v>380.29588614329703</v>
      </c>
      <c r="I73" s="42">
        <f>(SUMIFS('04_Base_Despesas'!$D$4:$D$219, '04_Base_Despesas'!$A$4:$A$219, I$59, '04_Base_Despesas'!$B$4:$B$219, "outros"))*(IFERROR(SUMIFS('03_Base_Vendas'!$I$4:$I$387, '03_Base_Vendas'!$A$4:$A$387, I$59, '03_Base_Vendas'!$C$4:$C$387, "perfumes")/SUMIFS('03_Base_Vendas'!$I$4:$I$387, '03_Base_Vendas'!$A$4:$A$387, I$59),0))</f>
        <v>275.11554148440837</v>
      </c>
      <c r="J73" s="42">
        <f>(SUMIFS('04_Base_Despesas'!$D$4:$D$219, '04_Base_Despesas'!$A$4:$A$219, J$59, '04_Base_Despesas'!$B$4:$B$219, "outros"))*(IFERROR(SUMIFS('03_Base_Vendas'!$I$4:$I$387, '03_Base_Vendas'!$A$4:$A$387, J$59, '03_Base_Vendas'!$C$4:$C$387, "perfumes")/SUMIFS('03_Base_Vendas'!$I$4:$I$387, '03_Base_Vendas'!$A$4:$A$387, J$59),0))</f>
        <v>384.9021595846491</v>
      </c>
      <c r="K73" s="42">
        <f>(SUMIFS('04_Base_Despesas'!$D$4:$D$219, '04_Base_Despesas'!$A$4:$A$219, K$59, '04_Base_Despesas'!$B$4:$B$219, "outros"))*(IFERROR(SUMIFS('03_Base_Vendas'!$I$4:$I$387, '03_Base_Vendas'!$A$4:$A$387, K$59, '03_Base_Vendas'!$C$4:$C$387, "perfumes")/SUMIFS('03_Base_Vendas'!$I$4:$I$387, '03_Base_Vendas'!$A$4:$A$387, K$59),0))</f>
        <v>417.79283709700451</v>
      </c>
      <c r="L73" s="42">
        <f>(SUMIFS('04_Base_Despesas'!$D$4:$D$219, '04_Base_Despesas'!$A$4:$A$219, L$59, '04_Base_Despesas'!$B$4:$B$219, "outros"))*(IFERROR(SUMIFS('03_Base_Vendas'!$I$4:$I$387, '03_Base_Vendas'!$A$4:$A$387, L$59, '03_Base_Vendas'!$C$4:$C$387, "perfumes")/SUMIFS('03_Base_Vendas'!$I$4:$I$387, '03_Base_Vendas'!$A$4:$A$387, L$59),0))</f>
        <v>285.66052045220027</v>
      </c>
      <c r="M73" s="42">
        <f>(SUMIFS('04_Base_Despesas'!$D$4:$D$219, '04_Base_Despesas'!$A$4:$A$219, M$59, '04_Base_Despesas'!$B$4:$B$219, "outros"))*(IFERROR(SUMIFS('03_Base_Vendas'!$I$4:$I$387, '03_Base_Vendas'!$A$4:$A$387, M$59, '03_Base_Vendas'!$C$4:$C$387, "perfumes")/SUMIFS('03_Base_Vendas'!$I$4:$I$387, '03_Base_Vendas'!$A$4:$A$387, M$59),0))</f>
        <v>292.5526581681687</v>
      </c>
      <c r="N73" s="42">
        <f>(SUMIFS('04_Base_Despesas'!$D$4:$D$219, '04_Base_Despesas'!$A$4:$A$219, N$59, '04_Base_Despesas'!$B$4:$B$219, "outros"))*(IFERROR(SUMIFS('03_Base_Vendas'!$I$4:$I$387, '03_Base_Vendas'!$A$4:$A$387, N$59, '03_Base_Vendas'!$C$4:$C$387, "perfumes")/SUMIFS('03_Base_Vendas'!$I$4:$I$387, '03_Base_Vendas'!$A$4:$A$387, N$59),0))</f>
        <v>237.71640917955997</v>
      </c>
      <c r="O73" s="42">
        <f>(SUMIFS('04_Base_Despesas'!$D$4:$D$219, '04_Base_Despesas'!$A$4:$A$219, O$59, '04_Base_Despesas'!$B$4:$B$219, "outros"))*(IFERROR(SUMIFS('03_Base_Vendas'!$I$4:$I$387, '03_Base_Vendas'!$A$4:$A$387, O$59, '03_Base_Vendas'!$C$4:$C$387, "perfumes")/SUMIFS('03_Base_Vendas'!$I$4:$I$387, '03_Base_Vendas'!$A$4:$A$387, O$59),0))</f>
        <v>281.19765537158383</v>
      </c>
      <c r="P73" s="42">
        <f>(SUMIFS('04_Base_Despesas'!$D$4:$D$219, '04_Base_Despesas'!$A$4:$A$219, P$59, '04_Base_Despesas'!$B$4:$B$219, "outros"))*(IFERROR(SUMIFS('03_Base_Vendas'!$I$4:$I$387, '03_Base_Vendas'!$A$4:$A$387, P$59, '03_Base_Vendas'!$C$4:$C$387, "perfumes")/SUMIFS('03_Base_Vendas'!$I$4:$I$387, '03_Base_Vendas'!$A$4:$A$387, P$59),0))</f>
        <v>364.27794255031148</v>
      </c>
      <c r="Q73" s="42">
        <f>(SUMIFS('04_Base_Despesas'!$D$4:$D$219, '04_Base_Despesas'!$A$4:$A$219, Q$59, '04_Base_Despesas'!$B$4:$B$219, "outros"))*(IFERROR(SUMIFS('03_Base_Vendas'!$I$4:$I$387, '03_Base_Vendas'!$A$4:$A$387, Q$59, '03_Base_Vendas'!$C$4:$C$387, "perfumes")/SUMIFS('03_Base_Vendas'!$I$4:$I$387, '03_Base_Vendas'!$A$4:$A$387, Q$59),0))</f>
        <v>320.31759338009419</v>
      </c>
      <c r="R73" s="42">
        <f>(SUMIFS('04_Base_Despesas'!$D$4:$D$219, '04_Base_Despesas'!$A$4:$A$219, R$59, '04_Base_Despesas'!$B$4:$B$219, "outros"))*(IFERROR(SUMIFS('03_Base_Vendas'!$I$4:$I$387, '03_Base_Vendas'!$A$4:$A$387, R$59, '03_Base_Vendas'!$C$4:$C$387, "perfumes")/SUMIFS('03_Base_Vendas'!$I$4:$I$387, '03_Base_Vendas'!$A$4:$A$387, R$59),0))</f>
        <v>344.3872284465935</v>
      </c>
      <c r="S73" s="42">
        <f>(SUMIFS('04_Base_Despesas'!$D$4:$D$219, '04_Base_Despesas'!$A$4:$A$219, S$59, '04_Base_Despesas'!$B$4:$B$219, "outros"))*(IFERROR(SUMIFS('03_Base_Vendas'!$I$4:$I$387, '03_Base_Vendas'!$A$4:$A$387, S$59, '03_Base_Vendas'!$C$4:$C$387, "perfumes")/SUMIFS('03_Base_Vendas'!$I$4:$I$387, '03_Base_Vendas'!$A$4:$A$387, S$59),0))</f>
        <v>400.82555897202315</v>
      </c>
      <c r="T73" s="42">
        <f>(SUMIFS('04_Base_Despesas'!$D$4:$D$219, '04_Base_Despesas'!$A$4:$A$219, T$59, '04_Base_Despesas'!$B$4:$B$219, "outros"))*(IFERROR(SUMIFS('03_Base_Vendas'!$I$4:$I$387, '03_Base_Vendas'!$A$4:$A$387, T$59, '03_Base_Vendas'!$C$4:$C$387, "perfumes")/SUMIFS('03_Base_Vendas'!$I$4:$I$387, '03_Base_Vendas'!$A$4:$A$387, T$59),0))</f>
        <v>364.52088389794534</v>
      </c>
      <c r="U73" s="42">
        <f>(SUMIFS('04_Base_Despesas'!$D$4:$D$219, '04_Base_Despesas'!$A$4:$A$219, U$59, '04_Base_Despesas'!$B$4:$B$219, "outros"))*(IFERROR(SUMIFS('03_Base_Vendas'!$I$4:$I$387, '03_Base_Vendas'!$A$4:$A$387, U$59, '03_Base_Vendas'!$C$4:$C$387, "perfumes")/SUMIFS('03_Base_Vendas'!$I$4:$I$387, '03_Base_Vendas'!$A$4:$A$387, U$59),0))</f>
        <v>431.93964486796949</v>
      </c>
      <c r="V73" s="42">
        <f>(SUMIFS('04_Base_Despesas'!$D$4:$D$219, '04_Base_Despesas'!$A$4:$A$219, V$59, '04_Base_Despesas'!$B$4:$B$219, "outros"))*(IFERROR(SUMIFS('03_Base_Vendas'!$I$4:$I$387, '03_Base_Vendas'!$A$4:$A$387, V$59, '03_Base_Vendas'!$C$4:$C$387, "perfumes")/SUMIFS('03_Base_Vendas'!$I$4:$I$387, '03_Base_Vendas'!$A$4:$A$387, V$59),0))</f>
        <v>329.52172313476416</v>
      </c>
      <c r="W73" s="42">
        <f>(SUMIFS('04_Base_Despesas'!$D$4:$D$219, '04_Base_Despesas'!$A$4:$A$219, W$59, '04_Base_Despesas'!$B$4:$B$219, "outros"))*(IFERROR(SUMIFS('03_Base_Vendas'!$I$4:$I$387, '03_Base_Vendas'!$A$4:$A$387, W$59, '03_Base_Vendas'!$C$4:$C$387, "perfumes")/SUMIFS('03_Base_Vendas'!$I$4:$I$387, '03_Base_Vendas'!$A$4:$A$387, W$59),0))</f>
        <v>293.20063891104712</v>
      </c>
      <c r="X73" s="42">
        <f>(SUMIFS('04_Base_Despesas'!$D$4:$D$219, '04_Base_Despesas'!$A$4:$A$219, X$59, '04_Base_Despesas'!$B$4:$B$219, "outros"))*(IFERROR(SUMIFS('03_Base_Vendas'!$I$4:$I$387, '03_Base_Vendas'!$A$4:$A$387, X$59, '03_Base_Vendas'!$C$4:$C$387, "perfumes")/SUMIFS('03_Base_Vendas'!$I$4:$I$387, '03_Base_Vendas'!$A$4:$A$387, X$59),0))</f>
        <v>340.01282293826819</v>
      </c>
      <c r="Y73" s="42">
        <f>(SUMIFS('04_Base_Despesas'!$D$4:$D$219, '04_Base_Despesas'!$A$4:$A$219, Y$59, '04_Base_Despesas'!$B$4:$B$219, "outros"))*(IFERROR(SUMIFS('03_Base_Vendas'!$I$4:$I$387, '03_Base_Vendas'!$A$4:$A$387, Y$59, '03_Base_Vendas'!$C$4:$C$387, "perfumes")/SUMIFS('03_Base_Vendas'!$I$4:$I$387, '03_Base_Vendas'!$A$4:$A$387, Y$59),0))</f>
        <v>278.70653278941091</v>
      </c>
      <c r="Z73" s="43">
        <f t="shared" si="26"/>
        <v>7887.7532566783138</v>
      </c>
    </row>
    <row r="74" spans="1:26" x14ac:dyDescent="0.25">
      <c r="A74" s="44" t="s">
        <v>345</v>
      </c>
      <c r="B74" s="45">
        <f t="shared" ref="B74:Y74" si="27">B67+B68+B69+B70+B71+B72+B73</f>
        <v>35832.075320591655</v>
      </c>
      <c r="C74" s="45">
        <f t="shared" si="27"/>
        <v>39106.489147630338</v>
      </c>
      <c r="D74" s="45">
        <f t="shared" si="27"/>
        <v>35733.605591850974</v>
      </c>
      <c r="E74" s="45">
        <f t="shared" si="27"/>
        <v>37023.369852135831</v>
      </c>
      <c r="F74" s="45">
        <f t="shared" si="27"/>
        <v>32686.921554669654</v>
      </c>
      <c r="G74" s="45">
        <f t="shared" si="27"/>
        <v>42534.339867117058</v>
      </c>
      <c r="H74" s="45">
        <f t="shared" si="27"/>
        <v>36282.381322361129</v>
      </c>
      <c r="I74" s="45">
        <f t="shared" si="27"/>
        <v>29966.977908851011</v>
      </c>
      <c r="J74" s="45">
        <f t="shared" si="27"/>
        <v>35541.040128354049</v>
      </c>
      <c r="K74" s="45">
        <f t="shared" si="27"/>
        <v>36567.935778819468</v>
      </c>
      <c r="L74" s="45">
        <f t="shared" si="27"/>
        <v>34504.332771118345</v>
      </c>
      <c r="M74" s="45">
        <f t="shared" si="27"/>
        <v>37875.438405715635</v>
      </c>
      <c r="N74" s="45">
        <f t="shared" si="27"/>
        <v>39208.419244266188</v>
      </c>
      <c r="O74" s="45">
        <f t="shared" si="27"/>
        <v>41553.953974698867</v>
      </c>
      <c r="P74" s="45">
        <f t="shared" si="27"/>
        <v>39067.042676808218</v>
      </c>
      <c r="Q74" s="45">
        <f t="shared" si="27"/>
        <v>34508.746739576345</v>
      </c>
      <c r="R74" s="45">
        <f t="shared" si="27"/>
        <v>41111.816574879471</v>
      </c>
      <c r="S74" s="45">
        <f t="shared" si="27"/>
        <v>38048.449159628966</v>
      </c>
      <c r="T74" s="45">
        <f t="shared" si="27"/>
        <v>42304.200387598867</v>
      </c>
      <c r="U74" s="45">
        <f t="shared" si="27"/>
        <v>38350.8084112863</v>
      </c>
      <c r="V74" s="45">
        <f t="shared" si="27"/>
        <v>33716.220624093738</v>
      </c>
      <c r="W74" s="45">
        <f t="shared" si="27"/>
        <v>33517.100622149097</v>
      </c>
      <c r="X74" s="45">
        <f t="shared" si="27"/>
        <v>37516.615164586437</v>
      </c>
      <c r="Y74" s="45">
        <f t="shared" si="27"/>
        <v>37474.306112206192</v>
      </c>
      <c r="Z74" s="43">
        <f t="shared" si="26"/>
        <v>890032.58734099381</v>
      </c>
    </row>
    <row r="75" spans="1:26" x14ac:dyDescent="0.25">
      <c r="A75" s="44" t="s">
        <v>115</v>
      </c>
      <c r="B75" s="45">
        <f t="shared" ref="B75:Y75" si="28">B65-B74</f>
        <v>-14908.565320591661</v>
      </c>
      <c r="C75" s="45">
        <f t="shared" si="28"/>
        <v>-19257.329147630342</v>
      </c>
      <c r="D75" s="45">
        <f t="shared" si="28"/>
        <v>-12103.535591850967</v>
      </c>
      <c r="E75" s="45">
        <f t="shared" si="28"/>
        <v>-15368.589852135832</v>
      </c>
      <c r="F75" s="45">
        <f t="shared" si="28"/>
        <v>-7367.0415546696568</v>
      </c>
      <c r="G75" s="45">
        <f t="shared" si="28"/>
        <v>-13916.27986711706</v>
      </c>
      <c r="H75" s="45">
        <f t="shared" si="28"/>
        <v>-16196.46132236113</v>
      </c>
      <c r="I75" s="45">
        <f t="shared" si="28"/>
        <v>-15363.137908851008</v>
      </c>
      <c r="J75" s="45">
        <f t="shared" si="28"/>
        <v>-15936.800128354051</v>
      </c>
      <c r="K75" s="45">
        <f t="shared" si="28"/>
        <v>-16589.305778819464</v>
      </c>
      <c r="L75" s="45">
        <f t="shared" si="28"/>
        <v>-7147.3427711183394</v>
      </c>
      <c r="M75" s="45">
        <f t="shared" si="28"/>
        <v>-9494.0884057156291</v>
      </c>
      <c r="N75" s="45">
        <f t="shared" si="28"/>
        <v>-11564.529244266174</v>
      </c>
      <c r="O75" s="45">
        <f t="shared" si="28"/>
        <v>-16356.663974698866</v>
      </c>
      <c r="P75" s="45">
        <f t="shared" si="28"/>
        <v>-12955.142676808216</v>
      </c>
      <c r="Q75" s="45">
        <f t="shared" si="28"/>
        <v>-13077.136739576345</v>
      </c>
      <c r="R75" s="45">
        <f t="shared" si="28"/>
        <v>-10386.056574879476</v>
      </c>
      <c r="S75" s="45">
        <f t="shared" si="28"/>
        <v>-8297.9391596289497</v>
      </c>
      <c r="T75" s="45">
        <f t="shared" si="28"/>
        <v>-16702.490387598875</v>
      </c>
      <c r="U75" s="45">
        <f t="shared" si="28"/>
        <v>-13900.608411286295</v>
      </c>
      <c r="V75" s="45">
        <f t="shared" si="28"/>
        <v>-10955.16062409374</v>
      </c>
      <c r="W75" s="45">
        <f t="shared" si="28"/>
        <v>-11410.580622149108</v>
      </c>
      <c r="X75" s="45">
        <f t="shared" si="28"/>
        <v>1087.2848354135713</v>
      </c>
      <c r="Y75" s="45">
        <f t="shared" si="28"/>
        <v>-3221.3161122061792</v>
      </c>
      <c r="Z75" s="43">
        <f t="shared" si="26"/>
        <v>-291388.81734099385</v>
      </c>
    </row>
    <row r="76" spans="1:26" x14ac:dyDescent="0.25">
      <c r="A76" s="41" t="s">
        <v>346</v>
      </c>
      <c r="B76" s="46">
        <f t="shared" ref="B76:Y76" si="29">IFERROR(B75/B63,0)</f>
        <v>-0.27347754233562138</v>
      </c>
      <c r="C76" s="46">
        <f t="shared" si="29"/>
        <v>-0.36693633967450828</v>
      </c>
      <c r="D76" s="46">
        <f t="shared" si="29"/>
        <v>-0.20130697534229181</v>
      </c>
      <c r="E76" s="46">
        <f t="shared" si="29"/>
        <v>-0.27918743465217144</v>
      </c>
      <c r="F76" s="46">
        <f t="shared" si="29"/>
        <v>-0.11363959890661117</v>
      </c>
      <c r="G76" s="46">
        <f t="shared" si="29"/>
        <v>-0.18738971573671737</v>
      </c>
      <c r="H76" s="46">
        <f t="shared" si="29"/>
        <v>-0.32452550961859583</v>
      </c>
      <c r="I76" s="46">
        <f t="shared" si="29"/>
        <v>-0.37842366292616941</v>
      </c>
      <c r="J76" s="46">
        <f t="shared" si="29"/>
        <v>-0.3222464913950403</v>
      </c>
      <c r="K76" s="46">
        <f t="shared" si="29"/>
        <v>-0.30308361253549759</v>
      </c>
      <c r="L76" s="46">
        <f t="shared" si="29"/>
        <v>-9.8222498141576256E-2</v>
      </c>
      <c r="M76" s="46">
        <f t="shared" si="29"/>
        <v>-0.12645269277150753</v>
      </c>
      <c r="N76" s="46">
        <f t="shared" si="29"/>
        <v>-0.16330703996046822</v>
      </c>
      <c r="O76" s="46">
        <f t="shared" si="29"/>
        <v>-0.25364332265930822</v>
      </c>
      <c r="P76" s="46">
        <f t="shared" si="29"/>
        <v>-0.19196122761977094</v>
      </c>
      <c r="Q76" s="46">
        <f t="shared" si="29"/>
        <v>-0.24851791107223126</v>
      </c>
      <c r="R76" s="46">
        <f t="shared" si="29"/>
        <v>-0.12461079225900135</v>
      </c>
      <c r="S76" s="46">
        <f t="shared" si="29"/>
        <v>-0.11214567908408214</v>
      </c>
      <c r="T76" s="46">
        <f t="shared" si="29"/>
        <v>-0.24399208513614229</v>
      </c>
      <c r="U76" s="46">
        <f t="shared" si="29"/>
        <v>-0.22533125342701346</v>
      </c>
      <c r="V76" s="46">
        <f t="shared" si="29"/>
        <v>-0.1906706028547738</v>
      </c>
      <c r="W76" s="46">
        <f t="shared" si="29"/>
        <v>-0.19708393866889112</v>
      </c>
      <c r="X76" s="46">
        <f t="shared" si="29"/>
        <v>1.1460003948434544E-2</v>
      </c>
      <c r="Y76" s="46">
        <f t="shared" si="29"/>
        <v>-3.8579684887315842E-2</v>
      </c>
      <c r="Z76" s="47">
        <f>IFERROR($Z$75/$Z$63,0)</f>
        <v>-0.18916113485936475</v>
      </c>
    </row>
    <row r="77" spans="1:26" x14ac:dyDescent="0.25">
      <c r="A77" s="41" t="s">
        <v>347</v>
      </c>
      <c r="B77" s="42">
        <f>(SUMIFS('04_Base_Despesas'!$D$4:$D$219, '04_Base_Despesas'!$A$4:$A$219, B$59, '04_Base_Despesas'!$B$4:$B$219, "depreciacao"))*(IFERROR(SUMIFS('03_Base_Vendas'!$I$4:$I$387, '03_Base_Vendas'!$A$4:$A$387, B$59, '03_Base_Vendas'!$C$4:$C$387, "perfumes")/SUMIFS('03_Base_Vendas'!$I$4:$I$387, '03_Base_Vendas'!$A$4:$A$387, B$59),0))</f>
        <v>799.4282767731296</v>
      </c>
      <c r="C77" s="42">
        <f>(SUMIFS('04_Base_Despesas'!$D$4:$D$219, '04_Base_Despesas'!$A$4:$A$219, C$59, '04_Base_Despesas'!$B$4:$B$219, "depreciacao"))*(IFERROR(SUMIFS('03_Base_Vendas'!$I$4:$I$387, '03_Base_Vendas'!$A$4:$A$387, C$59, '03_Base_Vendas'!$C$4:$C$387, "perfumes")/SUMIFS('03_Base_Vendas'!$I$4:$I$387, '03_Base_Vendas'!$A$4:$A$387, C$59),0))</f>
        <v>925.80923170677931</v>
      </c>
      <c r="D77" s="42">
        <f>(SUMIFS('04_Base_Despesas'!$D$4:$D$219, '04_Base_Despesas'!$A$4:$A$219, D$59, '04_Base_Despesas'!$B$4:$B$219, "depreciacao"))*(IFERROR(SUMIFS('03_Base_Vendas'!$I$4:$I$387, '03_Base_Vendas'!$A$4:$A$387, D$59, '03_Base_Vendas'!$C$4:$C$387, "perfumes")/SUMIFS('03_Base_Vendas'!$I$4:$I$387, '03_Base_Vendas'!$A$4:$A$387, D$59),0))</f>
        <v>869.64054831895464</v>
      </c>
      <c r="E77" s="42">
        <f>(SUMIFS('04_Base_Despesas'!$D$4:$D$219, '04_Base_Despesas'!$A$4:$A$219, E$59, '04_Base_Despesas'!$B$4:$B$219, "depreciacao"))*(IFERROR(SUMIFS('03_Base_Vendas'!$I$4:$I$387, '03_Base_Vendas'!$A$4:$A$387, E$59, '03_Base_Vendas'!$C$4:$C$387, "perfumes")/SUMIFS('03_Base_Vendas'!$I$4:$I$387, '03_Base_Vendas'!$A$4:$A$387, E$59),0))</f>
        <v>866.16671151818196</v>
      </c>
      <c r="F77" s="42">
        <f>(SUMIFS('04_Base_Despesas'!$D$4:$D$219, '04_Base_Despesas'!$A$4:$A$219, F$59, '04_Base_Despesas'!$B$4:$B$219, "depreciacao"))*(IFERROR(SUMIFS('03_Base_Vendas'!$I$4:$I$387, '03_Base_Vendas'!$A$4:$A$387, F$59, '03_Base_Vendas'!$C$4:$C$387, "perfumes")/SUMIFS('03_Base_Vendas'!$I$4:$I$387, '03_Base_Vendas'!$A$4:$A$387, F$59),0))</f>
        <v>731.40866620494569</v>
      </c>
      <c r="G77" s="42">
        <f>(SUMIFS('04_Base_Despesas'!$D$4:$D$219, '04_Base_Despesas'!$A$4:$A$219, G$59, '04_Base_Despesas'!$B$4:$B$219, "depreciacao"))*(IFERROR(SUMIFS('03_Base_Vendas'!$I$4:$I$387, '03_Base_Vendas'!$A$4:$A$387, G$59, '03_Base_Vendas'!$C$4:$C$387, "perfumes")/SUMIFS('03_Base_Vendas'!$I$4:$I$387, '03_Base_Vendas'!$A$4:$A$387, G$59),0))</f>
        <v>962.62957408425405</v>
      </c>
      <c r="H77" s="42">
        <f>(SUMIFS('04_Base_Despesas'!$D$4:$D$219, '04_Base_Despesas'!$A$4:$A$219, H$59, '04_Base_Despesas'!$B$4:$B$219, "depreciacao"))*(IFERROR(SUMIFS('03_Base_Vendas'!$I$4:$I$387, '03_Base_Vendas'!$A$4:$A$387, H$59, '03_Base_Vendas'!$C$4:$C$387, "perfumes")/SUMIFS('03_Base_Vendas'!$I$4:$I$387, '03_Base_Vendas'!$A$4:$A$387, H$59),0))</f>
        <v>849.76755764645327</v>
      </c>
      <c r="I77" s="42">
        <f>(SUMIFS('04_Base_Despesas'!$D$4:$D$219, '04_Base_Despesas'!$A$4:$A$219, I$59, '04_Base_Despesas'!$B$4:$B$219, "depreciacao"))*(IFERROR(SUMIFS('03_Base_Vendas'!$I$4:$I$387, '03_Base_Vendas'!$A$4:$A$387, I$59, '03_Base_Vendas'!$C$4:$C$387, "perfumes")/SUMIFS('03_Base_Vendas'!$I$4:$I$387, '03_Base_Vendas'!$A$4:$A$387, I$59),0))</f>
        <v>692.6610948211835</v>
      </c>
      <c r="J77" s="42">
        <f>(SUMIFS('04_Base_Despesas'!$D$4:$D$219, '04_Base_Despesas'!$A$4:$A$219, J$59, '04_Base_Despesas'!$B$4:$B$219, "depreciacao"))*(IFERROR(SUMIFS('03_Base_Vendas'!$I$4:$I$387, '03_Base_Vendas'!$A$4:$A$387, J$59, '03_Base_Vendas'!$C$4:$C$387, "perfumes")/SUMIFS('03_Base_Vendas'!$I$4:$I$387, '03_Base_Vendas'!$A$4:$A$387, J$59),0))</f>
        <v>806.22765120882809</v>
      </c>
      <c r="K77" s="42">
        <f>(SUMIFS('04_Base_Despesas'!$D$4:$D$219, '04_Base_Despesas'!$A$4:$A$219, K$59, '04_Base_Despesas'!$B$4:$B$219, "depreciacao"))*(IFERROR(SUMIFS('03_Base_Vendas'!$I$4:$I$387, '03_Base_Vendas'!$A$4:$A$387, K$59, '03_Base_Vendas'!$C$4:$C$387, "perfumes")/SUMIFS('03_Base_Vendas'!$I$4:$I$387, '03_Base_Vendas'!$A$4:$A$387, K$59),0))</f>
        <v>811.92901516135328</v>
      </c>
      <c r="L77" s="42">
        <f>(SUMIFS('04_Base_Despesas'!$D$4:$D$219, '04_Base_Despesas'!$A$4:$A$219, L$59, '04_Base_Despesas'!$B$4:$B$219, "depreciacao"))*(IFERROR(SUMIFS('03_Base_Vendas'!$I$4:$I$387, '03_Base_Vendas'!$A$4:$A$387, L$59, '03_Base_Vendas'!$C$4:$C$387, "perfumes")/SUMIFS('03_Base_Vendas'!$I$4:$I$387, '03_Base_Vendas'!$A$4:$A$387, L$59),0))</f>
        <v>788.37501724247704</v>
      </c>
      <c r="M77" s="42">
        <f>(SUMIFS('04_Base_Despesas'!$D$4:$D$219, '04_Base_Despesas'!$A$4:$A$219, M$59, '04_Base_Despesas'!$B$4:$B$219, "depreciacao"))*(IFERROR(SUMIFS('03_Base_Vendas'!$I$4:$I$387, '03_Base_Vendas'!$A$4:$A$387, M$59, '03_Base_Vendas'!$C$4:$C$387, "perfumes")/SUMIFS('03_Base_Vendas'!$I$4:$I$387, '03_Base_Vendas'!$A$4:$A$387, M$59),0))</f>
        <v>838.99188921039615</v>
      </c>
      <c r="N77" s="42">
        <f>(SUMIFS('04_Base_Despesas'!$D$4:$D$219, '04_Base_Despesas'!$A$4:$A$219, N$59, '04_Base_Despesas'!$B$4:$B$219, "depreciacao"))*(IFERROR(SUMIFS('03_Base_Vendas'!$I$4:$I$387, '03_Base_Vendas'!$A$4:$A$387, N$59, '03_Base_Vendas'!$C$4:$C$387, "perfumes")/SUMIFS('03_Base_Vendas'!$I$4:$I$387, '03_Base_Vendas'!$A$4:$A$387, N$59),0))</f>
        <v>886.49032138019436</v>
      </c>
      <c r="O77" s="42">
        <f>(SUMIFS('04_Base_Despesas'!$D$4:$D$219, '04_Base_Despesas'!$A$4:$A$219, O$59, '04_Base_Despesas'!$B$4:$B$219, "depreciacao"))*(IFERROR(SUMIFS('03_Base_Vendas'!$I$4:$I$387, '03_Base_Vendas'!$A$4:$A$387, O$59, '03_Base_Vendas'!$C$4:$C$387, "perfumes")/SUMIFS('03_Base_Vendas'!$I$4:$I$387, '03_Base_Vendas'!$A$4:$A$387, O$59),0))</f>
        <v>977.5224248925266</v>
      </c>
      <c r="P77" s="42">
        <f>(SUMIFS('04_Base_Despesas'!$D$4:$D$219, '04_Base_Despesas'!$A$4:$A$219, P$59, '04_Base_Despesas'!$B$4:$B$219, "depreciacao"))*(IFERROR(SUMIFS('03_Base_Vendas'!$I$4:$I$387, '03_Base_Vendas'!$A$4:$A$387, P$59, '03_Base_Vendas'!$C$4:$C$387, "perfumes")/SUMIFS('03_Base_Vendas'!$I$4:$I$387, '03_Base_Vendas'!$A$4:$A$387, P$59),0))</f>
        <v>869.01191009714194</v>
      </c>
      <c r="Q77" s="42">
        <f>(SUMIFS('04_Base_Despesas'!$D$4:$D$219, '04_Base_Despesas'!$A$4:$A$219, Q$59, '04_Base_Despesas'!$B$4:$B$219, "depreciacao"))*(IFERROR(SUMIFS('03_Base_Vendas'!$I$4:$I$387, '03_Base_Vendas'!$A$4:$A$387, Q$59, '03_Base_Vendas'!$C$4:$C$387, "perfumes")/SUMIFS('03_Base_Vendas'!$I$4:$I$387, '03_Base_Vendas'!$A$4:$A$387, Q$59),0))</f>
        <v>798.85132228014515</v>
      </c>
      <c r="R77" s="42">
        <f>(SUMIFS('04_Base_Despesas'!$D$4:$D$219, '04_Base_Despesas'!$A$4:$A$219, R$59, '04_Base_Despesas'!$B$4:$B$219, "depreciacao"))*(IFERROR(SUMIFS('03_Base_Vendas'!$I$4:$I$387, '03_Base_Vendas'!$A$4:$A$387, R$59, '03_Base_Vendas'!$C$4:$C$387, "perfumes")/SUMIFS('03_Base_Vendas'!$I$4:$I$387, '03_Base_Vendas'!$A$4:$A$387, R$59),0))</f>
        <v>877.29378512565847</v>
      </c>
      <c r="S77" s="42">
        <f>(SUMIFS('04_Base_Despesas'!$D$4:$D$219, '04_Base_Despesas'!$A$4:$A$219, S$59, '04_Base_Despesas'!$B$4:$B$219, "depreciacao"))*(IFERROR(SUMIFS('03_Base_Vendas'!$I$4:$I$387, '03_Base_Vendas'!$A$4:$A$387, S$59, '03_Base_Vendas'!$C$4:$C$387, "perfumes")/SUMIFS('03_Base_Vendas'!$I$4:$I$387, '03_Base_Vendas'!$A$4:$A$387, S$59),0))</f>
        <v>881.85150379860283</v>
      </c>
      <c r="T77" s="42">
        <f>(SUMIFS('04_Base_Despesas'!$D$4:$D$219, '04_Base_Despesas'!$A$4:$A$219, T$59, '04_Base_Despesas'!$B$4:$B$219, "depreciacao"))*(IFERROR(SUMIFS('03_Base_Vendas'!$I$4:$I$387, '03_Base_Vendas'!$A$4:$A$387, T$59, '03_Base_Vendas'!$C$4:$C$387, "perfumes")/SUMIFS('03_Base_Vendas'!$I$4:$I$387, '03_Base_Vendas'!$A$4:$A$387, T$59),0))</f>
        <v>979.76316059117153</v>
      </c>
      <c r="U77" s="42">
        <f>(SUMIFS('04_Base_Despesas'!$D$4:$D$219, '04_Base_Despesas'!$A$4:$A$219, U$59, '04_Base_Despesas'!$B$4:$B$219, "depreciacao"))*(IFERROR(SUMIFS('03_Base_Vendas'!$I$4:$I$387, '03_Base_Vendas'!$A$4:$A$387, U$59, '03_Base_Vendas'!$C$4:$C$387, "perfumes")/SUMIFS('03_Base_Vendas'!$I$4:$I$387, '03_Base_Vendas'!$A$4:$A$387, U$59),0))</f>
        <v>897.99493362331941</v>
      </c>
      <c r="V77" s="42">
        <f>(SUMIFS('04_Base_Despesas'!$D$4:$D$219, '04_Base_Despesas'!$A$4:$A$219, V$59, '04_Base_Despesas'!$B$4:$B$219, "depreciacao"))*(IFERROR(SUMIFS('03_Base_Vendas'!$I$4:$I$387, '03_Base_Vendas'!$A$4:$A$387, V$59, '03_Base_Vendas'!$C$4:$C$387, "perfumes")/SUMIFS('03_Base_Vendas'!$I$4:$I$387, '03_Base_Vendas'!$A$4:$A$387, V$59),0))</f>
        <v>808.60618700390512</v>
      </c>
      <c r="W77" s="42">
        <f>(SUMIFS('04_Base_Despesas'!$D$4:$D$219, '04_Base_Despesas'!$A$4:$A$219, W$59, '04_Base_Despesas'!$B$4:$B$219, "depreciacao"))*(IFERROR(SUMIFS('03_Base_Vendas'!$I$4:$I$387, '03_Base_Vendas'!$A$4:$A$387, W$59, '03_Base_Vendas'!$C$4:$C$387, "perfumes")/SUMIFS('03_Base_Vendas'!$I$4:$I$387, '03_Base_Vendas'!$A$4:$A$387, W$59),0))</f>
        <v>756.72325946189574</v>
      </c>
      <c r="X77" s="42">
        <f>(SUMIFS('04_Base_Despesas'!$D$4:$D$219, '04_Base_Despesas'!$A$4:$A$219, X$59, '04_Base_Despesas'!$B$4:$B$219, "depreciacao"))*(IFERROR(SUMIFS('03_Base_Vendas'!$I$4:$I$387, '03_Base_Vendas'!$A$4:$A$387, X$59, '03_Base_Vendas'!$C$4:$C$387, "perfumes")/SUMIFS('03_Base_Vendas'!$I$4:$I$387, '03_Base_Vendas'!$A$4:$A$387, X$59),0))</f>
        <v>840.54724581055814</v>
      </c>
      <c r="Y77" s="42">
        <f>(SUMIFS('04_Base_Despesas'!$D$4:$D$219, '04_Base_Despesas'!$A$4:$A$219, Y$59, '04_Base_Despesas'!$B$4:$B$219, "depreciacao"))*(IFERROR(SUMIFS('03_Base_Vendas'!$I$4:$I$387, '03_Base_Vendas'!$A$4:$A$387, Y$59, '03_Base_Vendas'!$C$4:$C$387, "perfumes")/SUMIFS('03_Base_Vendas'!$I$4:$I$387, '03_Base_Vendas'!$A$4:$A$387, Y$59),0))</f>
        <v>945.54007453961481</v>
      </c>
      <c r="Z77" s="43">
        <f>SUM(B77:Y77)</f>
        <v>20463.231362501669</v>
      </c>
    </row>
    <row r="78" spans="1:26" x14ac:dyDescent="0.25">
      <c r="A78" s="44" t="s">
        <v>117</v>
      </c>
      <c r="B78" s="45">
        <f t="shared" ref="B78:Y78" si="30">B75-B77</f>
        <v>-15707.99359736479</v>
      </c>
      <c r="C78" s="45">
        <f t="shared" si="30"/>
        <v>-20183.138379337121</v>
      </c>
      <c r="D78" s="45">
        <f t="shared" si="30"/>
        <v>-12973.176140169922</v>
      </c>
      <c r="E78" s="45">
        <f t="shared" si="30"/>
        <v>-16234.756563654015</v>
      </c>
      <c r="F78" s="45">
        <f t="shared" si="30"/>
        <v>-8098.4502208746026</v>
      </c>
      <c r="G78" s="45">
        <f t="shared" si="30"/>
        <v>-14878.909441201315</v>
      </c>
      <c r="H78" s="45">
        <f t="shared" si="30"/>
        <v>-17046.228880007584</v>
      </c>
      <c r="I78" s="45">
        <f t="shared" si="30"/>
        <v>-16055.799003672191</v>
      </c>
      <c r="J78" s="45">
        <f t="shared" si="30"/>
        <v>-16743.027779562879</v>
      </c>
      <c r="K78" s="45">
        <f t="shared" si="30"/>
        <v>-17401.234793980817</v>
      </c>
      <c r="L78" s="45">
        <f t="shared" si="30"/>
        <v>-7935.7177883608165</v>
      </c>
      <c r="M78" s="45">
        <f t="shared" si="30"/>
        <v>-10333.080294926025</v>
      </c>
      <c r="N78" s="45">
        <f t="shared" si="30"/>
        <v>-12451.019565646367</v>
      </c>
      <c r="O78" s="45">
        <f t="shared" si="30"/>
        <v>-17334.186399591392</v>
      </c>
      <c r="P78" s="45">
        <f t="shared" si="30"/>
        <v>-13824.154586905359</v>
      </c>
      <c r="Q78" s="45">
        <f t="shared" si="30"/>
        <v>-13875.988061856489</v>
      </c>
      <c r="R78" s="45">
        <f t="shared" si="30"/>
        <v>-11263.350360005135</v>
      </c>
      <c r="S78" s="45">
        <f t="shared" si="30"/>
        <v>-9179.7906634275532</v>
      </c>
      <c r="T78" s="45">
        <f t="shared" si="30"/>
        <v>-17682.253548190045</v>
      </c>
      <c r="U78" s="45">
        <f t="shared" si="30"/>
        <v>-14798.603344909614</v>
      </c>
      <c r="V78" s="45">
        <f t="shared" si="30"/>
        <v>-11763.766811097645</v>
      </c>
      <c r="W78" s="45">
        <f t="shared" si="30"/>
        <v>-12167.303881611004</v>
      </c>
      <c r="X78" s="45">
        <f t="shared" si="30"/>
        <v>246.73758960301313</v>
      </c>
      <c r="Y78" s="45">
        <f t="shared" si="30"/>
        <v>-4166.8561867457938</v>
      </c>
      <c r="Z78" s="43">
        <f>SUM(B78:Y78)</f>
        <v>-311852.04870349541</v>
      </c>
    </row>
    <row r="79" spans="1:26" x14ac:dyDescent="0.25">
      <c r="A79" s="41" t="s">
        <v>348</v>
      </c>
      <c r="B79" s="42">
        <f>(SUMIFS('04_Base_Despesas'!$D$4:$D$219, '04_Base_Despesas'!$A$4:$A$219, B$59, '04_Base_Despesas'!$B$4:$B$219, "financeiro"))*(IFERROR(SUMIFS('03_Base_Vendas'!$I$4:$I$387, '03_Base_Vendas'!$A$4:$A$387, B$59, '03_Base_Vendas'!$C$4:$C$387, "perfumes")/SUMIFS('03_Base_Vendas'!$I$4:$I$387, '03_Base_Vendas'!$A$4:$A$387, B$59),0))</f>
        <v>496.17104906708767</v>
      </c>
      <c r="C79" s="42">
        <f>(SUMIFS('04_Base_Despesas'!$D$4:$D$219, '04_Base_Despesas'!$A$4:$A$219, C$59, '04_Base_Despesas'!$B$4:$B$219, "financeiro"))*(IFERROR(SUMIFS('03_Base_Vendas'!$I$4:$I$387, '03_Base_Vendas'!$A$4:$A$387, C$59, '03_Base_Vendas'!$C$4:$C$387, "perfumes")/SUMIFS('03_Base_Vendas'!$I$4:$I$387, '03_Base_Vendas'!$A$4:$A$387, C$59),0))</f>
        <v>568.77090149905985</v>
      </c>
      <c r="D79" s="42">
        <f>(SUMIFS('04_Base_Despesas'!$D$4:$D$219, '04_Base_Despesas'!$A$4:$A$219, D$59, '04_Base_Despesas'!$B$4:$B$219, "financeiro"))*(IFERROR(SUMIFS('03_Base_Vendas'!$I$4:$I$387, '03_Base_Vendas'!$A$4:$A$387, D$59, '03_Base_Vendas'!$C$4:$C$387, "perfumes")/SUMIFS('03_Base_Vendas'!$I$4:$I$387, '03_Base_Vendas'!$A$4:$A$387, D$59),0))</f>
        <v>531.98921192056889</v>
      </c>
      <c r="E79" s="42">
        <f>(SUMIFS('04_Base_Despesas'!$D$4:$D$219, '04_Base_Despesas'!$A$4:$A$219, E$59, '04_Base_Despesas'!$B$4:$B$219, "financeiro"))*(IFERROR(SUMIFS('03_Base_Vendas'!$I$4:$I$387, '03_Base_Vendas'!$A$4:$A$387, E$59, '03_Base_Vendas'!$C$4:$C$387, "perfumes")/SUMIFS('03_Base_Vendas'!$I$4:$I$387, '03_Base_Vendas'!$A$4:$A$387, E$59),0))</f>
        <v>511.08005410104232</v>
      </c>
      <c r="F79" s="42">
        <f>(SUMIFS('04_Base_Despesas'!$D$4:$D$219, '04_Base_Despesas'!$A$4:$A$219, F$59, '04_Base_Despesas'!$B$4:$B$219, "financeiro"))*(IFERROR(SUMIFS('03_Base_Vendas'!$I$4:$I$387, '03_Base_Vendas'!$A$4:$A$387, F$59, '03_Base_Vendas'!$C$4:$C$387, "perfumes")/SUMIFS('03_Base_Vendas'!$I$4:$I$387, '03_Base_Vendas'!$A$4:$A$387, F$59),0))</f>
        <v>449.82834814489058</v>
      </c>
      <c r="G79" s="42">
        <f>(SUMIFS('04_Base_Despesas'!$D$4:$D$219, '04_Base_Despesas'!$A$4:$A$219, G$59, '04_Base_Despesas'!$B$4:$B$219, "financeiro"))*(IFERROR(SUMIFS('03_Base_Vendas'!$I$4:$I$387, '03_Base_Vendas'!$A$4:$A$387, G$59, '03_Base_Vendas'!$C$4:$C$387, "perfumes")/SUMIFS('03_Base_Vendas'!$I$4:$I$387, '03_Base_Vendas'!$A$4:$A$387, G$59),0))</f>
        <v>559.40846621098115</v>
      </c>
      <c r="H79" s="42">
        <f>(SUMIFS('04_Base_Despesas'!$D$4:$D$219, '04_Base_Despesas'!$A$4:$A$219, H$59, '04_Base_Despesas'!$B$4:$B$219, "financeiro"))*(IFERROR(SUMIFS('03_Base_Vendas'!$I$4:$I$387, '03_Base_Vendas'!$A$4:$A$387, H$59, '03_Base_Vendas'!$C$4:$C$387, "perfumes")/SUMIFS('03_Base_Vendas'!$I$4:$I$387, '03_Base_Vendas'!$A$4:$A$387, H$59),0))</f>
        <v>2103.5666622425592</v>
      </c>
      <c r="I79" s="42">
        <f>(SUMIFS('04_Base_Despesas'!$D$4:$D$219, '04_Base_Despesas'!$A$4:$A$219, I$59, '04_Base_Despesas'!$B$4:$B$219, "financeiro"))*(IFERROR(SUMIFS('03_Base_Vendas'!$I$4:$I$387, '03_Base_Vendas'!$A$4:$A$387, I$59, '03_Base_Vendas'!$C$4:$C$387, "perfumes")/SUMIFS('03_Base_Vendas'!$I$4:$I$387, '03_Base_Vendas'!$A$4:$A$387, I$59),0))</f>
        <v>413.6068304748602</v>
      </c>
      <c r="J79" s="42">
        <f>(SUMIFS('04_Base_Despesas'!$D$4:$D$219, '04_Base_Despesas'!$A$4:$A$219, J$59, '04_Base_Despesas'!$B$4:$B$219, "financeiro"))*(IFERROR(SUMIFS('03_Base_Vendas'!$I$4:$I$387, '03_Base_Vendas'!$A$4:$A$387, J$59, '03_Base_Vendas'!$C$4:$C$387, "perfumes")/SUMIFS('03_Base_Vendas'!$I$4:$I$387, '03_Base_Vendas'!$A$4:$A$387, J$59),0))</f>
        <v>476.85650585045903</v>
      </c>
      <c r="K79" s="42">
        <f>(SUMIFS('04_Base_Despesas'!$D$4:$D$219, '04_Base_Despesas'!$A$4:$A$219, K$59, '04_Base_Despesas'!$B$4:$B$219, "financeiro"))*(IFERROR(SUMIFS('03_Base_Vendas'!$I$4:$I$387, '03_Base_Vendas'!$A$4:$A$387, K$59, '03_Base_Vendas'!$C$4:$C$387, "perfumes")/SUMIFS('03_Base_Vendas'!$I$4:$I$387, '03_Base_Vendas'!$A$4:$A$387, K$59),0))</f>
        <v>435.05370984204836</v>
      </c>
      <c r="L79" s="42">
        <f>(SUMIFS('04_Base_Despesas'!$D$4:$D$219, '04_Base_Despesas'!$A$4:$A$219, L$59, '04_Base_Despesas'!$B$4:$B$219, "financeiro"))*(IFERROR(SUMIFS('03_Base_Vendas'!$I$4:$I$387, '03_Base_Vendas'!$A$4:$A$387, L$59, '03_Base_Vendas'!$C$4:$C$387, "perfumes")/SUMIFS('03_Base_Vendas'!$I$4:$I$387, '03_Base_Vendas'!$A$4:$A$387, L$59),0))</f>
        <v>463.05564990017461</v>
      </c>
      <c r="M79" s="42">
        <f>(SUMIFS('04_Base_Despesas'!$D$4:$D$219, '04_Base_Despesas'!$A$4:$A$219, M$59, '04_Base_Despesas'!$B$4:$B$219, "financeiro"))*(IFERROR(SUMIFS('03_Base_Vendas'!$I$4:$I$387, '03_Base_Vendas'!$A$4:$A$387, M$59, '03_Base_Vendas'!$C$4:$C$387, "perfumes")/SUMIFS('03_Base_Vendas'!$I$4:$I$387, '03_Base_Vendas'!$A$4:$A$387, M$59),0))</f>
        <v>494.83741625629165</v>
      </c>
      <c r="N79" s="42">
        <f>(SUMIFS('04_Base_Despesas'!$D$4:$D$219, '04_Base_Despesas'!$A$4:$A$219, N$59, '04_Base_Despesas'!$B$4:$B$219, "financeiro"))*(IFERROR(SUMIFS('03_Base_Vendas'!$I$4:$I$387, '03_Base_Vendas'!$A$4:$A$387, N$59, '03_Base_Vendas'!$C$4:$C$387, "perfumes")/SUMIFS('03_Base_Vendas'!$I$4:$I$387, '03_Base_Vendas'!$A$4:$A$387, N$59),0))</f>
        <v>487.44073271236073</v>
      </c>
      <c r="O79" s="42">
        <f>(SUMIFS('04_Base_Despesas'!$D$4:$D$219, '04_Base_Despesas'!$A$4:$A$219, O$59, '04_Base_Despesas'!$B$4:$B$219, "financeiro"))*(IFERROR(SUMIFS('03_Base_Vendas'!$I$4:$I$387, '03_Base_Vendas'!$A$4:$A$387, O$59, '03_Base_Vendas'!$C$4:$C$387, "perfumes")/SUMIFS('03_Base_Vendas'!$I$4:$I$387, '03_Base_Vendas'!$A$4:$A$387, O$59),0))</f>
        <v>564.97685860163381</v>
      </c>
      <c r="P79" s="42">
        <f>(SUMIFS('04_Base_Despesas'!$D$4:$D$219, '04_Base_Despesas'!$A$4:$A$219, P$59, '04_Base_Despesas'!$B$4:$B$219, "financeiro"))*(IFERROR(SUMIFS('03_Base_Vendas'!$I$4:$I$387, '03_Base_Vendas'!$A$4:$A$387, P$59, '03_Base_Vendas'!$C$4:$C$387, "perfumes")/SUMIFS('03_Base_Vendas'!$I$4:$I$387, '03_Base_Vendas'!$A$4:$A$387, P$59),0))</f>
        <v>518.9897129265604</v>
      </c>
      <c r="Q79" s="42">
        <f>(SUMIFS('04_Base_Despesas'!$D$4:$D$219, '04_Base_Despesas'!$A$4:$A$219, Q$59, '04_Base_Despesas'!$B$4:$B$219, "financeiro"))*(IFERROR(SUMIFS('03_Base_Vendas'!$I$4:$I$387, '03_Base_Vendas'!$A$4:$A$387, Q$59, '03_Base_Vendas'!$C$4:$C$387, "perfumes")/SUMIFS('03_Base_Vendas'!$I$4:$I$387, '03_Base_Vendas'!$A$4:$A$387, Q$59),0))</f>
        <v>506.48263175273399</v>
      </c>
      <c r="R79" s="42">
        <f>(SUMIFS('04_Base_Despesas'!$D$4:$D$219, '04_Base_Despesas'!$A$4:$A$219, R$59, '04_Base_Despesas'!$B$4:$B$219, "financeiro"))*(IFERROR(SUMIFS('03_Base_Vendas'!$I$4:$I$387, '03_Base_Vendas'!$A$4:$A$387, R$59, '03_Base_Vendas'!$C$4:$C$387, "perfumes")/SUMIFS('03_Base_Vendas'!$I$4:$I$387, '03_Base_Vendas'!$A$4:$A$387, R$59),0))</f>
        <v>536.2043987615242</v>
      </c>
      <c r="S79" s="42">
        <f>(SUMIFS('04_Base_Despesas'!$D$4:$D$219, '04_Base_Despesas'!$A$4:$A$219, S$59, '04_Base_Despesas'!$B$4:$B$219, "financeiro"))*(IFERROR(SUMIFS('03_Base_Vendas'!$I$4:$I$387, '03_Base_Vendas'!$A$4:$A$387, S$59, '03_Base_Vendas'!$C$4:$C$387, "perfumes")/SUMIFS('03_Base_Vendas'!$I$4:$I$387, '03_Base_Vendas'!$A$4:$A$387, S$59),0))</f>
        <v>544.3909837904356</v>
      </c>
      <c r="T79" s="42">
        <f>(SUMIFS('04_Base_Despesas'!$D$4:$D$219, '04_Base_Despesas'!$A$4:$A$219, T$59, '04_Base_Despesas'!$B$4:$B$219, "financeiro"))*(IFERROR(SUMIFS('03_Base_Vendas'!$I$4:$I$387, '03_Base_Vendas'!$A$4:$A$387, T$59, '03_Base_Vendas'!$C$4:$C$387, "perfumes")/SUMIFS('03_Base_Vendas'!$I$4:$I$387, '03_Base_Vendas'!$A$4:$A$387, T$59),0))</f>
        <v>584.14815675119178</v>
      </c>
      <c r="U79" s="42">
        <f>(SUMIFS('04_Base_Despesas'!$D$4:$D$219, '04_Base_Despesas'!$A$4:$A$219, U$59, '04_Base_Despesas'!$B$4:$B$219, "financeiro"))*(IFERROR(SUMIFS('03_Base_Vendas'!$I$4:$I$387, '03_Base_Vendas'!$A$4:$A$387, U$59, '03_Base_Vendas'!$C$4:$C$387, "perfumes")/SUMIFS('03_Base_Vendas'!$I$4:$I$387, '03_Base_Vendas'!$A$4:$A$387, U$59),0))</f>
        <v>556.9691121944054</v>
      </c>
      <c r="V79" s="42">
        <f>(SUMIFS('04_Base_Despesas'!$D$4:$D$219, '04_Base_Despesas'!$A$4:$A$219, V$59, '04_Base_Despesas'!$B$4:$B$219, "financeiro"))*(IFERROR(SUMIFS('03_Base_Vendas'!$I$4:$I$387, '03_Base_Vendas'!$A$4:$A$387, V$59, '03_Base_Vendas'!$C$4:$C$387, "perfumes")/SUMIFS('03_Base_Vendas'!$I$4:$I$387, '03_Base_Vendas'!$A$4:$A$387, V$59),0))</f>
        <v>444.61578740676549</v>
      </c>
      <c r="W79" s="42">
        <f>(SUMIFS('04_Base_Despesas'!$D$4:$D$219, '04_Base_Despesas'!$A$4:$A$219, W$59, '04_Base_Despesas'!$B$4:$B$219, "financeiro"))*(IFERROR(SUMIFS('03_Base_Vendas'!$I$4:$I$387, '03_Base_Vendas'!$A$4:$A$387, W$59, '03_Base_Vendas'!$C$4:$C$387, "perfumes")/SUMIFS('03_Base_Vendas'!$I$4:$I$387, '03_Base_Vendas'!$A$4:$A$387, W$59),0))</f>
        <v>459.41565837466834</v>
      </c>
      <c r="X79" s="42">
        <f>(SUMIFS('04_Base_Despesas'!$D$4:$D$219, '04_Base_Despesas'!$A$4:$A$219, X$59, '04_Base_Despesas'!$B$4:$B$219, "financeiro"))*(IFERROR(SUMIFS('03_Base_Vendas'!$I$4:$I$387, '03_Base_Vendas'!$A$4:$A$387, X$59, '03_Base_Vendas'!$C$4:$C$387, "perfumes")/SUMIFS('03_Base_Vendas'!$I$4:$I$387, '03_Base_Vendas'!$A$4:$A$387, X$59),0))</f>
        <v>499.98806716251312</v>
      </c>
      <c r="Y79" s="42">
        <f>(SUMIFS('04_Base_Despesas'!$D$4:$D$219, '04_Base_Despesas'!$A$4:$A$219, Y$59, '04_Base_Despesas'!$B$4:$B$219, "financeiro"))*(IFERROR(SUMIFS('03_Base_Vendas'!$I$4:$I$387, '03_Base_Vendas'!$A$4:$A$387, Y$59, '03_Base_Vendas'!$C$4:$C$387, "perfumes")/SUMIFS('03_Base_Vendas'!$I$4:$I$387, '03_Base_Vendas'!$A$4:$A$387, Y$59),0))</f>
        <v>594.77049434199603</v>
      </c>
      <c r="Z79" s="43">
        <f>SUM(B79:Y79)</f>
        <v>13802.61740028681</v>
      </c>
    </row>
    <row r="80" spans="1:26" x14ac:dyDescent="0.25">
      <c r="A80" s="44" t="s">
        <v>119</v>
      </c>
      <c r="B80" s="45">
        <f t="shared" ref="B80:Y80" si="31">B78-B79</f>
        <v>-16204.164646431878</v>
      </c>
      <c r="C80" s="45">
        <f t="shared" si="31"/>
        <v>-20751.909280836182</v>
      </c>
      <c r="D80" s="45">
        <f t="shared" si="31"/>
        <v>-13505.165352090491</v>
      </c>
      <c r="E80" s="45">
        <f t="shared" si="31"/>
        <v>-16745.836617755056</v>
      </c>
      <c r="F80" s="45">
        <f t="shared" si="31"/>
        <v>-8548.2785690194924</v>
      </c>
      <c r="G80" s="45">
        <f t="shared" si="31"/>
        <v>-15438.317907412296</v>
      </c>
      <c r="H80" s="45">
        <f t="shared" si="31"/>
        <v>-19149.795542250144</v>
      </c>
      <c r="I80" s="45">
        <f t="shared" si="31"/>
        <v>-16469.405834147052</v>
      </c>
      <c r="J80" s="45">
        <f t="shared" si="31"/>
        <v>-17219.884285413336</v>
      </c>
      <c r="K80" s="45">
        <f t="shared" si="31"/>
        <v>-17836.288503822867</v>
      </c>
      <c r="L80" s="45">
        <f t="shared" si="31"/>
        <v>-8398.7734382609906</v>
      </c>
      <c r="M80" s="45">
        <f t="shared" si="31"/>
        <v>-10827.917711182317</v>
      </c>
      <c r="N80" s="45">
        <f t="shared" si="31"/>
        <v>-12938.460298358728</v>
      </c>
      <c r="O80" s="45">
        <f t="shared" si="31"/>
        <v>-17899.163258193024</v>
      </c>
      <c r="P80" s="45">
        <f t="shared" si="31"/>
        <v>-14343.14429983192</v>
      </c>
      <c r="Q80" s="45">
        <f t="shared" si="31"/>
        <v>-14382.470693609223</v>
      </c>
      <c r="R80" s="45">
        <f t="shared" si="31"/>
        <v>-11799.554758766659</v>
      </c>
      <c r="S80" s="45">
        <f t="shared" si="31"/>
        <v>-9724.1816472179889</v>
      </c>
      <c r="T80" s="45">
        <f t="shared" si="31"/>
        <v>-18266.401704941236</v>
      </c>
      <c r="U80" s="45">
        <f t="shared" si="31"/>
        <v>-15355.572457104019</v>
      </c>
      <c r="V80" s="45">
        <f t="shared" si="31"/>
        <v>-12208.38259850441</v>
      </c>
      <c r="W80" s="45">
        <f t="shared" si="31"/>
        <v>-12626.719539985672</v>
      </c>
      <c r="X80" s="45">
        <f t="shared" si="31"/>
        <v>-253.25047755949998</v>
      </c>
      <c r="Y80" s="45">
        <f t="shared" si="31"/>
        <v>-4761.6266810877896</v>
      </c>
      <c r="Z80" s="43">
        <f>SUM(B80:Y80)</f>
        <v>-325654.66610378225</v>
      </c>
    </row>
    <row r="81" spans="1:26" x14ac:dyDescent="0.25">
      <c r="A81" s="41" t="s">
        <v>349</v>
      </c>
      <c r="B81" s="46">
        <f t="shared" ref="B81:Y81" si="32">IFERROR(B80/B63,0)</f>
        <v>-0.29724356621942788</v>
      </c>
      <c r="C81" s="46">
        <f t="shared" si="32"/>
        <v>-0.39541462756295481</v>
      </c>
      <c r="D81" s="46">
        <f t="shared" si="32"/>
        <v>-0.22461899400347793</v>
      </c>
      <c r="E81" s="46">
        <f t="shared" si="32"/>
        <v>-0.30420664559316707</v>
      </c>
      <c r="F81" s="46">
        <f t="shared" si="32"/>
        <v>-0.13186065813754114</v>
      </c>
      <c r="G81" s="46">
        <f t="shared" si="32"/>
        <v>-0.20788472434784272</v>
      </c>
      <c r="H81" s="46">
        <f t="shared" si="32"/>
        <v>-0.38370092292077751</v>
      </c>
      <c r="I81" s="46">
        <f t="shared" si="32"/>
        <v>-0.40567317164971461</v>
      </c>
      <c r="J81" s="46">
        <f t="shared" si="32"/>
        <v>-0.34819080671849673</v>
      </c>
      <c r="K81" s="46">
        <f t="shared" si="32"/>
        <v>-0.32586576111376592</v>
      </c>
      <c r="L81" s="46">
        <f t="shared" si="32"/>
        <v>-0.11542030861660089</v>
      </c>
      <c r="M81" s="46">
        <f t="shared" si="32"/>
        <v>-0.14421809584825496</v>
      </c>
      <c r="N81" s="46">
        <f t="shared" si="32"/>
        <v>-0.18270883391285653</v>
      </c>
      <c r="O81" s="46">
        <f t="shared" si="32"/>
        <v>-0.27756290944486878</v>
      </c>
      <c r="P81" s="46">
        <f t="shared" si="32"/>
        <v>-0.21252777035425116</v>
      </c>
      <c r="Q81" s="46">
        <f t="shared" si="32"/>
        <v>-0.27332447798119025</v>
      </c>
      <c r="R81" s="46">
        <f t="shared" si="32"/>
        <v>-0.14156979178697043</v>
      </c>
      <c r="S81" s="46">
        <f t="shared" si="32"/>
        <v>-0.13142117981171048</v>
      </c>
      <c r="T81" s="46">
        <f t="shared" si="32"/>
        <v>-0.26683789881011322</v>
      </c>
      <c r="U81" s="46">
        <f t="shared" si="32"/>
        <v>-0.24891647088189525</v>
      </c>
      <c r="V81" s="46">
        <f t="shared" si="32"/>
        <v>-0.21248247741973478</v>
      </c>
      <c r="W81" s="46">
        <f t="shared" si="32"/>
        <v>-0.21808913164132468</v>
      </c>
      <c r="X81" s="46">
        <f t="shared" si="32"/>
        <v>-2.6692651072162455E-3</v>
      </c>
      <c r="Y81" s="46">
        <f t="shared" si="32"/>
        <v>-5.7027019549966078E-2</v>
      </c>
      <c r="Z81" s="47">
        <f>IFERROR($Z$80/$Z$63,0)</f>
        <v>-0.21140552604100443</v>
      </c>
    </row>
    <row r="84" spans="1:26" ht="21.75" customHeight="1" x14ac:dyDescent="0.25">
      <c r="A84" s="4" t="s">
        <v>363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38" t="s">
        <v>329</v>
      </c>
      <c r="B85" s="39" t="s">
        <v>135</v>
      </c>
      <c r="C85" s="39" t="s">
        <v>144</v>
      </c>
      <c r="D85" s="39" t="s">
        <v>145</v>
      </c>
      <c r="E85" s="39" t="s">
        <v>146</v>
      </c>
      <c r="F85" s="39" t="s">
        <v>147</v>
      </c>
      <c r="G85" s="39" t="s">
        <v>148</v>
      </c>
      <c r="H85" s="39" t="s">
        <v>149</v>
      </c>
      <c r="I85" s="39" t="s">
        <v>150</v>
      </c>
      <c r="J85" s="39" t="s">
        <v>151</v>
      </c>
      <c r="K85" s="39" t="s">
        <v>152</v>
      </c>
      <c r="L85" s="39" t="s">
        <v>153</v>
      </c>
      <c r="M85" s="39" t="s">
        <v>154</v>
      </c>
      <c r="N85" s="39" t="s">
        <v>155</v>
      </c>
      <c r="O85" s="39" t="s">
        <v>156</v>
      </c>
      <c r="P85" s="39" t="s">
        <v>157</v>
      </c>
      <c r="Q85" s="39" t="s">
        <v>158</v>
      </c>
      <c r="R85" s="39" t="s">
        <v>159</v>
      </c>
      <c r="S85" s="39" t="s">
        <v>160</v>
      </c>
      <c r="T85" s="39" t="s">
        <v>161</v>
      </c>
      <c r="U85" s="39" t="s">
        <v>162</v>
      </c>
      <c r="V85" s="39" t="s">
        <v>163</v>
      </c>
      <c r="W85" s="39" t="s">
        <v>164</v>
      </c>
      <c r="X85" s="39" t="s">
        <v>165</v>
      </c>
      <c r="Y85" s="39" t="s">
        <v>166</v>
      </c>
      <c r="Z85" s="40" t="s">
        <v>330</v>
      </c>
    </row>
    <row r="86" spans="1:26" x14ac:dyDescent="0.25">
      <c r="A86" s="41" t="s">
        <v>331</v>
      </c>
      <c r="B86" s="42">
        <f>SUMIFS('03_Base_Vendas'!$F$4:$F$387, '03_Base_Vendas'!$A$4:$A$387, B$85, '03_Base_Vendas'!$C$4:$C$387, "haircare")</f>
        <v>19610.61</v>
      </c>
      <c r="C86" s="42">
        <f>SUMIFS('03_Base_Vendas'!$F$4:$F$387, '03_Base_Vendas'!$A$4:$A$387, C$85, '03_Base_Vendas'!$C$4:$C$387, "haircare")</f>
        <v>12191.519999999999</v>
      </c>
      <c r="D86" s="42">
        <f>SUMIFS('03_Base_Vendas'!$F$4:$F$387, '03_Base_Vendas'!$A$4:$A$387, D$85, '03_Base_Vendas'!$C$4:$C$387, "haircare")</f>
        <v>22387.16</v>
      </c>
      <c r="E86" s="42">
        <f>SUMIFS('03_Base_Vendas'!$F$4:$F$387, '03_Base_Vendas'!$A$4:$A$387, E$85, '03_Base_Vendas'!$C$4:$C$387, "haircare")</f>
        <v>15878.46</v>
      </c>
      <c r="F86" s="42">
        <f>SUMIFS('03_Base_Vendas'!$F$4:$F$387, '03_Base_Vendas'!$A$4:$A$387, F$85, '03_Base_Vendas'!$C$4:$C$387, "haircare")</f>
        <v>27788.99</v>
      </c>
      <c r="G86" s="42">
        <f>SUMIFS('03_Base_Vendas'!$F$4:$F$387, '03_Base_Vendas'!$A$4:$A$387, G$85, '03_Base_Vendas'!$C$4:$C$387, "haircare")</f>
        <v>23179.51</v>
      </c>
      <c r="H86" s="42">
        <f>SUMIFS('03_Base_Vendas'!$F$4:$F$387, '03_Base_Vendas'!$A$4:$A$387, H$85, '03_Base_Vendas'!$C$4:$C$387, "haircare")</f>
        <v>22774.77</v>
      </c>
      <c r="I86" s="42">
        <f>SUMIFS('03_Base_Vendas'!$F$4:$F$387, '03_Base_Vendas'!$A$4:$A$387, I$85, '03_Base_Vendas'!$C$4:$C$387, "haircare")</f>
        <v>21198.43</v>
      </c>
      <c r="J86" s="42">
        <f>SUMIFS('03_Base_Vendas'!$F$4:$F$387, '03_Base_Vendas'!$A$4:$A$387, J$85, '03_Base_Vendas'!$C$4:$C$387, "haircare")</f>
        <v>21440.13</v>
      </c>
      <c r="K86" s="42">
        <f>SUMIFS('03_Base_Vendas'!$F$4:$F$387, '03_Base_Vendas'!$A$4:$A$387, K$85, '03_Base_Vendas'!$C$4:$C$387, "haircare")</f>
        <v>20159.510000000002</v>
      </c>
      <c r="L86" s="42">
        <f>SUMIFS('03_Base_Vendas'!$F$4:$F$387, '03_Base_Vendas'!$A$4:$A$387, L$85, '03_Base_Vendas'!$C$4:$C$387, "haircare")</f>
        <v>29141.439999999999</v>
      </c>
      <c r="M86" s="42">
        <f>SUMIFS('03_Base_Vendas'!$F$4:$F$387, '03_Base_Vendas'!$A$4:$A$387, M$85, '03_Base_Vendas'!$C$4:$C$387, "haircare")</f>
        <v>27530.379999999997</v>
      </c>
      <c r="N86" s="42">
        <f>SUMIFS('03_Base_Vendas'!$F$4:$F$387, '03_Base_Vendas'!$A$4:$A$387, N$85, '03_Base_Vendas'!$C$4:$C$387, "haircare")</f>
        <v>27875.81</v>
      </c>
      <c r="O86" s="42">
        <f>SUMIFS('03_Base_Vendas'!$F$4:$F$387, '03_Base_Vendas'!$A$4:$A$387, O$85, '03_Base_Vendas'!$C$4:$C$387, "haircare")</f>
        <v>21424.809999999998</v>
      </c>
      <c r="P86" s="42">
        <f>SUMIFS('03_Base_Vendas'!$F$4:$F$387, '03_Base_Vendas'!$A$4:$A$387, P$85, '03_Base_Vendas'!$C$4:$C$387, "haircare")</f>
        <v>24285.040000000001</v>
      </c>
      <c r="Q86" s="42">
        <f>SUMIFS('03_Base_Vendas'!$F$4:$F$387, '03_Base_Vendas'!$A$4:$A$387, Q$85, '03_Base_Vendas'!$C$4:$C$387, "haircare")</f>
        <v>23491.86</v>
      </c>
      <c r="R86" s="42">
        <f>SUMIFS('03_Base_Vendas'!$F$4:$F$387, '03_Base_Vendas'!$A$4:$A$387, R$85, '03_Base_Vendas'!$C$4:$C$387, "haircare")</f>
        <v>32185.010000000002</v>
      </c>
      <c r="S86" s="42">
        <f>SUMIFS('03_Base_Vendas'!$F$4:$F$387, '03_Base_Vendas'!$A$4:$A$387, S$85, '03_Base_Vendas'!$C$4:$C$387, "haircare")</f>
        <v>30575.96</v>
      </c>
      <c r="T86" s="42">
        <f>SUMIFS('03_Base_Vendas'!$F$4:$F$387, '03_Base_Vendas'!$A$4:$A$387, T$85, '03_Base_Vendas'!$C$4:$C$387, "haircare")</f>
        <v>22083.99</v>
      </c>
      <c r="U86" s="42">
        <f>SUMIFS('03_Base_Vendas'!$F$4:$F$387, '03_Base_Vendas'!$A$4:$A$387, U$85, '03_Base_Vendas'!$C$4:$C$387, "haircare")</f>
        <v>22930.55</v>
      </c>
      <c r="V86" s="42">
        <f>SUMIFS('03_Base_Vendas'!$F$4:$F$387, '03_Base_Vendas'!$A$4:$A$387, V$85, '03_Base_Vendas'!$C$4:$C$387, "haircare")</f>
        <v>28185.85</v>
      </c>
      <c r="W86" s="42">
        <f>SUMIFS('03_Base_Vendas'!$F$4:$F$387, '03_Base_Vendas'!$A$4:$A$387, W$85, '03_Base_Vendas'!$C$4:$C$387, "haircare")</f>
        <v>27039.42</v>
      </c>
      <c r="X86" s="42">
        <f>SUMIFS('03_Base_Vendas'!$F$4:$F$387, '03_Base_Vendas'!$A$4:$A$387, X$85, '03_Base_Vendas'!$C$4:$C$387, "haircare")</f>
        <v>45226.39</v>
      </c>
      <c r="Y86" s="42">
        <f>SUMIFS('03_Base_Vendas'!$F$4:$F$387, '03_Base_Vendas'!$A$4:$A$387, Y$85, '03_Base_Vendas'!$C$4:$C$387, "haircare")</f>
        <v>27331.26</v>
      </c>
      <c r="Z86" s="43">
        <f t="shared" ref="Z86:Z91" si="33">SUM(B86:Y86)</f>
        <v>595916.85999999987</v>
      </c>
    </row>
    <row r="87" spans="1:26" x14ac:dyDescent="0.25">
      <c r="A87" s="41" t="s">
        <v>332</v>
      </c>
      <c r="B87" s="42">
        <f>SUMIFS('03_Base_Vendas'!$G$4:$G$387, '03_Base_Vendas'!$A$4:$A$387, B$85, '03_Base_Vendas'!$C$4:$C$387, "haircare")</f>
        <v>617.66999999999996</v>
      </c>
      <c r="C87" s="42">
        <f>SUMIFS('03_Base_Vendas'!$G$4:$G$387, '03_Base_Vendas'!$A$4:$A$387, C$85, '03_Base_Vendas'!$C$4:$C$387, "haircare")</f>
        <v>779.59</v>
      </c>
      <c r="D87" s="42">
        <f>SUMIFS('03_Base_Vendas'!$G$4:$G$387, '03_Base_Vendas'!$A$4:$A$387, D$85, '03_Base_Vendas'!$C$4:$C$387, "haircare")</f>
        <v>1405.43</v>
      </c>
      <c r="E87" s="42">
        <f>SUMIFS('03_Base_Vendas'!$G$4:$G$387, '03_Base_Vendas'!$A$4:$A$387, E$85, '03_Base_Vendas'!$C$4:$C$387, "haircare")</f>
        <v>649.77</v>
      </c>
      <c r="F87" s="42">
        <f>SUMIFS('03_Base_Vendas'!$G$4:$G$387, '03_Base_Vendas'!$A$4:$A$387, F$85, '03_Base_Vendas'!$C$4:$C$387, "haircare")</f>
        <v>606.08999999999992</v>
      </c>
      <c r="G87" s="42">
        <f>SUMIFS('03_Base_Vendas'!$G$4:$G$387, '03_Base_Vendas'!$A$4:$A$387, G$85, '03_Base_Vendas'!$C$4:$C$387, "haircare")</f>
        <v>98.18</v>
      </c>
      <c r="H87" s="42">
        <f>SUMIFS('03_Base_Vendas'!$G$4:$G$387, '03_Base_Vendas'!$A$4:$A$387, H$85, '03_Base_Vendas'!$C$4:$C$387, "haircare")</f>
        <v>124.29</v>
      </c>
      <c r="I87" s="42">
        <f>SUMIFS('03_Base_Vendas'!$G$4:$G$387, '03_Base_Vendas'!$A$4:$A$387, I$85, '03_Base_Vendas'!$C$4:$C$387, "haircare")</f>
        <v>1260.93</v>
      </c>
      <c r="J87" s="42">
        <f>SUMIFS('03_Base_Vendas'!$G$4:$G$387, '03_Base_Vendas'!$A$4:$A$387, J$85, '03_Base_Vendas'!$C$4:$C$387, "haircare")</f>
        <v>838.61</v>
      </c>
      <c r="K87" s="42">
        <f>SUMIFS('03_Base_Vendas'!$G$4:$G$387, '03_Base_Vendas'!$A$4:$A$387, K$85, '03_Base_Vendas'!$C$4:$C$387, "haircare")</f>
        <v>732.3900000000001</v>
      </c>
      <c r="L87" s="42">
        <f>SUMIFS('03_Base_Vendas'!$G$4:$G$387, '03_Base_Vendas'!$A$4:$A$387, L$85, '03_Base_Vendas'!$C$4:$C$387, "haircare")</f>
        <v>3022.2000000000003</v>
      </c>
      <c r="M87" s="42">
        <f>SUMIFS('03_Base_Vendas'!$G$4:$G$387, '03_Base_Vendas'!$A$4:$A$387, M$85, '03_Base_Vendas'!$C$4:$C$387, "haircare")</f>
        <v>509.5</v>
      </c>
      <c r="N87" s="42">
        <f>SUMIFS('03_Base_Vendas'!$G$4:$G$387, '03_Base_Vendas'!$A$4:$A$387, N$85, '03_Base_Vendas'!$C$4:$C$387, "haircare")</f>
        <v>1714.3300000000002</v>
      </c>
      <c r="O87" s="42">
        <f>SUMIFS('03_Base_Vendas'!$G$4:$G$387, '03_Base_Vendas'!$A$4:$A$387, O$85, '03_Base_Vendas'!$C$4:$C$387, "haircare")</f>
        <v>350.78</v>
      </c>
      <c r="P87" s="42">
        <f>SUMIFS('03_Base_Vendas'!$G$4:$G$387, '03_Base_Vendas'!$A$4:$A$387, P$85, '03_Base_Vendas'!$C$4:$C$387, "haircare")</f>
        <v>450.42999999999995</v>
      </c>
      <c r="Q87" s="42">
        <f>SUMIFS('03_Base_Vendas'!$G$4:$G$387, '03_Base_Vendas'!$A$4:$A$387, Q$85, '03_Base_Vendas'!$C$4:$C$387, "haircare")</f>
        <v>494.36</v>
      </c>
      <c r="R87" s="42">
        <f>SUMIFS('03_Base_Vendas'!$G$4:$G$387, '03_Base_Vendas'!$A$4:$A$387, R$85, '03_Base_Vendas'!$C$4:$C$387, "haircare")</f>
        <v>832.19999999999993</v>
      </c>
      <c r="S87" s="42">
        <f>SUMIFS('03_Base_Vendas'!$G$4:$G$387, '03_Base_Vendas'!$A$4:$A$387, S$85, '03_Base_Vendas'!$C$4:$C$387, "haircare")</f>
        <v>649.79</v>
      </c>
      <c r="T87" s="42">
        <f>SUMIFS('03_Base_Vendas'!$G$4:$G$387, '03_Base_Vendas'!$A$4:$A$387, T$85, '03_Base_Vendas'!$C$4:$C$387, "haircare")</f>
        <v>1190.9499999999998</v>
      </c>
      <c r="U87" s="42">
        <f>SUMIFS('03_Base_Vendas'!$G$4:$G$387, '03_Base_Vendas'!$A$4:$A$387, U$85, '03_Base_Vendas'!$C$4:$C$387, "haircare")</f>
        <v>1083.81</v>
      </c>
      <c r="V87" s="42">
        <f>SUMIFS('03_Base_Vendas'!$G$4:$G$387, '03_Base_Vendas'!$A$4:$A$387, V$85, '03_Base_Vendas'!$C$4:$C$387, "haircare")</f>
        <v>594.03</v>
      </c>
      <c r="W87" s="42">
        <f>SUMIFS('03_Base_Vendas'!$G$4:$G$387, '03_Base_Vendas'!$A$4:$A$387, W$85, '03_Base_Vendas'!$C$4:$C$387, "haircare")</f>
        <v>500.99</v>
      </c>
      <c r="X87" s="42">
        <f>SUMIFS('03_Base_Vendas'!$G$4:$G$387, '03_Base_Vendas'!$A$4:$A$387, X$85, '03_Base_Vendas'!$C$4:$C$387, "haircare")</f>
        <v>1077.4000000000001</v>
      </c>
      <c r="Y87" s="42">
        <f>SUMIFS('03_Base_Vendas'!$G$4:$G$387, '03_Base_Vendas'!$A$4:$A$387, Y$85, '03_Base_Vendas'!$C$4:$C$387, "haircare")</f>
        <v>672.72</v>
      </c>
      <c r="Z87" s="43">
        <f t="shared" si="33"/>
        <v>20256.44000000001</v>
      </c>
    </row>
    <row r="88" spans="1:26" x14ac:dyDescent="0.25">
      <c r="A88" s="41" t="s">
        <v>333</v>
      </c>
      <c r="B88" s="42">
        <f>SUMIFS('03_Base_Vendas'!$H$4:$H$387, '03_Base_Vendas'!$A$4:$A$387, B$85, '03_Base_Vendas'!$C$4:$C$387, "haircare")</f>
        <v>1806.04</v>
      </c>
      <c r="C88" s="42">
        <f>SUMIFS('03_Base_Vendas'!$H$4:$H$387, '03_Base_Vendas'!$A$4:$A$387, C$85, '03_Base_Vendas'!$C$4:$C$387, "haircare")</f>
        <v>975.73</v>
      </c>
      <c r="D88" s="42">
        <f>SUMIFS('03_Base_Vendas'!$H$4:$H$387, '03_Base_Vendas'!$A$4:$A$387, D$85, '03_Base_Vendas'!$C$4:$C$387, "haircare")</f>
        <v>2163.9499999999998</v>
      </c>
      <c r="E88" s="42">
        <f>SUMIFS('03_Base_Vendas'!$H$4:$H$387, '03_Base_Vendas'!$A$4:$A$387, E$85, '03_Base_Vendas'!$C$4:$C$387, "haircare")</f>
        <v>1656.4099999999999</v>
      </c>
      <c r="F88" s="42">
        <f>SUMIFS('03_Base_Vendas'!$H$4:$H$387, '03_Base_Vendas'!$A$4:$A$387, F$85, '03_Base_Vendas'!$C$4:$C$387, "haircare")</f>
        <v>2184.94</v>
      </c>
      <c r="G88" s="42">
        <f>SUMIFS('03_Base_Vendas'!$H$4:$H$387, '03_Base_Vendas'!$A$4:$A$387, G$85, '03_Base_Vendas'!$C$4:$C$387, "haircare")</f>
        <v>1904.5500000000002</v>
      </c>
      <c r="H88" s="42">
        <f>SUMIFS('03_Base_Vendas'!$H$4:$H$387, '03_Base_Vendas'!$A$4:$A$387, H$85, '03_Base_Vendas'!$C$4:$C$387, "haircare")</f>
        <v>1976.55</v>
      </c>
      <c r="I88" s="42">
        <f>SUMIFS('03_Base_Vendas'!$H$4:$H$387, '03_Base_Vendas'!$A$4:$A$387, I$85, '03_Base_Vendas'!$C$4:$C$387, "haircare")</f>
        <v>1570.1</v>
      </c>
      <c r="J88" s="42">
        <f>SUMIFS('03_Base_Vendas'!$H$4:$H$387, '03_Base_Vendas'!$A$4:$A$387, J$85, '03_Base_Vendas'!$C$4:$C$387, "haircare")</f>
        <v>1707.9299999999998</v>
      </c>
      <c r="K88" s="42">
        <f>SUMIFS('03_Base_Vendas'!$H$4:$H$387, '03_Base_Vendas'!$A$4:$A$387, K$85, '03_Base_Vendas'!$C$4:$C$387, "haircare")</f>
        <v>1744.6599999999999</v>
      </c>
      <c r="L88" s="42">
        <f>SUMIFS('03_Base_Vendas'!$H$4:$H$387, '03_Base_Vendas'!$A$4:$A$387, L$85, '03_Base_Vendas'!$C$4:$C$387, "haircare")</f>
        <v>2844.5099999999998</v>
      </c>
      <c r="M88" s="42">
        <f>SUMIFS('03_Base_Vendas'!$H$4:$H$387, '03_Base_Vendas'!$A$4:$A$387, M$85, '03_Base_Vendas'!$C$4:$C$387, "haircare")</f>
        <v>2113.52</v>
      </c>
      <c r="N88" s="42">
        <f>SUMIFS('03_Base_Vendas'!$H$4:$H$387, '03_Base_Vendas'!$A$4:$A$387, N$85, '03_Base_Vendas'!$C$4:$C$387, "haircare")</f>
        <v>2423.14</v>
      </c>
      <c r="O88" s="42">
        <f>SUMIFS('03_Base_Vendas'!$H$4:$H$387, '03_Base_Vendas'!$A$4:$A$387, O$85, '03_Base_Vendas'!$C$4:$C$387, "haircare")</f>
        <v>2030.18</v>
      </c>
      <c r="P88" s="42">
        <f>SUMIFS('03_Base_Vendas'!$H$4:$H$387, '03_Base_Vendas'!$A$4:$A$387, P$85, '03_Base_Vendas'!$C$4:$C$387, "haircare")</f>
        <v>1646.32</v>
      </c>
      <c r="Q88" s="42">
        <f>SUMIFS('03_Base_Vendas'!$H$4:$H$387, '03_Base_Vendas'!$A$4:$A$387, Q$85, '03_Base_Vendas'!$C$4:$C$387, "haircare")</f>
        <v>2018.01</v>
      </c>
      <c r="R88" s="42">
        <f>SUMIFS('03_Base_Vendas'!$H$4:$H$387, '03_Base_Vendas'!$A$4:$A$387, R$85, '03_Base_Vendas'!$C$4:$C$387, "haircare")</f>
        <v>2921.67</v>
      </c>
      <c r="S88" s="42">
        <f>SUMIFS('03_Base_Vendas'!$H$4:$H$387, '03_Base_Vendas'!$A$4:$A$387, S$85, '03_Base_Vendas'!$C$4:$C$387, "haircare")</f>
        <v>2804.8500000000004</v>
      </c>
      <c r="T88" s="42">
        <f>SUMIFS('03_Base_Vendas'!$H$4:$H$387, '03_Base_Vendas'!$A$4:$A$387, T$85, '03_Base_Vendas'!$C$4:$C$387, "haircare")</f>
        <v>1812.83</v>
      </c>
      <c r="U88" s="42">
        <f>SUMIFS('03_Base_Vendas'!$H$4:$H$387, '03_Base_Vendas'!$A$4:$A$387, U$85, '03_Base_Vendas'!$C$4:$C$387, "haircare")</f>
        <v>1876.09</v>
      </c>
      <c r="V88" s="42">
        <f>SUMIFS('03_Base_Vendas'!$H$4:$H$387, '03_Base_Vendas'!$A$4:$A$387, V$85, '03_Base_Vendas'!$C$4:$C$387, "haircare")</f>
        <v>2512.5200000000004</v>
      </c>
      <c r="W88" s="42">
        <f>SUMIFS('03_Base_Vendas'!$H$4:$H$387, '03_Base_Vendas'!$A$4:$A$387, W$85, '03_Base_Vendas'!$C$4:$C$387, "haircare")</f>
        <v>2190.8000000000002</v>
      </c>
      <c r="X88" s="42">
        <f>SUMIFS('03_Base_Vendas'!$H$4:$H$387, '03_Base_Vendas'!$A$4:$A$387, X$85, '03_Base_Vendas'!$C$4:$C$387, "haircare")</f>
        <v>3793.6800000000003</v>
      </c>
      <c r="Y88" s="42">
        <f>SUMIFS('03_Base_Vendas'!$H$4:$H$387, '03_Base_Vendas'!$A$4:$A$387, Y$85, '03_Base_Vendas'!$C$4:$C$387, "haircare")</f>
        <v>2336.63</v>
      </c>
      <c r="Z88" s="43">
        <f t="shared" si="33"/>
        <v>51015.61</v>
      </c>
    </row>
    <row r="89" spans="1:26" x14ac:dyDescent="0.25">
      <c r="A89" s="44" t="s">
        <v>334</v>
      </c>
      <c r="B89" s="45">
        <f t="shared" ref="B89:Y89" si="34">B86-B87-B88</f>
        <v>17186.900000000001</v>
      </c>
      <c r="C89" s="45">
        <f t="shared" si="34"/>
        <v>10436.199999999999</v>
      </c>
      <c r="D89" s="45">
        <f t="shared" si="34"/>
        <v>18817.78</v>
      </c>
      <c r="E89" s="45">
        <f t="shared" si="34"/>
        <v>13572.279999999999</v>
      </c>
      <c r="F89" s="45">
        <f t="shared" si="34"/>
        <v>24997.960000000003</v>
      </c>
      <c r="G89" s="45">
        <f t="shared" si="34"/>
        <v>21176.78</v>
      </c>
      <c r="H89" s="45">
        <f t="shared" si="34"/>
        <v>20673.93</v>
      </c>
      <c r="I89" s="45">
        <f t="shared" si="34"/>
        <v>18367.400000000001</v>
      </c>
      <c r="J89" s="45">
        <f t="shared" si="34"/>
        <v>18893.59</v>
      </c>
      <c r="K89" s="45">
        <f t="shared" si="34"/>
        <v>17682.460000000003</v>
      </c>
      <c r="L89" s="45">
        <f t="shared" si="34"/>
        <v>23274.73</v>
      </c>
      <c r="M89" s="45">
        <f t="shared" si="34"/>
        <v>24907.359999999997</v>
      </c>
      <c r="N89" s="45">
        <f t="shared" si="34"/>
        <v>23738.34</v>
      </c>
      <c r="O89" s="45">
        <f t="shared" si="34"/>
        <v>19043.849999999999</v>
      </c>
      <c r="P89" s="45">
        <f t="shared" si="34"/>
        <v>22188.29</v>
      </c>
      <c r="Q89" s="45">
        <f t="shared" si="34"/>
        <v>20979.49</v>
      </c>
      <c r="R89" s="45">
        <f t="shared" si="34"/>
        <v>28431.14</v>
      </c>
      <c r="S89" s="45">
        <f t="shared" si="34"/>
        <v>27121.32</v>
      </c>
      <c r="T89" s="45">
        <f t="shared" si="34"/>
        <v>19080.21</v>
      </c>
      <c r="U89" s="45">
        <f t="shared" si="34"/>
        <v>19970.649999999998</v>
      </c>
      <c r="V89" s="45">
        <f t="shared" si="34"/>
        <v>25079.3</v>
      </c>
      <c r="W89" s="45">
        <f t="shared" si="34"/>
        <v>24347.629999999997</v>
      </c>
      <c r="X89" s="45">
        <f t="shared" si="34"/>
        <v>40355.31</v>
      </c>
      <c r="Y89" s="45">
        <f t="shared" si="34"/>
        <v>24321.909999999996</v>
      </c>
      <c r="Z89" s="43">
        <f t="shared" si="33"/>
        <v>524644.80999999994</v>
      </c>
    </row>
    <row r="90" spans="1:26" x14ac:dyDescent="0.25">
      <c r="A90" s="41" t="s">
        <v>335</v>
      </c>
      <c r="B90" s="42">
        <f>SUMIFS('03_Base_Vendas'!$J$4:$J$387, '03_Base_Vendas'!$A$4:$A$387, B$85, '03_Base_Vendas'!$C$4:$C$387, "haircare")</f>
        <v>10131.6</v>
      </c>
      <c r="C90" s="42">
        <f>SUMIFS('03_Base_Vendas'!$J$4:$J$387, '03_Base_Vendas'!$A$4:$A$387, C$85, '03_Base_Vendas'!$C$4:$C$387, "haircare")</f>
        <v>6271.8099999999995</v>
      </c>
      <c r="D90" s="42">
        <f>SUMIFS('03_Base_Vendas'!$J$4:$J$387, '03_Base_Vendas'!$A$4:$A$387, D$85, '03_Base_Vendas'!$C$4:$C$387, "haircare")</f>
        <v>11820.05</v>
      </c>
      <c r="E90" s="42">
        <f>SUMIFS('03_Base_Vendas'!$J$4:$J$387, '03_Base_Vendas'!$A$4:$A$387, E$85, '03_Base_Vendas'!$C$4:$C$387, "haircare")</f>
        <v>8232.119999999999</v>
      </c>
      <c r="F90" s="42">
        <f>SUMIFS('03_Base_Vendas'!$J$4:$J$387, '03_Base_Vendas'!$A$4:$A$387, F$85, '03_Base_Vendas'!$C$4:$C$387, "haircare")</f>
        <v>14507.179999999998</v>
      </c>
      <c r="G90" s="42">
        <f>SUMIFS('03_Base_Vendas'!$J$4:$J$387, '03_Base_Vendas'!$A$4:$A$387, G$85, '03_Base_Vendas'!$C$4:$C$387, "haircare")</f>
        <v>12303.6</v>
      </c>
      <c r="H90" s="42">
        <f>SUMIFS('03_Base_Vendas'!$J$4:$J$387, '03_Base_Vendas'!$A$4:$A$387, H$85, '03_Base_Vendas'!$C$4:$C$387, "haircare")</f>
        <v>11879.32</v>
      </c>
      <c r="I90" s="42">
        <f>SUMIFS('03_Base_Vendas'!$J$4:$J$387, '03_Base_Vendas'!$A$4:$A$387, I$85, '03_Base_Vendas'!$C$4:$C$387, "haircare")</f>
        <v>10982.619999999999</v>
      </c>
      <c r="J90" s="42">
        <f>SUMIFS('03_Base_Vendas'!$J$4:$J$387, '03_Base_Vendas'!$A$4:$A$387, J$85, '03_Base_Vendas'!$C$4:$C$387, "haircare")</f>
        <v>11110.07</v>
      </c>
      <c r="K90" s="42">
        <f>SUMIFS('03_Base_Vendas'!$J$4:$J$387, '03_Base_Vendas'!$A$4:$A$387, K$85, '03_Base_Vendas'!$C$4:$C$387, "haircare")</f>
        <v>10540.06</v>
      </c>
      <c r="L90" s="42">
        <f>SUMIFS('03_Base_Vendas'!$J$4:$J$387, '03_Base_Vendas'!$A$4:$A$387, L$85, '03_Base_Vendas'!$C$4:$C$387, "haircare")</f>
        <v>15217.09</v>
      </c>
      <c r="M90" s="42">
        <f>SUMIFS('03_Base_Vendas'!$J$4:$J$387, '03_Base_Vendas'!$A$4:$A$387, M$85, '03_Base_Vendas'!$C$4:$C$387, "haircare")</f>
        <v>14677.519999999999</v>
      </c>
      <c r="N90" s="42">
        <f>SUMIFS('03_Base_Vendas'!$J$4:$J$387, '03_Base_Vendas'!$A$4:$A$387, N$85, '03_Base_Vendas'!$C$4:$C$387, "haircare")</f>
        <v>14523.91</v>
      </c>
      <c r="O90" s="42">
        <f>SUMIFS('03_Base_Vendas'!$J$4:$J$387, '03_Base_Vendas'!$A$4:$A$387, O$85, '03_Base_Vendas'!$C$4:$C$387, "haircare")</f>
        <v>11137.47</v>
      </c>
      <c r="P90" s="42">
        <f>SUMIFS('03_Base_Vendas'!$J$4:$J$387, '03_Base_Vendas'!$A$4:$A$387, P$85, '03_Base_Vendas'!$C$4:$C$387, "haircare")</f>
        <v>12802.97</v>
      </c>
      <c r="Q90" s="42">
        <f>SUMIFS('03_Base_Vendas'!$J$4:$J$387, '03_Base_Vendas'!$A$4:$A$387, Q$85, '03_Base_Vendas'!$C$4:$C$387, "haircare")</f>
        <v>12228.86</v>
      </c>
      <c r="R90" s="42">
        <f>SUMIFS('03_Base_Vendas'!$J$4:$J$387, '03_Base_Vendas'!$A$4:$A$387, R$85, '03_Base_Vendas'!$C$4:$C$387, "haircare")</f>
        <v>16690.97</v>
      </c>
      <c r="S90" s="42">
        <f>SUMIFS('03_Base_Vendas'!$J$4:$J$387, '03_Base_Vendas'!$A$4:$A$387, S$85, '03_Base_Vendas'!$C$4:$C$387, "haircare")</f>
        <v>15983.370000000003</v>
      </c>
      <c r="T90" s="42">
        <f>SUMIFS('03_Base_Vendas'!$J$4:$J$387, '03_Base_Vendas'!$A$4:$A$387, T$85, '03_Base_Vendas'!$C$4:$C$387, "haircare")</f>
        <v>11541.460000000001</v>
      </c>
      <c r="U90" s="42">
        <f>SUMIFS('03_Base_Vendas'!$J$4:$J$387, '03_Base_Vendas'!$A$4:$A$387, U$85, '03_Base_Vendas'!$C$4:$C$387, "haircare")</f>
        <v>11965.329999999998</v>
      </c>
      <c r="V90" s="42">
        <f>SUMIFS('03_Base_Vendas'!$J$4:$J$387, '03_Base_Vendas'!$A$4:$A$387, V$85, '03_Base_Vendas'!$C$4:$C$387, "haircare")</f>
        <v>14883.029999999999</v>
      </c>
      <c r="W90" s="42">
        <f>SUMIFS('03_Base_Vendas'!$J$4:$J$387, '03_Base_Vendas'!$A$4:$A$387, W$85, '03_Base_Vendas'!$C$4:$C$387, "haircare")</f>
        <v>14156.43</v>
      </c>
      <c r="X90" s="42">
        <f>SUMIFS('03_Base_Vendas'!$J$4:$J$387, '03_Base_Vendas'!$A$4:$A$387, X$85, '03_Base_Vendas'!$C$4:$C$387, "haircare")</f>
        <v>23480.89</v>
      </c>
      <c r="Y90" s="42">
        <f>SUMIFS('03_Base_Vendas'!$J$4:$J$387, '03_Base_Vendas'!$A$4:$A$387, Y$85, '03_Base_Vendas'!$C$4:$C$387, "haircare")</f>
        <v>14413.01</v>
      </c>
      <c r="Z90" s="43">
        <f t="shared" si="33"/>
        <v>311480.74</v>
      </c>
    </row>
    <row r="91" spans="1:26" x14ac:dyDescent="0.25">
      <c r="A91" s="44" t="s">
        <v>336</v>
      </c>
      <c r="B91" s="45">
        <f t="shared" ref="B91:Y91" si="35">B89-B90</f>
        <v>7055.3000000000011</v>
      </c>
      <c r="C91" s="45">
        <f t="shared" si="35"/>
        <v>4164.3899999999994</v>
      </c>
      <c r="D91" s="45">
        <f t="shared" si="35"/>
        <v>6997.73</v>
      </c>
      <c r="E91" s="45">
        <f t="shared" si="35"/>
        <v>5340.16</v>
      </c>
      <c r="F91" s="45">
        <f t="shared" si="35"/>
        <v>10490.780000000004</v>
      </c>
      <c r="G91" s="45">
        <f t="shared" si="35"/>
        <v>8873.1799999999985</v>
      </c>
      <c r="H91" s="45">
        <f t="shared" si="35"/>
        <v>8794.61</v>
      </c>
      <c r="I91" s="45">
        <f t="shared" si="35"/>
        <v>7384.7800000000025</v>
      </c>
      <c r="J91" s="45">
        <f t="shared" si="35"/>
        <v>7783.52</v>
      </c>
      <c r="K91" s="45">
        <f t="shared" si="35"/>
        <v>7142.4000000000033</v>
      </c>
      <c r="L91" s="45">
        <f t="shared" si="35"/>
        <v>8057.6399999999994</v>
      </c>
      <c r="M91" s="45">
        <f t="shared" si="35"/>
        <v>10229.839999999998</v>
      </c>
      <c r="N91" s="45">
        <f t="shared" si="35"/>
        <v>9214.43</v>
      </c>
      <c r="O91" s="45">
        <f t="shared" si="35"/>
        <v>7906.3799999999992</v>
      </c>
      <c r="P91" s="45">
        <f t="shared" si="35"/>
        <v>9385.3200000000015</v>
      </c>
      <c r="Q91" s="45">
        <f t="shared" si="35"/>
        <v>8750.630000000001</v>
      </c>
      <c r="R91" s="45">
        <f t="shared" si="35"/>
        <v>11740.169999999998</v>
      </c>
      <c r="S91" s="45">
        <f t="shared" si="35"/>
        <v>11137.949999999997</v>
      </c>
      <c r="T91" s="45">
        <f t="shared" si="35"/>
        <v>7538.7499999999982</v>
      </c>
      <c r="U91" s="45">
        <f t="shared" si="35"/>
        <v>8005.32</v>
      </c>
      <c r="V91" s="45">
        <f t="shared" si="35"/>
        <v>10196.27</v>
      </c>
      <c r="W91" s="45">
        <f t="shared" si="35"/>
        <v>10191.199999999997</v>
      </c>
      <c r="X91" s="45">
        <f t="shared" si="35"/>
        <v>16874.419999999998</v>
      </c>
      <c r="Y91" s="45">
        <f t="shared" si="35"/>
        <v>9908.899999999996</v>
      </c>
      <c r="Z91" s="43">
        <f t="shared" si="33"/>
        <v>213164.06999999998</v>
      </c>
    </row>
    <row r="92" spans="1:26" x14ac:dyDescent="0.25">
      <c r="A92" s="41" t="s">
        <v>337</v>
      </c>
      <c r="B92" s="46">
        <f t="shared" ref="B92:Y92" si="36">IFERROR(B91/B89,0)</f>
        <v>0.41050451215751532</v>
      </c>
      <c r="C92" s="46">
        <f t="shared" si="36"/>
        <v>0.39903317299400165</v>
      </c>
      <c r="D92" s="46">
        <f t="shared" si="36"/>
        <v>0.37186798867879206</v>
      </c>
      <c r="E92" s="46">
        <f t="shared" si="36"/>
        <v>0.39346078919680411</v>
      </c>
      <c r="F92" s="46">
        <f t="shared" si="36"/>
        <v>0.41966544470028766</v>
      </c>
      <c r="G92" s="46">
        <f t="shared" si="36"/>
        <v>0.41900515564689245</v>
      </c>
      <c r="H92" s="46">
        <f t="shared" si="36"/>
        <v>0.42539613900211526</v>
      </c>
      <c r="I92" s="46">
        <f t="shared" si="36"/>
        <v>0.40205908294042714</v>
      </c>
      <c r="J92" s="46">
        <f t="shared" si="36"/>
        <v>0.41196617477144365</v>
      </c>
      <c r="K92" s="46">
        <f t="shared" si="36"/>
        <v>0.40392569812118917</v>
      </c>
      <c r="L92" s="46">
        <f t="shared" si="36"/>
        <v>0.34619692688164372</v>
      </c>
      <c r="M92" s="46">
        <f t="shared" si="36"/>
        <v>0.41071554753293804</v>
      </c>
      <c r="N92" s="46">
        <f t="shared" si="36"/>
        <v>0.38816656935573424</v>
      </c>
      <c r="O92" s="46">
        <f t="shared" si="36"/>
        <v>0.41516710119014799</v>
      </c>
      <c r="P92" s="46">
        <f t="shared" si="36"/>
        <v>0.4229852773692791</v>
      </c>
      <c r="Q92" s="46">
        <f t="shared" si="36"/>
        <v>0.41710403827738424</v>
      </c>
      <c r="R92" s="46">
        <f t="shared" si="36"/>
        <v>0.41293349475258462</v>
      </c>
      <c r="S92" s="46">
        <f t="shared" si="36"/>
        <v>0.41067138325125757</v>
      </c>
      <c r="T92" s="46">
        <f t="shared" si="36"/>
        <v>0.39510833476151458</v>
      </c>
      <c r="U92" s="46">
        <f t="shared" si="36"/>
        <v>0.40085425361718324</v>
      </c>
      <c r="V92" s="46">
        <f t="shared" si="36"/>
        <v>0.40656118791194334</v>
      </c>
      <c r="W92" s="46">
        <f t="shared" si="36"/>
        <v>0.41857051384467392</v>
      </c>
      <c r="X92" s="46">
        <f t="shared" si="36"/>
        <v>0.41814621173768707</v>
      </c>
      <c r="Y92" s="46">
        <f t="shared" si="36"/>
        <v>0.40740632623013562</v>
      </c>
      <c r="Z92" s="47">
        <f>IFERROR($Z$91/$Z$89,0)</f>
        <v>0.4063016843719468</v>
      </c>
    </row>
    <row r="93" spans="1:26" x14ac:dyDescent="0.25">
      <c r="A93" s="41" t="s">
        <v>338</v>
      </c>
      <c r="B93" s="42">
        <f>(SUMIFS('04_Base_Despesas'!$D$4:$D$219, '04_Base_Despesas'!$A$4:$A$219, B$85, '04_Base_Despesas'!$B$4:$B$219, "pessoal"))*(IFERROR(SUMIFS('03_Base_Vendas'!$I$4:$I$387, '03_Base_Vendas'!$A$4:$A$387, B$85, '03_Base_Vendas'!$C$4:$C$387, "haircare")/SUMIFS('03_Base_Vendas'!$I$4:$I$387, '03_Base_Vendas'!$A$4:$A$387, B$85),0))</f>
        <v>5802.8510239254665</v>
      </c>
      <c r="C93" s="42">
        <f>(SUMIFS('04_Base_Despesas'!$D$4:$D$219, '04_Base_Despesas'!$A$4:$A$219, C$85, '04_Base_Despesas'!$B$4:$B$219, "pessoal"))*(IFERROR(SUMIFS('03_Base_Vendas'!$I$4:$I$387, '03_Base_Vendas'!$A$4:$A$387, C$85, '03_Base_Vendas'!$C$4:$C$387, "haircare")/SUMIFS('03_Base_Vendas'!$I$4:$I$387, '03_Base_Vendas'!$A$4:$A$387, C$85),0))</f>
        <v>4361.8891693548721</v>
      </c>
      <c r="D93" s="42">
        <f>(SUMIFS('04_Base_Despesas'!$D$4:$D$219, '04_Base_Despesas'!$A$4:$A$219, D$85, '04_Base_Despesas'!$B$4:$B$219, "pessoal"))*(IFERROR(SUMIFS('03_Base_Vendas'!$I$4:$I$387, '03_Base_Vendas'!$A$4:$A$387, D$85, '03_Base_Vendas'!$C$4:$C$387, "haircare")/SUMIFS('03_Base_Vendas'!$I$4:$I$387, '03_Base_Vendas'!$A$4:$A$387, D$85),0))</f>
        <v>6201.3501355999724</v>
      </c>
      <c r="E93" s="42">
        <f>(SUMIFS('04_Base_Despesas'!$D$4:$D$219, '04_Base_Despesas'!$A$4:$A$219, E$85, '04_Base_Despesas'!$B$4:$B$219, "pessoal"))*(IFERROR(SUMIFS('03_Base_Vendas'!$I$4:$I$387, '03_Base_Vendas'!$A$4:$A$387, E$85, '03_Base_Vendas'!$C$4:$C$387, "haircare")/SUMIFS('03_Base_Vendas'!$I$4:$I$387, '03_Base_Vendas'!$A$4:$A$387, E$85),0))</f>
        <v>4802.4427301708183</v>
      </c>
      <c r="F93" s="42">
        <f>(SUMIFS('04_Base_Despesas'!$D$4:$D$219, '04_Base_Despesas'!$A$4:$A$219, F$85, '04_Base_Despesas'!$B$4:$B$219, "pessoal"))*(IFERROR(SUMIFS('03_Base_Vendas'!$I$4:$I$387, '03_Base_Vendas'!$A$4:$A$387, F$85, '03_Base_Vendas'!$C$4:$C$387, "haircare")/SUMIFS('03_Base_Vendas'!$I$4:$I$387, '03_Base_Vendas'!$A$4:$A$387, F$85),0))</f>
        <v>6664.3466999570483</v>
      </c>
      <c r="G93" s="42">
        <f>(SUMIFS('04_Base_Despesas'!$D$4:$D$219, '04_Base_Despesas'!$A$4:$A$219, G$85, '04_Base_Despesas'!$B$4:$B$219, "pessoal"))*(IFERROR(SUMIFS('03_Base_Vendas'!$I$4:$I$387, '03_Base_Vendas'!$A$4:$A$387, G$85, '03_Base_Vendas'!$C$4:$C$387, "haircare")/SUMIFS('03_Base_Vendas'!$I$4:$I$387, '03_Base_Vendas'!$A$4:$A$387, G$85),0))</f>
        <v>6311.3797433984819</v>
      </c>
      <c r="H93" s="42">
        <f>(SUMIFS('04_Base_Despesas'!$D$4:$D$219, '04_Base_Despesas'!$A$4:$A$219, H$85, '04_Base_Despesas'!$B$4:$B$219, "pessoal"))*(IFERROR(SUMIFS('03_Base_Vendas'!$I$4:$I$387, '03_Base_Vendas'!$A$4:$A$387, H$85, '03_Base_Vendas'!$C$4:$C$387, "haircare")/SUMIFS('03_Base_Vendas'!$I$4:$I$387, '03_Base_Vendas'!$A$4:$A$387, H$85),0))</f>
        <v>8301.4925032596493</v>
      </c>
      <c r="I93" s="42">
        <f>(SUMIFS('04_Base_Despesas'!$D$4:$D$219, '04_Base_Despesas'!$A$4:$A$219, I$85, '04_Base_Despesas'!$B$4:$B$219, "pessoal"))*(IFERROR(SUMIFS('03_Base_Vendas'!$I$4:$I$387, '03_Base_Vendas'!$A$4:$A$387, I$85, '03_Base_Vendas'!$C$4:$C$387, "haircare")/SUMIFS('03_Base_Vendas'!$I$4:$I$387, '03_Base_Vendas'!$A$4:$A$387, I$85),0))</f>
        <v>7393.4844888169528</v>
      </c>
      <c r="J93" s="42">
        <f>(SUMIFS('04_Base_Despesas'!$D$4:$D$219, '04_Base_Despesas'!$A$4:$A$219, J$85, '04_Base_Despesas'!$B$4:$B$219, "pessoal"))*(IFERROR(SUMIFS('03_Base_Vendas'!$I$4:$I$387, '03_Base_Vendas'!$A$4:$A$387, J$85, '03_Base_Vendas'!$C$4:$C$387, "haircare")/SUMIFS('03_Base_Vendas'!$I$4:$I$387, '03_Base_Vendas'!$A$4:$A$387, J$85),0))</f>
        <v>7292.7091967622309</v>
      </c>
      <c r="K93" s="42">
        <f>(SUMIFS('04_Base_Despesas'!$D$4:$D$219, '04_Base_Despesas'!$A$4:$A$219, K$85, '04_Base_Despesas'!$B$4:$B$219, "pessoal"))*(IFERROR(SUMIFS('03_Base_Vendas'!$I$4:$I$387, '03_Base_Vendas'!$A$4:$A$387, K$85, '03_Base_Vendas'!$C$4:$C$387, "haircare")/SUMIFS('03_Base_Vendas'!$I$4:$I$387, '03_Base_Vendas'!$A$4:$A$387, K$85),0))</f>
        <v>6254.5090641277156</v>
      </c>
      <c r="L93" s="42">
        <f>(SUMIFS('04_Base_Despesas'!$D$4:$D$219, '04_Base_Despesas'!$A$4:$A$219, L$85, '04_Base_Despesas'!$B$4:$B$219, "pessoal"))*(IFERROR(SUMIFS('03_Base_Vendas'!$I$4:$I$387, '03_Base_Vendas'!$A$4:$A$387, L$85, '03_Base_Vendas'!$C$4:$C$387, "haircare")/SUMIFS('03_Base_Vendas'!$I$4:$I$387, '03_Base_Vendas'!$A$4:$A$387, L$85),0))</f>
        <v>5803.3735385675254</v>
      </c>
      <c r="M93" s="42">
        <f>(SUMIFS('04_Base_Despesas'!$D$4:$D$219, '04_Base_Despesas'!$A$4:$A$219, M$85, '04_Base_Despesas'!$B$4:$B$219, "pessoal"))*(IFERROR(SUMIFS('03_Base_Vendas'!$I$4:$I$387, '03_Base_Vendas'!$A$4:$A$387, M$85, '03_Base_Vendas'!$C$4:$C$387, "haircare")/SUMIFS('03_Base_Vendas'!$I$4:$I$387, '03_Base_Vendas'!$A$4:$A$387, M$85),0))</f>
        <v>6567.8263919519604</v>
      </c>
      <c r="N93" s="42">
        <f>(SUMIFS('04_Base_Despesas'!$D$4:$D$219, '04_Base_Despesas'!$A$4:$A$219, N$85, '04_Base_Despesas'!$B$4:$B$219, "pessoal"))*(IFERROR(SUMIFS('03_Base_Vendas'!$I$4:$I$387, '03_Base_Vendas'!$A$4:$A$387, N$85, '03_Base_Vendas'!$C$4:$C$387, "haircare")/SUMIFS('03_Base_Vendas'!$I$4:$I$387, '03_Base_Vendas'!$A$4:$A$387, N$85),0))</f>
        <v>6974.1791918695999</v>
      </c>
      <c r="O93" s="42">
        <f>(SUMIFS('04_Base_Despesas'!$D$4:$D$219, '04_Base_Despesas'!$A$4:$A$219, O$85, '04_Base_Despesas'!$B$4:$B$219, "pessoal"))*(IFERROR(SUMIFS('03_Base_Vendas'!$I$4:$I$387, '03_Base_Vendas'!$A$4:$A$387, O$85, '03_Base_Vendas'!$C$4:$C$387, "haircare")/SUMIFS('03_Base_Vendas'!$I$4:$I$387, '03_Base_Vendas'!$A$4:$A$387, O$85),0))</f>
        <v>6783.4098132607141</v>
      </c>
      <c r="P93" s="42">
        <f>(SUMIFS('04_Base_Despesas'!$D$4:$D$219, '04_Base_Despesas'!$A$4:$A$219, P$85, '04_Base_Despesas'!$B$4:$B$219, "pessoal"))*(IFERROR(SUMIFS('03_Base_Vendas'!$I$4:$I$387, '03_Base_Vendas'!$A$4:$A$387, P$85, '03_Base_Vendas'!$C$4:$C$387, "haircare")/SUMIFS('03_Base_Vendas'!$I$4:$I$387, '03_Base_Vendas'!$A$4:$A$387, P$85),0))</f>
        <v>6774.9531996628239</v>
      </c>
      <c r="Q93" s="42">
        <f>(SUMIFS('04_Base_Despesas'!$D$4:$D$219, '04_Base_Despesas'!$A$4:$A$219, Q$85, '04_Base_Despesas'!$B$4:$B$219, "pessoal"))*(IFERROR(SUMIFS('03_Base_Vendas'!$I$4:$I$387, '03_Base_Vendas'!$A$4:$A$387, Q$85, '03_Base_Vendas'!$C$4:$C$387, "haircare")/SUMIFS('03_Base_Vendas'!$I$4:$I$387, '03_Base_Vendas'!$A$4:$A$387, Q$85),0))</f>
        <v>7517.4308321799517</v>
      </c>
      <c r="R93" s="42">
        <f>(SUMIFS('04_Base_Despesas'!$D$4:$D$219, '04_Base_Despesas'!$A$4:$A$219, R$85, '04_Base_Despesas'!$B$4:$B$219, "pessoal"))*(IFERROR(SUMIFS('03_Base_Vendas'!$I$4:$I$387, '03_Base_Vendas'!$A$4:$A$387, R$85, '03_Base_Vendas'!$C$4:$C$387, "haircare")/SUMIFS('03_Base_Vendas'!$I$4:$I$387, '03_Base_Vendas'!$A$4:$A$387, R$85),0))</f>
        <v>7107.0443355889956</v>
      </c>
      <c r="S93" s="42">
        <f>(SUMIFS('04_Base_Despesas'!$D$4:$D$219, '04_Base_Despesas'!$A$4:$A$219, S$85, '04_Base_Despesas'!$B$4:$B$219, "pessoal"))*(IFERROR(SUMIFS('03_Base_Vendas'!$I$4:$I$387, '03_Base_Vendas'!$A$4:$A$387, S$85, '03_Base_Vendas'!$C$4:$C$387, "haircare")/SUMIFS('03_Base_Vendas'!$I$4:$I$387, '03_Base_Vendas'!$A$4:$A$387, S$85),0))</f>
        <v>7408.2322769498087</v>
      </c>
      <c r="T93" s="42">
        <f>(SUMIFS('04_Base_Despesas'!$D$4:$D$219, '04_Base_Despesas'!$A$4:$A$219, T$85, '04_Base_Despesas'!$B$4:$B$219, "pessoal"))*(IFERROR(SUMIFS('03_Base_Vendas'!$I$4:$I$387, '03_Base_Vendas'!$A$4:$A$387, T$85, '03_Base_Vendas'!$C$4:$C$387, "haircare")/SUMIFS('03_Base_Vendas'!$I$4:$I$387, '03_Base_Vendas'!$A$4:$A$387, T$85),0))</f>
        <v>6261.3396333897699</v>
      </c>
      <c r="U93" s="42">
        <f>(SUMIFS('04_Base_Despesas'!$D$4:$D$219, '04_Base_Despesas'!$A$4:$A$219, U$85, '04_Base_Despesas'!$B$4:$B$219, "pessoal"))*(IFERROR(SUMIFS('03_Base_Vendas'!$I$4:$I$387, '03_Base_Vendas'!$A$4:$A$387, U$85, '03_Base_Vendas'!$C$4:$C$387, "haircare")/SUMIFS('03_Base_Vendas'!$I$4:$I$387, '03_Base_Vendas'!$A$4:$A$387, U$85),0))</f>
        <v>6765.5526884681212</v>
      </c>
      <c r="V93" s="42">
        <f>(SUMIFS('04_Base_Despesas'!$D$4:$D$219, '04_Base_Despesas'!$A$4:$A$219, V$85, '04_Base_Despesas'!$B$4:$B$219, "pessoal"))*(IFERROR(SUMIFS('03_Base_Vendas'!$I$4:$I$387, '03_Base_Vendas'!$A$4:$A$387, V$85, '03_Base_Vendas'!$C$4:$C$387, "haircare")/SUMIFS('03_Base_Vendas'!$I$4:$I$387, '03_Base_Vendas'!$A$4:$A$387, V$85),0))</f>
        <v>8220.0890728373233</v>
      </c>
      <c r="W93" s="42">
        <f>(SUMIFS('04_Base_Despesas'!$D$4:$D$219, '04_Base_Despesas'!$A$4:$A$219, W$85, '04_Base_Despesas'!$B$4:$B$219, "pessoal"))*(IFERROR(SUMIFS('03_Base_Vendas'!$I$4:$I$387, '03_Base_Vendas'!$A$4:$A$387, W$85, '03_Base_Vendas'!$C$4:$C$387, "haircare")/SUMIFS('03_Base_Vendas'!$I$4:$I$387, '03_Base_Vendas'!$A$4:$A$387, W$85),0))</f>
        <v>7410.5913910825866</v>
      </c>
      <c r="X93" s="42">
        <f>(SUMIFS('04_Base_Despesas'!$D$4:$D$219, '04_Base_Despesas'!$A$4:$A$219, X$85, '04_Base_Despesas'!$B$4:$B$219, "pessoal"))*(IFERROR(SUMIFS('03_Base_Vendas'!$I$4:$I$387, '03_Base_Vendas'!$A$4:$A$387, X$85, '03_Base_Vendas'!$C$4:$C$387, "haircare")/SUMIFS('03_Base_Vendas'!$I$4:$I$387, '03_Base_Vendas'!$A$4:$A$387, X$85),0))</f>
        <v>8326.2168968212682</v>
      </c>
      <c r="Y93" s="42">
        <f>(SUMIFS('04_Base_Despesas'!$D$4:$D$219, '04_Base_Despesas'!$A$4:$A$219, Y$85, '04_Base_Despesas'!$B$4:$B$219, "pessoal"))*(IFERROR(SUMIFS('03_Base_Vendas'!$I$4:$I$387, '03_Base_Vendas'!$A$4:$A$387, Y$85, '03_Base_Vendas'!$C$4:$C$387, "haircare")/SUMIFS('03_Base_Vendas'!$I$4:$I$387, '03_Base_Vendas'!$A$4:$A$387, Y$85),0))</f>
        <v>6398.53235632007</v>
      </c>
      <c r="Z93" s="43">
        <f t="shared" ref="Z93:Z101" si="37">SUM(B93:Y93)</f>
        <v>161705.22637432374</v>
      </c>
    </row>
    <row r="94" spans="1:26" x14ac:dyDescent="0.25">
      <c r="A94" s="41" t="s">
        <v>339</v>
      </c>
      <c r="B94" s="42">
        <f>(SUMIFS('04_Base_Despesas'!$D$4:$D$219, '04_Base_Despesas'!$A$4:$A$219, B$85, '04_Base_Despesas'!$B$4:$B$219, "aluguel"))*(IFERROR(SUMIFS('03_Base_Vendas'!$I$4:$I$387, '03_Base_Vendas'!$A$4:$A$387, B$85, '03_Base_Vendas'!$C$4:$C$387, "haircare")/SUMIFS('03_Base_Vendas'!$I$4:$I$387, '03_Base_Vendas'!$A$4:$A$387, B$85),0))</f>
        <v>1088.3441003145201</v>
      </c>
      <c r="C94" s="42">
        <f>(SUMIFS('04_Base_Despesas'!$D$4:$D$219, '04_Base_Despesas'!$A$4:$A$219, C$85, '04_Base_Despesas'!$B$4:$B$219, "aluguel"))*(IFERROR(SUMIFS('03_Base_Vendas'!$I$4:$I$387, '03_Base_Vendas'!$A$4:$A$387, C$85, '03_Base_Vendas'!$C$4:$C$387, "haircare")/SUMIFS('03_Base_Vendas'!$I$4:$I$387, '03_Base_Vendas'!$A$4:$A$387, C$85),0))</f>
        <v>794.98602775205188</v>
      </c>
      <c r="D94" s="42">
        <f>(SUMIFS('04_Base_Despesas'!$D$4:$D$219, '04_Base_Despesas'!$A$4:$A$219, D$85, '04_Base_Despesas'!$B$4:$B$219, "aluguel"))*(IFERROR(SUMIFS('03_Base_Vendas'!$I$4:$I$387, '03_Base_Vendas'!$A$4:$A$387, D$85, '03_Base_Vendas'!$C$4:$C$387, "haircare")/SUMIFS('03_Base_Vendas'!$I$4:$I$387, '03_Base_Vendas'!$A$4:$A$387, D$85),0))</f>
        <v>1175.3240921540703</v>
      </c>
      <c r="E94" s="42">
        <f>(SUMIFS('04_Base_Despesas'!$D$4:$D$219, '04_Base_Despesas'!$A$4:$A$219, E$85, '04_Base_Despesas'!$B$4:$B$219, "aluguel"))*(IFERROR(SUMIFS('03_Base_Vendas'!$I$4:$I$387, '03_Base_Vendas'!$A$4:$A$387, E$85, '03_Base_Vendas'!$C$4:$C$387, "haircare")/SUMIFS('03_Base_Vendas'!$I$4:$I$387, '03_Base_Vendas'!$A$4:$A$387, E$85),0))</f>
        <v>922.18710626868881</v>
      </c>
      <c r="F94" s="42">
        <f>(SUMIFS('04_Base_Despesas'!$D$4:$D$219, '04_Base_Despesas'!$A$4:$A$219, F$85, '04_Base_Despesas'!$B$4:$B$219, "aluguel"))*(IFERROR(SUMIFS('03_Base_Vendas'!$I$4:$I$387, '03_Base_Vendas'!$A$4:$A$387, F$85, '03_Base_Vendas'!$C$4:$C$387, "haircare")/SUMIFS('03_Base_Vendas'!$I$4:$I$387, '03_Base_Vendas'!$A$4:$A$387, F$85),0))</f>
        <v>1217.878999616657</v>
      </c>
      <c r="G94" s="42">
        <f>(SUMIFS('04_Base_Despesas'!$D$4:$D$219, '04_Base_Despesas'!$A$4:$A$219, G$85, '04_Base_Despesas'!$B$4:$B$219, "aluguel"))*(IFERROR(SUMIFS('03_Base_Vendas'!$I$4:$I$387, '03_Base_Vendas'!$A$4:$A$387, G$85, '03_Base_Vendas'!$C$4:$C$387, "haircare")/SUMIFS('03_Base_Vendas'!$I$4:$I$387, '03_Base_Vendas'!$A$4:$A$387, G$85),0))</f>
        <v>1185.3445893674552</v>
      </c>
      <c r="H94" s="42">
        <f>(SUMIFS('04_Base_Despesas'!$D$4:$D$219, '04_Base_Despesas'!$A$4:$A$219, H$85, '04_Base_Despesas'!$B$4:$B$219, "aluguel"))*(IFERROR(SUMIFS('03_Base_Vendas'!$I$4:$I$387, '03_Base_Vendas'!$A$4:$A$387, H$85, '03_Base_Vendas'!$C$4:$C$387, "haircare")/SUMIFS('03_Base_Vendas'!$I$4:$I$387, '03_Base_Vendas'!$A$4:$A$387, H$85),0))</f>
        <v>1520.0392032334041</v>
      </c>
      <c r="I94" s="42">
        <f>(SUMIFS('04_Base_Despesas'!$D$4:$D$219, '04_Base_Despesas'!$A$4:$A$219, I$85, '04_Base_Despesas'!$B$4:$B$219, "aluguel"))*(IFERROR(SUMIFS('03_Base_Vendas'!$I$4:$I$387, '03_Base_Vendas'!$A$4:$A$387, I$85, '03_Base_Vendas'!$C$4:$C$387, "haircare")/SUMIFS('03_Base_Vendas'!$I$4:$I$387, '03_Base_Vendas'!$A$4:$A$387, I$85),0))</f>
        <v>1353.2179800163965</v>
      </c>
      <c r="J94" s="42">
        <f>(SUMIFS('04_Base_Despesas'!$D$4:$D$219, '04_Base_Despesas'!$A$4:$A$219, J$85, '04_Base_Despesas'!$B$4:$B$219, "aluguel"))*(IFERROR(SUMIFS('03_Base_Vendas'!$I$4:$I$387, '03_Base_Vendas'!$A$4:$A$387, J$85, '03_Base_Vendas'!$C$4:$C$387, "haircare")/SUMIFS('03_Base_Vendas'!$I$4:$I$387, '03_Base_Vendas'!$A$4:$A$387, J$85),0))</f>
        <v>1330.0321709480372</v>
      </c>
      <c r="K94" s="42">
        <f>(SUMIFS('04_Base_Despesas'!$D$4:$D$219, '04_Base_Despesas'!$A$4:$A$219, K$85, '04_Base_Despesas'!$B$4:$B$219, "aluguel"))*(IFERROR(SUMIFS('03_Base_Vendas'!$I$4:$I$387, '03_Base_Vendas'!$A$4:$A$387, K$85, '03_Base_Vendas'!$C$4:$C$387, "haircare")/SUMIFS('03_Base_Vendas'!$I$4:$I$387, '03_Base_Vendas'!$A$4:$A$387, K$85),0))</f>
        <v>1132.6504797586786</v>
      </c>
      <c r="L94" s="42">
        <f>(SUMIFS('04_Base_Despesas'!$D$4:$D$219, '04_Base_Despesas'!$A$4:$A$219, L$85, '04_Base_Despesas'!$B$4:$B$219, "aluguel"))*(IFERROR(SUMIFS('03_Base_Vendas'!$I$4:$I$387, '03_Base_Vendas'!$A$4:$A$387, L$85, '03_Base_Vendas'!$C$4:$C$387, "haircare")/SUMIFS('03_Base_Vendas'!$I$4:$I$387, '03_Base_Vendas'!$A$4:$A$387, L$85),0))</f>
        <v>1088.8919689921534</v>
      </c>
      <c r="M94" s="42">
        <f>(SUMIFS('04_Base_Despesas'!$D$4:$D$219, '04_Base_Despesas'!$A$4:$A$219, M$85, '04_Base_Despesas'!$B$4:$B$219, "aluguel"))*(IFERROR(SUMIFS('03_Base_Vendas'!$I$4:$I$387, '03_Base_Vendas'!$A$4:$A$387, M$85, '03_Base_Vendas'!$C$4:$C$387, "haircare")/SUMIFS('03_Base_Vendas'!$I$4:$I$387, '03_Base_Vendas'!$A$4:$A$387, M$85),0))</f>
        <v>1201.8802407357487</v>
      </c>
      <c r="N94" s="42">
        <f>(SUMIFS('04_Base_Despesas'!$D$4:$D$219, '04_Base_Despesas'!$A$4:$A$219, N$85, '04_Base_Despesas'!$B$4:$B$219, "aluguel"))*(IFERROR(SUMIFS('03_Base_Vendas'!$I$4:$I$387, '03_Base_Vendas'!$A$4:$A$387, N$85, '03_Base_Vendas'!$C$4:$C$387, "haircare")/SUMIFS('03_Base_Vendas'!$I$4:$I$387, '03_Base_Vendas'!$A$4:$A$387, N$85),0))</f>
        <v>1283.224592763931</v>
      </c>
      <c r="O94" s="42">
        <f>(SUMIFS('04_Base_Despesas'!$D$4:$D$219, '04_Base_Despesas'!$A$4:$A$219, O$85, '04_Base_Despesas'!$B$4:$B$219, "aluguel"))*(IFERROR(SUMIFS('03_Base_Vendas'!$I$4:$I$387, '03_Base_Vendas'!$A$4:$A$387, O$85, '03_Base_Vendas'!$C$4:$C$387, "haircare")/SUMIFS('03_Base_Vendas'!$I$4:$I$387, '03_Base_Vendas'!$A$4:$A$387, O$85),0))</f>
        <v>1246.5540314094567</v>
      </c>
      <c r="P94" s="42">
        <f>(SUMIFS('04_Base_Despesas'!$D$4:$D$219, '04_Base_Despesas'!$A$4:$A$219, P$85, '04_Base_Despesas'!$B$4:$B$219, "aluguel"))*(IFERROR(SUMIFS('03_Base_Vendas'!$I$4:$I$387, '03_Base_Vendas'!$A$4:$A$387, P$85, '03_Base_Vendas'!$C$4:$C$387, "haircare")/SUMIFS('03_Base_Vendas'!$I$4:$I$387, '03_Base_Vendas'!$A$4:$A$387, P$85),0))</f>
        <v>1233.7347711519396</v>
      </c>
      <c r="Q94" s="42">
        <f>(SUMIFS('04_Base_Despesas'!$D$4:$D$219, '04_Base_Despesas'!$A$4:$A$219, Q$85, '04_Base_Despesas'!$B$4:$B$219, "aluguel"))*(IFERROR(SUMIFS('03_Base_Vendas'!$I$4:$I$387, '03_Base_Vendas'!$A$4:$A$387, Q$85, '03_Base_Vendas'!$C$4:$C$387, "haircare")/SUMIFS('03_Base_Vendas'!$I$4:$I$387, '03_Base_Vendas'!$A$4:$A$387, Q$85),0))</f>
        <v>1375.3297549002186</v>
      </c>
      <c r="R94" s="42">
        <f>(SUMIFS('04_Base_Despesas'!$D$4:$D$219, '04_Base_Despesas'!$A$4:$A$219, R$85, '04_Base_Despesas'!$B$4:$B$219, "aluguel"))*(IFERROR(SUMIFS('03_Base_Vendas'!$I$4:$I$387, '03_Base_Vendas'!$A$4:$A$387, R$85, '03_Base_Vendas'!$C$4:$C$387, "haircare")/SUMIFS('03_Base_Vendas'!$I$4:$I$387, '03_Base_Vendas'!$A$4:$A$387, R$85),0))</f>
        <v>1292.253317021331</v>
      </c>
      <c r="S94" s="42">
        <f>(SUMIFS('04_Base_Despesas'!$D$4:$D$219, '04_Base_Despesas'!$A$4:$A$219, S$85, '04_Base_Despesas'!$B$4:$B$219, "aluguel"))*(IFERROR(SUMIFS('03_Base_Vendas'!$I$4:$I$387, '03_Base_Vendas'!$A$4:$A$387, S$85, '03_Base_Vendas'!$C$4:$C$387, "haircare")/SUMIFS('03_Base_Vendas'!$I$4:$I$387, '03_Base_Vendas'!$A$4:$A$387, S$85),0))</f>
        <v>1395.7896164310141</v>
      </c>
      <c r="T94" s="42">
        <f>(SUMIFS('04_Base_Despesas'!$D$4:$D$219, '04_Base_Despesas'!$A$4:$A$219, T$85, '04_Base_Despesas'!$B$4:$B$219, "aluguel"))*(IFERROR(SUMIFS('03_Base_Vendas'!$I$4:$I$387, '03_Base_Vendas'!$A$4:$A$387, T$85, '03_Base_Vendas'!$C$4:$C$387, "haircare")/SUMIFS('03_Base_Vendas'!$I$4:$I$387, '03_Base_Vendas'!$A$4:$A$387, T$85),0))</f>
        <v>1179.2344163806606</v>
      </c>
      <c r="U94" s="42">
        <f>(SUMIFS('04_Base_Despesas'!$D$4:$D$219, '04_Base_Despesas'!$A$4:$A$219, U$85, '04_Base_Despesas'!$B$4:$B$219, "aluguel"))*(IFERROR(SUMIFS('03_Base_Vendas'!$I$4:$I$387, '03_Base_Vendas'!$A$4:$A$387, U$85, '03_Base_Vendas'!$C$4:$C$387, "haircare")/SUMIFS('03_Base_Vendas'!$I$4:$I$387, '03_Base_Vendas'!$A$4:$A$387, U$85),0))</f>
        <v>1255.3205391387028</v>
      </c>
      <c r="V94" s="42">
        <f>(SUMIFS('04_Base_Despesas'!$D$4:$D$219, '04_Base_Despesas'!$A$4:$A$219, V$85, '04_Base_Despesas'!$B$4:$B$219, "aluguel"))*(IFERROR(SUMIFS('03_Base_Vendas'!$I$4:$I$387, '03_Base_Vendas'!$A$4:$A$387, V$85, '03_Base_Vendas'!$C$4:$C$387, "haircare")/SUMIFS('03_Base_Vendas'!$I$4:$I$387, '03_Base_Vendas'!$A$4:$A$387, V$85),0))</f>
        <v>1524.1172734337972</v>
      </c>
      <c r="W94" s="42">
        <f>(SUMIFS('04_Base_Despesas'!$D$4:$D$219, '04_Base_Despesas'!$A$4:$A$219, W$85, '04_Base_Despesas'!$B$4:$B$219, "aluguel"))*(IFERROR(SUMIFS('03_Base_Vendas'!$I$4:$I$387, '03_Base_Vendas'!$A$4:$A$387, W$85, '03_Base_Vendas'!$C$4:$C$387, "haircare")/SUMIFS('03_Base_Vendas'!$I$4:$I$387, '03_Base_Vendas'!$A$4:$A$387, W$85),0))</f>
        <v>1374.1690540097288</v>
      </c>
      <c r="X94" s="42">
        <f>(SUMIFS('04_Base_Despesas'!$D$4:$D$219, '04_Base_Despesas'!$A$4:$A$219, X$85, '04_Base_Despesas'!$B$4:$B$219, "aluguel"))*(IFERROR(SUMIFS('03_Base_Vendas'!$I$4:$I$387, '03_Base_Vendas'!$A$4:$A$387, X$85, '03_Base_Vendas'!$C$4:$C$387, "haircare")/SUMIFS('03_Base_Vendas'!$I$4:$I$387, '03_Base_Vendas'!$A$4:$A$387, X$85),0))</f>
        <v>1543.8502701145887</v>
      </c>
      <c r="Y94" s="42">
        <f>(SUMIFS('04_Base_Despesas'!$D$4:$D$219, '04_Base_Despesas'!$A$4:$A$219, Y$85, '04_Base_Despesas'!$B$4:$B$219, "aluguel"))*(IFERROR(SUMIFS('03_Base_Vendas'!$I$4:$I$387, '03_Base_Vendas'!$A$4:$A$387, Y$85, '03_Base_Vendas'!$C$4:$C$387, "haircare")/SUMIFS('03_Base_Vendas'!$I$4:$I$387, '03_Base_Vendas'!$A$4:$A$387, Y$85),0))</f>
        <v>1189.3353574331302</v>
      </c>
      <c r="Z94" s="43">
        <f t="shared" si="37"/>
        <v>29903.689953346362</v>
      </c>
    </row>
    <row r="95" spans="1:26" x14ac:dyDescent="0.25">
      <c r="A95" s="41" t="s">
        <v>340</v>
      </c>
      <c r="B95" s="42">
        <f>(SUMIFS('04_Base_Despesas'!$D$4:$D$219, '04_Base_Despesas'!$A$4:$A$219, B$85, '04_Base_Despesas'!$B$4:$B$219, "marketing"))*(IFERROR(SUMIFS('03_Base_Vendas'!$I$4:$I$387, '03_Base_Vendas'!$A$4:$A$387, B$85, '03_Base_Vendas'!$C$4:$C$387, "haircare")/SUMIFS('03_Base_Vendas'!$I$4:$I$387, '03_Base_Vendas'!$A$4:$A$387, B$85),0))</f>
        <v>2044.5255603322573</v>
      </c>
      <c r="C95" s="42">
        <f>(SUMIFS('04_Base_Despesas'!$D$4:$D$219, '04_Base_Despesas'!$A$4:$A$219, C$85, '04_Base_Despesas'!$B$4:$B$219, "marketing"))*(IFERROR(SUMIFS('03_Base_Vendas'!$I$4:$I$387, '03_Base_Vendas'!$A$4:$A$387, C$85, '03_Base_Vendas'!$C$4:$C$387, "haircare")/SUMIFS('03_Base_Vendas'!$I$4:$I$387, '03_Base_Vendas'!$A$4:$A$387, C$85),0))</f>
        <v>1016.5971696756114</v>
      </c>
      <c r="D95" s="42">
        <f>(SUMIFS('04_Base_Despesas'!$D$4:$D$219, '04_Base_Despesas'!$A$4:$A$219, D$85, '04_Base_Despesas'!$B$4:$B$219, "marketing"))*(IFERROR(SUMIFS('03_Base_Vendas'!$I$4:$I$387, '03_Base_Vendas'!$A$4:$A$387, D$85, '03_Base_Vendas'!$C$4:$C$387, "haircare")/SUMIFS('03_Base_Vendas'!$I$4:$I$387, '03_Base_Vendas'!$A$4:$A$387, D$85),0))</f>
        <v>1359.7980129255536</v>
      </c>
      <c r="E95" s="42">
        <f>(SUMIFS('04_Base_Despesas'!$D$4:$D$219, '04_Base_Despesas'!$A$4:$A$219, E$85, '04_Base_Despesas'!$B$4:$B$219, "marketing"))*(IFERROR(SUMIFS('03_Base_Vendas'!$I$4:$I$387, '03_Base_Vendas'!$A$4:$A$387, E$85, '03_Base_Vendas'!$C$4:$C$387, "haircare")/SUMIFS('03_Base_Vendas'!$I$4:$I$387, '03_Base_Vendas'!$A$4:$A$387, E$85),0))</f>
        <v>1200.8516645944217</v>
      </c>
      <c r="F95" s="42">
        <f>(SUMIFS('04_Base_Despesas'!$D$4:$D$219, '04_Base_Despesas'!$A$4:$A$219, F$85, '04_Base_Despesas'!$B$4:$B$219, "marketing"))*(IFERROR(SUMIFS('03_Base_Vendas'!$I$4:$I$387, '03_Base_Vendas'!$A$4:$A$387, F$85, '03_Base_Vendas'!$C$4:$C$387, "haircare")/SUMIFS('03_Base_Vendas'!$I$4:$I$387, '03_Base_Vendas'!$A$4:$A$387, F$85),0))</f>
        <v>2192.5078216951433</v>
      </c>
      <c r="G95" s="42">
        <f>(SUMIFS('04_Base_Despesas'!$D$4:$D$219, '04_Base_Despesas'!$A$4:$A$219, G$85, '04_Base_Despesas'!$B$4:$B$219, "marketing"))*(IFERROR(SUMIFS('03_Base_Vendas'!$I$4:$I$387, '03_Base_Vendas'!$A$4:$A$387, G$85, '03_Base_Vendas'!$C$4:$C$387, "haircare")/SUMIFS('03_Base_Vendas'!$I$4:$I$387, '03_Base_Vendas'!$A$4:$A$387, G$85),0))</f>
        <v>2211.9515745202607</v>
      </c>
      <c r="H95" s="42">
        <f>(SUMIFS('04_Base_Despesas'!$D$4:$D$219, '04_Base_Despesas'!$A$4:$A$219, H$85, '04_Base_Despesas'!$B$4:$B$219, "marketing"))*(IFERROR(SUMIFS('03_Base_Vendas'!$I$4:$I$387, '03_Base_Vendas'!$A$4:$A$387, H$85, '03_Base_Vendas'!$C$4:$C$387, "haircare")/SUMIFS('03_Base_Vendas'!$I$4:$I$387, '03_Base_Vendas'!$A$4:$A$387, H$85),0))</f>
        <v>1591.7994539974197</v>
      </c>
      <c r="I95" s="42">
        <f>(SUMIFS('04_Base_Despesas'!$D$4:$D$219, '04_Base_Despesas'!$A$4:$A$219, I$85, '04_Base_Despesas'!$B$4:$B$219, "marketing"))*(IFERROR(SUMIFS('03_Base_Vendas'!$I$4:$I$387, '03_Base_Vendas'!$A$4:$A$387, I$85, '03_Base_Vendas'!$C$4:$C$387, "haircare")/SUMIFS('03_Base_Vendas'!$I$4:$I$387, '03_Base_Vendas'!$A$4:$A$387, I$85),0))</f>
        <v>1830.3284532106825</v>
      </c>
      <c r="J95" s="42">
        <f>(SUMIFS('04_Base_Despesas'!$D$4:$D$219, '04_Base_Despesas'!$A$4:$A$219, J$85, '04_Base_Despesas'!$B$4:$B$219, "marketing"))*(IFERROR(SUMIFS('03_Base_Vendas'!$I$4:$I$387, '03_Base_Vendas'!$A$4:$A$387, J$85, '03_Base_Vendas'!$C$4:$C$387, "haircare")/SUMIFS('03_Base_Vendas'!$I$4:$I$387, '03_Base_Vendas'!$A$4:$A$387, J$85),0))</f>
        <v>1997.233709284003</v>
      </c>
      <c r="K95" s="42">
        <f>(SUMIFS('04_Base_Despesas'!$D$4:$D$219, '04_Base_Despesas'!$A$4:$A$219, K$85, '04_Base_Despesas'!$B$4:$B$219, "marketing"))*(IFERROR(SUMIFS('03_Base_Vendas'!$I$4:$I$387, '03_Base_Vendas'!$A$4:$A$387, K$85, '03_Base_Vendas'!$C$4:$C$387, "haircare")/SUMIFS('03_Base_Vendas'!$I$4:$I$387, '03_Base_Vendas'!$A$4:$A$387, K$85),0))</f>
        <v>1730.6684723253286</v>
      </c>
      <c r="L95" s="42">
        <f>(SUMIFS('04_Base_Despesas'!$D$4:$D$219, '04_Base_Despesas'!$A$4:$A$219, L$85, '04_Base_Despesas'!$B$4:$B$219, "marketing"))*(IFERROR(SUMIFS('03_Base_Vendas'!$I$4:$I$387, '03_Base_Vendas'!$A$4:$A$387, L$85, '03_Base_Vendas'!$C$4:$C$387, "haircare")/SUMIFS('03_Base_Vendas'!$I$4:$I$387, '03_Base_Vendas'!$A$4:$A$387, L$85),0))</f>
        <v>1844.1600469079099</v>
      </c>
      <c r="M95" s="42">
        <f>(SUMIFS('04_Base_Despesas'!$D$4:$D$219, '04_Base_Despesas'!$A$4:$A$219, M$85, '04_Base_Despesas'!$B$4:$B$219, "marketing"))*(IFERROR(SUMIFS('03_Base_Vendas'!$I$4:$I$387, '03_Base_Vendas'!$A$4:$A$387, M$85, '03_Base_Vendas'!$C$4:$C$387, "haircare")/SUMIFS('03_Base_Vendas'!$I$4:$I$387, '03_Base_Vendas'!$A$4:$A$387, M$85),0))</f>
        <v>2300.2849184296269</v>
      </c>
      <c r="N95" s="42">
        <f>(SUMIFS('04_Base_Despesas'!$D$4:$D$219, '04_Base_Despesas'!$A$4:$A$219, N$85, '04_Base_Despesas'!$B$4:$B$219, "marketing"))*(IFERROR(SUMIFS('03_Base_Vendas'!$I$4:$I$387, '03_Base_Vendas'!$A$4:$A$387, N$85, '03_Base_Vendas'!$C$4:$C$387, "haircare")/SUMIFS('03_Base_Vendas'!$I$4:$I$387, '03_Base_Vendas'!$A$4:$A$387, N$85),0))</f>
        <v>2032.1541996358833</v>
      </c>
      <c r="O95" s="42">
        <f>(SUMIFS('04_Base_Despesas'!$D$4:$D$219, '04_Base_Despesas'!$A$4:$A$219, O$85, '04_Base_Despesas'!$B$4:$B$219, "marketing"))*(IFERROR(SUMIFS('03_Base_Vendas'!$I$4:$I$387, '03_Base_Vendas'!$A$4:$A$387, O$85, '03_Base_Vendas'!$C$4:$C$387, "haircare")/SUMIFS('03_Base_Vendas'!$I$4:$I$387, '03_Base_Vendas'!$A$4:$A$387, O$85),0))</f>
        <v>1589.882567064526</v>
      </c>
      <c r="P95" s="42">
        <f>(SUMIFS('04_Base_Despesas'!$D$4:$D$219, '04_Base_Despesas'!$A$4:$A$219, P$85, '04_Base_Despesas'!$B$4:$B$219, "marketing"))*(IFERROR(SUMIFS('03_Base_Vendas'!$I$4:$I$387, '03_Base_Vendas'!$A$4:$A$387, P$85, '03_Base_Vendas'!$C$4:$C$387, "haircare")/SUMIFS('03_Base_Vendas'!$I$4:$I$387, '03_Base_Vendas'!$A$4:$A$387, P$85),0))</f>
        <v>2069.4718998029844</v>
      </c>
      <c r="Q95" s="42">
        <f>(SUMIFS('04_Base_Despesas'!$D$4:$D$219, '04_Base_Despesas'!$A$4:$A$219, Q$85, '04_Base_Despesas'!$B$4:$B$219, "marketing"))*(IFERROR(SUMIFS('03_Base_Vendas'!$I$4:$I$387, '03_Base_Vendas'!$A$4:$A$387, Q$85, '03_Base_Vendas'!$C$4:$C$387, "haircare")/SUMIFS('03_Base_Vendas'!$I$4:$I$387, '03_Base_Vendas'!$A$4:$A$387, Q$85),0))</f>
        <v>1749.4064187932947</v>
      </c>
      <c r="R95" s="42">
        <f>(SUMIFS('04_Base_Despesas'!$D$4:$D$219, '04_Base_Despesas'!$A$4:$A$219, R$85, '04_Base_Despesas'!$B$4:$B$219, "marketing"))*(IFERROR(SUMIFS('03_Base_Vendas'!$I$4:$I$387, '03_Base_Vendas'!$A$4:$A$387, R$85, '03_Base_Vendas'!$C$4:$C$387, "haircare")/SUMIFS('03_Base_Vendas'!$I$4:$I$387, '03_Base_Vendas'!$A$4:$A$387, R$85),0))</f>
        <v>2841.1342700022492</v>
      </c>
      <c r="S95" s="42">
        <f>(SUMIFS('04_Base_Despesas'!$D$4:$D$219, '04_Base_Despesas'!$A$4:$A$219, S$85, '04_Base_Despesas'!$B$4:$B$219, "marketing"))*(IFERROR(SUMIFS('03_Base_Vendas'!$I$4:$I$387, '03_Base_Vendas'!$A$4:$A$387, S$85, '03_Base_Vendas'!$C$4:$C$387, "haircare")/SUMIFS('03_Base_Vendas'!$I$4:$I$387, '03_Base_Vendas'!$A$4:$A$387, S$85),0))</f>
        <v>2209.2902106240617</v>
      </c>
      <c r="T95" s="42">
        <f>(SUMIFS('04_Base_Despesas'!$D$4:$D$219, '04_Base_Despesas'!$A$4:$A$219, T$85, '04_Base_Despesas'!$B$4:$B$219, "marketing"))*(IFERROR(SUMIFS('03_Base_Vendas'!$I$4:$I$387, '03_Base_Vendas'!$A$4:$A$387, T$85, '03_Base_Vendas'!$C$4:$C$387, "haircare")/SUMIFS('03_Base_Vendas'!$I$4:$I$387, '03_Base_Vendas'!$A$4:$A$387, T$85),0))</f>
        <v>1718.1092210471872</v>
      </c>
      <c r="U95" s="42">
        <f>(SUMIFS('04_Base_Despesas'!$D$4:$D$219, '04_Base_Despesas'!$A$4:$A$219, U$85, '04_Base_Despesas'!$B$4:$B$219, "marketing"))*(IFERROR(SUMIFS('03_Base_Vendas'!$I$4:$I$387, '03_Base_Vendas'!$A$4:$A$387, U$85, '03_Base_Vendas'!$C$4:$C$387, "haircare")/SUMIFS('03_Base_Vendas'!$I$4:$I$387, '03_Base_Vendas'!$A$4:$A$387, U$85),0))</f>
        <v>1716.6508372721762</v>
      </c>
      <c r="V95" s="42">
        <f>(SUMIFS('04_Base_Despesas'!$D$4:$D$219, '04_Base_Despesas'!$A$4:$A$219, V$85, '04_Base_Despesas'!$B$4:$B$219, "marketing"))*(IFERROR(SUMIFS('03_Base_Vendas'!$I$4:$I$387, '03_Base_Vendas'!$A$4:$A$387, V$85, '03_Base_Vendas'!$C$4:$C$387, "haircare")/SUMIFS('03_Base_Vendas'!$I$4:$I$387, '03_Base_Vendas'!$A$4:$A$387, V$85),0))</f>
        <v>1895.4371625934871</v>
      </c>
      <c r="W95" s="42">
        <f>(SUMIFS('04_Base_Despesas'!$D$4:$D$219, '04_Base_Despesas'!$A$4:$A$219, W$85, '04_Base_Despesas'!$B$4:$B$219, "marketing"))*(IFERROR(SUMIFS('03_Base_Vendas'!$I$4:$I$387, '03_Base_Vendas'!$A$4:$A$387, W$85, '03_Base_Vendas'!$C$4:$C$387, "haircare")/SUMIFS('03_Base_Vendas'!$I$4:$I$387, '03_Base_Vendas'!$A$4:$A$387, W$85),0))</f>
        <v>2190.217176992795</v>
      </c>
      <c r="X95" s="42">
        <f>(SUMIFS('04_Base_Despesas'!$D$4:$D$219, '04_Base_Despesas'!$A$4:$A$219, X$85, '04_Base_Despesas'!$B$4:$B$219, "marketing"))*(IFERROR(SUMIFS('03_Base_Vendas'!$I$4:$I$387, '03_Base_Vendas'!$A$4:$A$387, X$85, '03_Base_Vendas'!$C$4:$C$387, "haircare")/SUMIFS('03_Base_Vendas'!$I$4:$I$387, '03_Base_Vendas'!$A$4:$A$387, X$85),0))</f>
        <v>2783.9878146700453</v>
      </c>
      <c r="Y95" s="42">
        <f>(SUMIFS('04_Base_Despesas'!$D$4:$D$219, '04_Base_Despesas'!$A$4:$A$219, Y$85, '04_Base_Despesas'!$B$4:$B$219, "marketing"))*(IFERROR(SUMIFS('03_Base_Vendas'!$I$4:$I$387, '03_Base_Vendas'!$A$4:$A$387, Y$85, '03_Base_Vendas'!$C$4:$C$387, "haircare")/SUMIFS('03_Base_Vendas'!$I$4:$I$387, '03_Base_Vendas'!$A$4:$A$387, Y$85),0))</f>
        <v>1769.0994278771116</v>
      </c>
      <c r="Z95" s="43">
        <f t="shared" si="37"/>
        <v>45885.548064274029</v>
      </c>
    </row>
    <row r="96" spans="1:26" x14ac:dyDescent="0.25">
      <c r="A96" s="41" t="s">
        <v>341</v>
      </c>
      <c r="B96" s="42">
        <f>(SUMIFS('04_Base_Despesas'!$D$4:$D$219, '04_Base_Despesas'!$A$4:$A$219, B$85, '04_Base_Despesas'!$B$4:$B$219, "logistica"))*(IFERROR(SUMIFS('03_Base_Vendas'!$I$4:$I$387, '03_Base_Vendas'!$A$4:$A$387, B$85, '03_Base_Vendas'!$C$4:$C$387, "haircare")/SUMIFS('03_Base_Vendas'!$I$4:$I$387, '03_Base_Vendas'!$A$4:$A$387, B$85),0))</f>
        <v>1030.3686439302464</v>
      </c>
      <c r="C96" s="42">
        <f>(SUMIFS('04_Base_Despesas'!$D$4:$D$219, '04_Base_Despesas'!$A$4:$A$219, C$85, '04_Base_Despesas'!$B$4:$B$219, "logistica"))*(IFERROR(SUMIFS('03_Base_Vendas'!$I$4:$I$387, '03_Base_Vendas'!$A$4:$A$387, C$85, '03_Base_Vendas'!$C$4:$C$387, "haircare")/SUMIFS('03_Base_Vendas'!$I$4:$I$387, '03_Base_Vendas'!$A$4:$A$387, C$85),0))</f>
        <v>766.5824322215675</v>
      </c>
      <c r="D96" s="42">
        <f>(SUMIFS('04_Base_Despesas'!$D$4:$D$219, '04_Base_Despesas'!$A$4:$A$219, D$85, '04_Base_Despesas'!$B$4:$B$219, "logistica"))*(IFERROR(SUMIFS('03_Base_Vendas'!$I$4:$I$387, '03_Base_Vendas'!$A$4:$A$387, D$85, '03_Base_Vendas'!$C$4:$C$387, "haircare")/SUMIFS('03_Base_Vendas'!$I$4:$I$387, '03_Base_Vendas'!$A$4:$A$387, D$85),0))</f>
        <v>1207.9943903661888</v>
      </c>
      <c r="E96" s="42">
        <f>(SUMIFS('04_Base_Despesas'!$D$4:$D$219, '04_Base_Despesas'!$A$4:$A$219, E$85, '04_Base_Despesas'!$B$4:$B$219, "logistica"))*(IFERROR(SUMIFS('03_Base_Vendas'!$I$4:$I$387, '03_Base_Vendas'!$A$4:$A$387, E$85, '03_Base_Vendas'!$C$4:$C$387, "haircare")/SUMIFS('03_Base_Vendas'!$I$4:$I$387, '03_Base_Vendas'!$A$4:$A$387, E$85),0))</f>
        <v>1054.0229749808607</v>
      </c>
      <c r="F96" s="42">
        <f>(SUMIFS('04_Base_Despesas'!$D$4:$D$219, '04_Base_Despesas'!$A$4:$A$219, F$85, '04_Base_Despesas'!$B$4:$B$219, "logistica"))*(IFERROR(SUMIFS('03_Base_Vendas'!$I$4:$I$387, '03_Base_Vendas'!$A$4:$A$387, F$85, '03_Base_Vendas'!$C$4:$C$387, "haircare")/SUMIFS('03_Base_Vendas'!$I$4:$I$387, '03_Base_Vendas'!$A$4:$A$387, F$85),0))</f>
        <v>1264.9173325155355</v>
      </c>
      <c r="G96" s="42">
        <f>(SUMIFS('04_Base_Despesas'!$D$4:$D$219, '04_Base_Despesas'!$A$4:$A$219, G$85, '04_Base_Despesas'!$B$4:$B$219, "logistica"))*(IFERROR(SUMIFS('03_Base_Vendas'!$I$4:$I$387, '03_Base_Vendas'!$A$4:$A$387, G$85, '03_Base_Vendas'!$C$4:$C$387, "haircare")/SUMIFS('03_Base_Vendas'!$I$4:$I$387, '03_Base_Vendas'!$A$4:$A$387, G$85),0))</f>
        <v>1176.1026447638292</v>
      </c>
      <c r="H96" s="42">
        <f>(SUMIFS('04_Base_Despesas'!$D$4:$D$219, '04_Base_Despesas'!$A$4:$A$219, H$85, '04_Base_Despesas'!$B$4:$B$219, "logistica"))*(IFERROR(SUMIFS('03_Base_Vendas'!$I$4:$I$387, '03_Base_Vendas'!$A$4:$A$387, H$85, '03_Base_Vendas'!$C$4:$C$387, "haircare")/SUMIFS('03_Base_Vendas'!$I$4:$I$387, '03_Base_Vendas'!$A$4:$A$387, H$85),0))</f>
        <v>1718.3675183062326</v>
      </c>
      <c r="I96" s="42">
        <f>(SUMIFS('04_Base_Despesas'!$D$4:$D$219, '04_Base_Despesas'!$A$4:$A$219, I$85, '04_Base_Despesas'!$B$4:$B$219, "logistica"))*(IFERROR(SUMIFS('03_Base_Vendas'!$I$4:$I$387, '03_Base_Vendas'!$A$4:$A$387, I$85, '03_Base_Vendas'!$C$4:$C$387, "haircare")/SUMIFS('03_Base_Vendas'!$I$4:$I$387, '03_Base_Vendas'!$A$4:$A$387, I$85),0))</f>
        <v>1532.3113941316403</v>
      </c>
      <c r="J96" s="42">
        <f>(SUMIFS('04_Base_Despesas'!$D$4:$D$219, '04_Base_Despesas'!$A$4:$A$219, J$85, '04_Base_Despesas'!$B$4:$B$219, "logistica"))*(IFERROR(SUMIFS('03_Base_Vendas'!$I$4:$I$387, '03_Base_Vendas'!$A$4:$A$387, J$85, '03_Base_Vendas'!$C$4:$C$387, "haircare")/SUMIFS('03_Base_Vendas'!$I$4:$I$387, '03_Base_Vendas'!$A$4:$A$387, J$85),0))</f>
        <v>1511.3323562546243</v>
      </c>
      <c r="K96" s="42">
        <f>(SUMIFS('04_Base_Despesas'!$D$4:$D$219, '04_Base_Despesas'!$A$4:$A$219, K$85, '04_Base_Despesas'!$B$4:$B$219, "logistica"))*(IFERROR(SUMIFS('03_Base_Vendas'!$I$4:$I$387, '03_Base_Vendas'!$A$4:$A$387, K$85, '03_Base_Vendas'!$C$4:$C$387, "haircare")/SUMIFS('03_Base_Vendas'!$I$4:$I$387, '03_Base_Vendas'!$A$4:$A$387, K$85),0))</f>
        <v>1213.289232599182</v>
      </c>
      <c r="L96" s="42">
        <f>(SUMIFS('04_Base_Despesas'!$D$4:$D$219, '04_Base_Despesas'!$A$4:$A$219, L$85, '04_Base_Despesas'!$B$4:$B$219, "logistica"))*(IFERROR(SUMIFS('03_Base_Vendas'!$I$4:$I$387, '03_Base_Vendas'!$A$4:$A$387, L$85, '03_Base_Vendas'!$C$4:$C$387, "haircare")/SUMIFS('03_Base_Vendas'!$I$4:$I$387, '03_Base_Vendas'!$A$4:$A$387, L$85),0))</f>
        <v>1175.2445407394489</v>
      </c>
      <c r="M96" s="42">
        <f>(SUMIFS('04_Base_Despesas'!$D$4:$D$219, '04_Base_Despesas'!$A$4:$A$219, M$85, '04_Base_Despesas'!$B$4:$B$219, "logistica"))*(IFERROR(SUMIFS('03_Base_Vendas'!$I$4:$I$387, '03_Base_Vendas'!$A$4:$A$387, M$85, '03_Base_Vendas'!$C$4:$C$387, "haircare")/SUMIFS('03_Base_Vendas'!$I$4:$I$387, '03_Base_Vendas'!$A$4:$A$387, M$85),0))</f>
        <v>1254.7806832474587</v>
      </c>
      <c r="N96" s="42">
        <f>(SUMIFS('04_Base_Despesas'!$D$4:$D$219, '04_Base_Despesas'!$A$4:$A$219, N$85, '04_Base_Despesas'!$B$4:$B$219, "logistica"))*(IFERROR(SUMIFS('03_Base_Vendas'!$I$4:$I$387, '03_Base_Vendas'!$A$4:$A$387, N$85, '03_Base_Vendas'!$C$4:$C$387, "haircare")/SUMIFS('03_Base_Vendas'!$I$4:$I$387, '03_Base_Vendas'!$A$4:$A$387, N$85),0))</f>
        <v>1278.4091287031529</v>
      </c>
      <c r="O96" s="42">
        <f>(SUMIFS('04_Base_Despesas'!$D$4:$D$219, '04_Base_Despesas'!$A$4:$A$219, O$85, '04_Base_Despesas'!$B$4:$B$219, "logistica"))*(IFERROR(SUMIFS('03_Base_Vendas'!$I$4:$I$387, '03_Base_Vendas'!$A$4:$A$387, O$85, '03_Base_Vendas'!$C$4:$C$387, "haircare")/SUMIFS('03_Base_Vendas'!$I$4:$I$387, '03_Base_Vendas'!$A$4:$A$387, O$85),0))</f>
        <v>1363.1383252375608</v>
      </c>
      <c r="P96" s="42">
        <f>(SUMIFS('04_Base_Despesas'!$D$4:$D$219, '04_Base_Despesas'!$A$4:$A$219, P$85, '04_Base_Despesas'!$B$4:$B$219, "logistica"))*(IFERROR(SUMIFS('03_Base_Vendas'!$I$4:$I$387, '03_Base_Vendas'!$A$4:$A$387, P$85, '03_Base_Vendas'!$C$4:$C$387, "haircare")/SUMIFS('03_Base_Vendas'!$I$4:$I$387, '03_Base_Vendas'!$A$4:$A$387, P$85),0))</f>
        <v>1449.044864745196</v>
      </c>
      <c r="Q96" s="42">
        <f>(SUMIFS('04_Base_Despesas'!$D$4:$D$219, '04_Base_Despesas'!$A$4:$A$219, Q$85, '04_Base_Despesas'!$B$4:$B$219, "logistica"))*(IFERROR(SUMIFS('03_Base_Vendas'!$I$4:$I$387, '03_Base_Vendas'!$A$4:$A$387, Q$85, '03_Base_Vendas'!$C$4:$C$387, "haircare")/SUMIFS('03_Base_Vendas'!$I$4:$I$387, '03_Base_Vendas'!$A$4:$A$387, Q$85),0))</f>
        <v>1367.1993844754611</v>
      </c>
      <c r="R96" s="42">
        <f>(SUMIFS('04_Base_Despesas'!$D$4:$D$219, '04_Base_Despesas'!$A$4:$A$219, R$85, '04_Base_Despesas'!$B$4:$B$219, "logistica"))*(IFERROR(SUMIFS('03_Base_Vendas'!$I$4:$I$387, '03_Base_Vendas'!$A$4:$A$387, R$85, '03_Base_Vendas'!$C$4:$C$387, "haircare")/SUMIFS('03_Base_Vendas'!$I$4:$I$387, '03_Base_Vendas'!$A$4:$A$387, R$85),0))</f>
        <v>1428.1750983633742</v>
      </c>
      <c r="S96" s="42">
        <f>(SUMIFS('04_Base_Despesas'!$D$4:$D$219, '04_Base_Despesas'!$A$4:$A$219, S$85, '04_Base_Despesas'!$B$4:$B$219, "logistica"))*(IFERROR(SUMIFS('03_Base_Vendas'!$I$4:$I$387, '03_Base_Vendas'!$A$4:$A$387, S$85, '03_Base_Vendas'!$C$4:$C$387, "haircare")/SUMIFS('03_Base_Vendas'!$I$4:$I$387, '03_Base_Vendas'!$A$4:$A$387, S$85),0))</f>
        <v>1432.8411801105863</v>
      </c>
      <c r="T96" s="42">
        <f>(SUMIFS('04_Base_Despesas'!$D$4:$D$219, '04_Base_Despesas'!$A$4:$A$219, T$85, '04_Base_Despesas'!$B$4:$B$219, "logistica"))*(IFERROR(SUMIFS('03_Base_Vendas'!$I$4:$I$387, '03_Base_Vendas'!$A$4:$A$387, T$85, '03_Base_Vendas'!$C$4:$C$387, "haircare")/SUMIFS('03_Base_Vendas'!$I$4:$I$387, '03_Base_Vendas'!$A$4:$A$387, T$85),0))</f>
        <v>1166.3522249164425</v>
      </c>
      <c r="U96" s="42">
        <f>(SUMIFS('04_Base_Despesas'!$D$4:$D$219, '04_Base_Despesas'!$A$4:$A$219, U$85, '04_Base_Despesas'!$B$4:$B$219, "logistica"))*(IFERROR(SUMIFS('03_Base_Vendas'!$I$4:$I$387, '03_Base_Vendas'!$A$4:$A$387, U$85, '03_Base_Vendas'!$C$4:$C$387, "haircare")/SUMIFS('03_Base_Vendas'!$I$4:$I$387, '03_Base_Vendas'!$A$4:$A$387, U$85),0))</f>
        <v>1299.6188188798458</v>
      </c>
      <c r="V96" s="42">
        <f>(SUMIFS('04_Base_Despesas'!$D$4:$D$219, '04_Base_Despesas'!$A$4:$A$219, V$85, '04_Base_Despesas'!$B$4:$B$219, "logistica"))*(IFERROR(SUMIFS('03_Base_Vendas'!$I$4:$I$387, '03_Base_Vendas'!$A$4:$A$387, V$85, '03_Base_Vendas'!$C$4:$C$387, "haircare")/SUMIFS('03_Base_Vendas'!$I$4:$I$387, '03_Base_Vendas'!$A$4:$A$387, V$85),0))</f>
        <v>1454.938392559623</v>
      </c>
      <c r="W96" s="42">
        <f>(SUMIFS('04_Base_Despesas'!$D$4:$D$219, '04_Base_Despesas'!$A$4:$A$219, W$85, '04_Base_Despesas'!$B$4:$B$219, "logistica"))*(IFERROR(SUMIFS('03_Base_Vendas'!$I$4:$I$387, '03_Base_Vendas'!$A$4:$A$387, W$85, '03_Base_Vendas'!$C$4:$C$387, "haircare")/SUMIFS('03_Base_Vendas'!$I$4:$I$387, '03_Base_Vendas'!$A$4:$A$387, W$85),0))</f>
        <v>1384.5823624516404</v>
      </c>
      <c r="X96" s="42">
        <f>(SUMIFS('04_Base_Despesas'!$D$4:$D$219, '04_Base_Despesas'!$A$4:$A$219, X$85, '04_Base_Despesas'!$B$4:$B$219, "logistica"))*(IFERROR(SUMIFS('03_Base_Vendas'!$I$4:$I$387, '03_Base_Vendas'!$A$4:$A$387, X$85, '03_Base_Vendas'!$C$4:$C$387, "haircare")/SUMIFS('03_Base_Vendas'!$I$4:$I$387, '03_Base_Vendas'!$A$4:$A$387, X$85),0))</f>
        <v>1655.3373859889796</v>
      </c>
      <c r="Y96" s="42">
        <f>(SUMIFS('04_Base_Despesas'!$D$4:$D$219, '04_Base_Despesas'!$A$4:$A$219, Y$85, '04_Base_Despesas'!$B$4:$B$219, "logistica"))*(IFERROR(SUMIFS('03_Base_Vendas'!$I$4:$I$387, '03_Base_Vendas'!$A$4:$A$387, Y$85, '03_Base_Vendas'!$C$4:$C$387, "haircare")/SUMIFS('03_Base_Vendas'!$I$4:$I$387, '03_Base_Vendas'!$A$4:$A$387, Y$85),0))</f>
        <v>1164.6923547671186</v>
      </c>
      <c r="Z96" s="43">
        <f t="shared" si="37"/>
        <v>31349.643665255797</v>
      </c>
    </row>
    <row r="97" spans="1:26" x14ac:dyDescent="0.25">
      <c r="A97" s="41" t="s">
        <v>342</v>
      </c>
      <c r="B97" s="42">
        <f>(SUMIFS('04_Base_Despesas'!$D$4:$D$219, '04_Base_Despesas'!$A$4:$A$219, B$85, '04_Base_Despesas'!$B$4:$B$219, "tecnologia"))*(IFERROR(SUMIFS('03_Base_Vendas'!$I$4:$I$387, '03_Base_Vendas'!$A$4:$A$387, B$85, '03_Base_Vendas'!$C$4:$C$387, "haircare")/SUMIFS('03_Base_Vendas'!$I$4:$I$387, '03_Base_Vendas'!$A$4:$A$387, B$85),0))</f>
        <v>769.29235346247208</v>
      </c>
      <c r="C97" s="42">
        <f>(SUMIFS('04_Base_Despesas'!$D$4:$D$219, '04_Base_Despesas'!$A$4:$A$219, C$85, '04_Base_Despesas'!$B$4:$B$219, "tecnologia"))*(IFERROR(SUMIFS('03_Base_Vendas'!$I$4:$I$387, '03_Base_Vendas'!$A$4:$A$387, C$85, '03_Base_Vendas'!$C$4:$C$387, "haircare")/SUMIFS('03_Base_Vendas'!$I$4:$I$387, '03_Base_Vendas'!$A$4:$A$387, C$85),0))</f>
        <v>553.73956777041428</v>
      </c>
      <c r="D97" s="42">
        <f>(SUMIFS('04_Base_Despesas'!$D$4:$D$219, '04_Base_Despesas'!$A$4:$A$219, D$85, '04_Base_Despesas'!$B$4:$B$219, "tecnologia"))*(IFERROR(SUMIFS('03_Base_Vendas'!$I$4:$I$387, '03_Base_Vendas'!$A$4:$A$387, D$85, '03_Base_Vendas'!$C$4:$C$387, "haircare")/SUMIFS('03_Base_Vendas'!$I$4:$I$387, '03_Base_Vendas'!$A$4:$A$387, D$85),0))</f>
        <v>823.10667976710317</v>
      </c>
      <c r="E97" s="42">
        <f>(SUMIFS('04_Base_Despesas'!$D$4:$D$219, '04_Base_Despesas'!$A$4:$A$219, E$85, '04_Base_Despesas'!$B$4:$B$219, "tecnologia"))*(IFERROR(SUMIFS('03_Base_Vendas'!$I$4:$I$387, '03_Base_Vendas'!$A$4:$A$387, E$85, '03_Base_Vendas'!$C$4:$C$387, "haircare")/SUMIFS('03_Base_Vendas'!$I$4:$I$387, '03_Base_Vendas'!$A$4:$A$387, E$85),0))</f>
        <v>639.58529436082347</v>
      </c>
      <c r="F97" s="42">
        <f>(SUMIFS('04_Base_Despesas'!$D$4:$D$219, '04_Base_Despesas'!$A$4:$A$219, F$85, '04_Base_Despesas'!$B$4:$B$219, "tecnologia"))*(IFERROR(SUMIFS('03_Base_Vendas'!$I$4:$I$387, '03_Base_Vendas'!$A$4:$A$387, F$85, '03_Base_Vendas'!$C$4:$C$387, "haircare")/SUMIFS('03_Base_Vendas'!$I$4:$I$387, '03_Base_Vendas'!$A$4:$A$387, F$85),0))</f>
        <v>844.86189170248997</v>
      </c>
      <c r="G97" s="42">
        <f>(SUMIFS('04_Base_Despesas'!$D$4:$D$219, '04_Base_Despesas'!$A$4:$A$219, G$85, '04_Base_Despesas'!$B$4:$B$219, "tecnologia"))*(IFERROR(SUMIFS('03_Base_Vendas'!$I$4:$I$387, '03_Base_Vendas'!$A$4:$A$387, G$85, '03_Base_Vendas'!$C$4:$C$387, "haircare")/SUMIFS('03_Base_Vendas'!$I$4:$I$387, '03_Base_Vendas'!$A$4:$A$387, G$85),0))</f>
        <v>836.03352073003975</v>
      </c>
      <c r="H97" s="42">
        <f>(SUMIFS('04_Base_Despesas'!$D$4:$D$219, '04_Base_Despesas'!$A$4:$A$219, H$85, '04_Base_Despesas'!$B$4:$B$219, "tecnologia"))*(IFERROR(SUMIFS('03_Base_Vendas'!$I$4:$I$387, '03_Base_Vendas'!$A$4:$A$387, H$85, '03_Base_Vendas'!$C$4:$C$387, "haircare")/SUMIFS('03_Base_Vendas'!$I$4:$I$387, '03_Base_Vendas'!$A$4:$A$387, H$85),0))</f>
        <v>1059.9137361670532</v>
      </c>
      <c r="I97" s="42">
        <f>(SUMIFS('04_Base_Despesas'!$D$4:$D$219, '04_Base_Despesas'!$A$4:$A$219, I$85, '04_Base_Despesas'!$B$4:$B$219, "tecnologia"))*(IFERROR(SUMIFS('03_Base_Vendas'!$I$4:$I$387, '03_Base_Vendas'!$A$4:$A$387, I$85, '03_Base_Vendas'!$C$4:$C$387, "haircare")/SUMIFS('03_Base_Vendas'!$I$4:$I$387, '03_Base_Vendas'!$A$4:$A$387, I$85),0))</f>
        <v>967.87135470699047</v>
      </c>
      <c r="J97" s="42">
        <f>(SUMIFS('04_Base_Despesas'!$D$4:$D$219, '04_Base_Despesas'!$A$4:$A$219, J$85, '04_Base_Despesas'!$B$4:$B$219, "tecnologia"))*(IFERROR(SUMIFS('03_Base_Vendas'!$I$4:$I$387, '03_Base_Vendas'!$A$4:$A$387, J$85, '03_Base_Vendas'!$C$4:$C$387, "haircare")/SUMIFS('03_Base_Vendas'!$I$4:$I$387, '03_Base_Vendas'!$A$4:$A$387, J$85),0))</f>
        <v>949.51136687366795</v>
      </c>
      <c r="K97" s="42">
        <f>(SUMIFS('04_Base_Despesas'!$D$4:$D$219, '04_Base_Despesas'!$A$4:$A$219, K$85, '04_Base_Despesas'!$B$4:$B$219, "tecnologia"))*(IFERROR(SUMIFS('03_Base_Vendas'!$I$4:$I$387, '03_Base_Vendas'!$A$4:$A$387, K$85, '03_Base_Vendas'!$C$4:$C$387, "haircare")/SUMIFS('03_Base_Vendas'!$I$4:$I$387, '03_Base_Vendas'!$A$4:$A$387, K$85),0))</f>
        <v>806.38514387770817</v>
      </c>
      <c r="L97" s="42">
        <f>(SUMIFS('04_Base_Despesas'!$D$4:$D$219, '04_Base_Despesas'!$A$4:$A$219, L$85, '04_Base_Despesas'!$B$4:$B$219, "tecnologia"))*(IFERROR(SUMIFS('03_Base_Vendas'!$I$4:$I$387, '03_Base_Vendas'!$A$4:$A$387, L$85, '03_Base_Vendas'!$C$4:$C$387, "haircare")/SUMIFS('03_Base_Vendas'!$I$4:$I$387, '03_Base_Vendas'!$A$4:$A$387, L$85),0))</f>
        <v>746.73918829336628</v>
      </c>
      <c r="M97" s="42">
        <f>(SUMIFS('04_Base_Despesas'!$D$4:$D$219, '04_Base_Despesas'!$A$4:$A$219, M$85, '04_Base_Despesas'!$B$4:$B$219, "tecnologia"))*(IFERROR(SUMIFS('03_Base_Vendas'!$I$4:$I$387, '03_Base_Vendas'!$A$4:$A$387, M$85, '03_Base_Vendas'!$C$4:$C$387, "haircare")/SUMIFS('03_Base_Vendas'!$I$4:$I$387, '03_Base_Vendas'!$A$4:$A$387, M$85),0))</f>
        <v>826.82402308594203</v>
      </c>
      <c r="N97" s="42">
        <f>(SUMIFS('04_Base_Despesas'!$D$4:$D$219, '04_Base_Despesas'!$A$4:$A$219, N$85, '04_Base_Despesas'!$B$4:$B$219, "tecnologia"))*(IFERROR(SUMIFS('03_Base_Vendas'!$I$4:$I$387, '03_Base_Vendas'!$A$4:$A$387, N$85, '03_Base_Vendas'!$C$4:$C$387, "haircare")/SUMIFS('03_Base_Vendas'!$I$4:$I$387, '03_Base_Vendas'!$A$4:$A$387, N$85),0))</f>
        <v>880.78011960706817</v>
      </c>
      <c r="O97" s="42">
        <f>(SUMIFS('04_Base_Despesas'!$D$4:$D$219, '04_Base_Despesas'!$A$4:$A$219, O$85, '04_Base_Despesas'!$B$4:$B$219, "tecnologia"))*(IFERROR(SUMIFS('03_Base_Vendas'!$I$4:$I$387, '03_Base_Vendas'!$A$4:$A$387, O$85, '03_Base_Vendas'!$C$4:$C$387, "haircare")/SUMIFS('03_Base_Vendas'!$I$4:$I$387, '03_Base_Vendas'!$A$4:$A$387, O$85),0))</f>
        <v>877.382462440062</v>
      </c>
      <c r="P97" s="42">
        <f>(SUMIFS('04_Base_Despesas'!$D$4:$D$219, '04_Base_Despesas'!$A$4:$A$219, P$85, '04_Base_Despesas'!$B$4:$B$219, "tecnologia"))*(IFERROR(SUMIFS('03_Base_Vendas'!$I$4:$I$387, '03_Base_Vendas'!$A$4:$A$387, P$85, '03_Base_Vendas'!$C$4:$C$387, "haircare")/SUMIFS('03_Base_Vendas'!$I$4:$I$387, '03_Base_Vendas'!$A$4:$A$387, P$85),0))</f>
        <v>872.5232035222549</v>
      </c>
      <c r="Q97" s="42">
        <f>(SUMIFS('04_Base_Despesas'!$D$4:$D$219, '04_Base_Despesas'!$A$4:$A$219, Q$85, '04_Base_Despesas'!$B$4:$B$219, "tecnologia"))*(IFERROR(SUMIFS('03_Base_Vendas'!$I$4:$I$387, '03_Base_Vendas'!$A$4:$A$387, Q$85, '03_Base_Vendas'!$C$4:$C$387, "haircare")/SUMIFS('03_Base_Vendas'!$I$4:$I$387, '03_Base_Vendas'!$A$4:$A$387, Q$85),0))</f>
        <v>972.45658137059479</v>
      </c>
      <c r="R97" s="42">
        <f>(SUMIFS('04_Base_Despesas'!$D$4:$D$219, '04_Base_Despesas'!$A$4:$A$219, R$85, '04_Base_Despesas'!$B$4:$B$219, "tecnologia"))*(IFERROR(SUMIFS('03_Base_Vendas'!$I$4:$I$387, '03_Base_Vendas'!$A$4:$A$387, R$85, '03_Base_Vendas'!$C$4:$C$387, "haircare")/SUMIFS('03_Base_Vendas'!$I$4:$I$387, '03_Base_Vendas'!$A$4:$A$387, R$85),0))</f>
        <v>897.65942109758987</v>
      </c>
      <c r="S97" s="42">
        <f>(SUMIFS('04_Base_Despesas'!$D$4:$D$219, '04_Base_Despesas'!$A$4:$A$219, S$85, '04_Base_Despesas'!$B$4:$B$219, "tecnologia"))*(IFERROR(SUMIFS('03_Base_Vendas'!$I$4:$I$387, '03_Base_Vendas'!$A$4:$A$387, S$85, '03_Base_Vendas'!$C$4:$C$387, "haircare")/SUMIFS('03_Base_Vendas'!$I$4:$I$387, '03_Base_Vendas'!$A$4:$A$387, S$85),0))</f>
        <v>985.95095440251839</v>
      </c>
      <c r="T97" s="42">
        <f>(SUMIFS('04_Base_Despesas'!$D$4:$D$219, '04_Base_Despesas'!$A$4:$A$219, T$85, '04_Base_Despesas'!$B$4:$B$219, "tecnologia"))*(IFERROR(SUMIFS('03_Base_Vendas'!$I$4:$I$387, '03_Base_Vendas'!$A$4:$A$387, T$85, '03_Base_Vendas'!$C$4:$C$387, "haircare")/SUMIFS('03_Base_Vendas'!$I$4:$I$387, '03_Base_Vendas'!$A$4:$A$387, T$85),0))</f>
        <v>847.71349062449679</v>
      </c>
      <c r="U97" s="42">
        <f>(SUMIFS('04_Base_Despesas'!$D$4:$D$219, '04_Base_Despesas'!$A$4:$A$219, U$85, '04_Base_Despesas'!$B$4:$B$219, "tecnologia"))*(IFERROR(SUMIFS('03_Base_Vendas'!$I$4:$I$387, '03_Base_Vendas'!$A$4:$A$387, U$85, '03_Base_Vendas'!$C$4:$C$387, "haircare")/SUMIFS('03_Base_Vendas'!$I$4:$I$387, '03_Base_Vendas'!$A$4:$A$387, U$85),0))</f>
        <v>907.89670533663434</v>
      </c>
      <c r="V97" s="42">
        <f>(SUMIFS('04_Base_Despesas'!$D$4:$D$219, '04_Base_Despesas'!$A$4:$A$219, V$85, '04_Base_Despesas'!$B$4:$B$219, "tecnologia"))*(IFERROR(SUMIFS('03_Base_Vendas'!$I$4:$I$387, '03_Base_Vendas'!$A$4:$A$387, V$85, '03_Base_Vendas'!$C$4:$C$387, "haircare")/SUMIFS('03_Base_Vendas'!$I$4:$I$387, '03_Base_Vendas'!$A$4:$A$387, V$85),0))</f>
        <v>1077.4995736305896</v>
      </c>
      <c r="W97" s="42">
        <f>(SUMIFS('04_Base_Despesas'!$D$4:$D$219, '04_Base_Despesas'!$A$4:$A$219, W$85, '04_Base_Despesas'!$B$4:$B$219, "tecnologia"))*(IFERROR(SUMIFS('03_Base_Vendas'!$I$4:$I$387, '03_Base_Vendas'!$A$4:$A$387, W$85, '03_Base_Vendas'!$C$4:$C$387, "haircare")/SUMIFS('03_Base_Vendas'!$I$4:$I$387, '03_Base_Vendas'!$A$4:$A$387, W$85),0))</f>
        <v>964.68692682720462</v>
      </c>
      <c r="X97" s="42">
        <f>(SUMIFS('04_Base_Despesas'!$D$4:$D$219, '04_Base_Despesas'!$A$4:$A$219, X$85, '04_Base_Despesas'!$B$4:$B$219, "tecnologia"))*(IFERROR(SUMIFS('03_Base_Vendas'!$I$4:$I$387, '03_Base_Vendas'!$A$4:$A$387, X$85, '03_Base_Vendas'!$C$4:$C$387, "haircare")/SUMIFS('03_Base_Vendas'!$I$4:$I$387, '03_Base_Vendas'!$A$4:$A$387, X$85),0))</f>
        <v>1097.2420137647455</v>
      </c>
      <c r="Y97" s="42">
        <f>(SUMIFS('04_Base_Despesas'!$D$4:$D$219, '04_Base_Despesas'!$A$4:$A$219, Y$85, '04_Base_Despesas'!$B$4:$B$219, "tecnologia"))*(IFERROR(SUMIFS('03_Base_Vendas'!$I$4:$I$387, '03_Base_Vendas'!$A$4:$A$387, Y$85, '03_Base_Vendas'!$C$4:$C$387, "haircare")/SUMIFS('03_Base_Vendas'!$I$4:$I$387, '03_Base_Vendas'!$A$4:$A$387, Y$85),0))</f>
        <v>0</v>
      </c>
      <c r="Z97" s="43">
        <f t="shared" si="37"/>
        <v>20205.655573421831</v>
      </c>
    </row>
    <row r="98" spans="1:26" x14ac:dyDescent="0.25">
      <c r="A98" s="41" t="s">
        <v>343</v>
      </c>
      <c r="B98" s="42">
        <f>(SUMIFS('04_Base_Despesas'!$D$4:$D$219, '04_Base_Despesas'!$A$4:$A$219, B$85, '04_Base_Despesas'!$B$4:$B$219, "administrativo"))*(IFERROR(SUMIFS('03_Base_Vendas'!$I$4:$I$387, '03_Base_Vendas'!$A$4:$A$387, B$85, '03_Base_Vendas'!$C$4:$C$387, "haircare")/SUMIFS('03_Base_Vendas'!$I$4:$I$387, '03_Base_Vendas'!$A$4:$A$387, B$85),0))</f>
        <v>470.74727912511582</v>
      </c>
      <c r="C98" s="42">
        <f>(SUMIFS('04_Base_Despesas'!$D$4:$D$219, '04_Base_Despesas'!$A$4:$A$219, C$85, '04_Base_Despesas'!$B$4:$B$219, "administrativo"))*(IFERROR(SUMIFS('03_Base_Vendas'!$I$4:$I$387, '03_Base_Vendas'!$A$4:$A$387, C$85, '03_Base_Vendas'!$C$4:$C$387, "haircare")/SUMIFS('03_Base_Vendas'!$I$4:$I$387, '03_Base_Vendas'!$A$4:$A$387, C$85),0))</f>
        <v>209.20684940843472</v>
      </c>
      <c r="D98" s="42">
        <f>(SUMIFS('04_Base_Despesas'!$D$4:$D$219, '04_Base_Despesas'!$A$4:$A$219, D$85, '04_Base_Despesas'!$B$4:$B$219, "administrativo"))*(IFERROR(SUMIFS('03_Base_Vendas'!$I$4:$I$387, '03_Base_Vendas'!$A$4:$A$387, D$85, '03_Base_Vendas'!$C$4:$C$387, "haircare")/SUMIFS('03_Base_Vendas'!$I$4:$I$387, '03_Base_Vendas'!$A$4:$A$387, D$85),0))</f>
        <v>309.29581372475536</v>
      </c>
      <c r="E98" s="42">
        <f>(SUMIFS('04_Base_Despesas'!$D$4:$D$219, '04_Base_Despesas'!$A$4:$A$219, E$85, '04_Base_Despesas'!$B$4:$B$219, "administrativo"))*(IFERROR(SUMIFS('03_Base_Vendas'!$I$4:$I$387, '03_Base_Vendas'!$A$4:$A$387, E$85, '03_Base_Vendas'!$C$4:$C$387, "haircare")/SUMIFS('03_Base_Vendas'!$I$4:$I$387, '03_Base_Vendas'!$A$4:$A$387, E$85),0))</f>
        <v>442.38577427959683</v>
      </c>
      <c r="F98" s="42">
        <f>(SUMIFS('04_Base_Despesas'!$D$4:$D$219, '04_Base_Despesas'!$A$4:$A$219, F$85, '04_Base_Despesas'!$B$4:$B$219, "administrativo"))*(IFERROR(SUMIFS('03_Base_Vendas'!$I$4:$I$387, '03_Base_Vendas'!$A$4:$A$387, F$85, '03_Base_Vendas'!$C$4:$C$387, "haircare")/SUMIFS('03_Base_Vendas'!$I$4:$I$387, '03_Base_Vendas'!$A$4:$A$387, F$85),0))</f>
        <v>320.49447358333083</v>
      </c>
      <c r="G98" s="42">
        <f>(SUMIFS('04_Base_Despesas'!$D$4:$D$219, '04_Base_Despesas'!$A$4:$A$219, G$85, '04_Base_Despesas'!$B$4:$B$219, "administrativo"))*(IFERROR(SUMIFS('03_Base_Vendas'!$I$4:$I$387, '03_Base_Vendas'!$A$4:$A$387, G$85, '03_Base_Vendas'!$C$4:$C$387, "haircare")/SUMIFS('03_Base_Vendas'!$I$4:$I$387, '03_Base_Vendas'!$A$4:$A$387, G$85),0))</f>
        <v>311.93278667564607</v>
      </c>
      <c r="H98" s="42">
        <f>(SUMIFS('04_Base_Despesas'!$D$4:$D$219, '04_Base_Despesas'!$A$4:$A$219, H$85, '04_Base_Despesas'!$B$4:$B$219, "administrativo"))*(IFERROR(SUMIFS('03_Base_Vendas'!$I$4:$I$387, '03_Base_Vendas'!$A$4:$A$387, H$85, '03_Base_Vendas'!$C$4:$C$387, "haircare")/SUMIFS('03_Base_Vendas'!$I$4:$I$387, '03_Base_Vendas'!$A$4:$A$387, H$85),0))</f>
        <v>680.45754963693253</v>
      </c>
      <c r="I98" s="42">
        <f>(SUMIFS('04_Base_Despesas'!$D$4:$D$219, '04_Base_Despesas'!$A$4:$A$219, I$85, '04_Base_Despesas'!$B$4:$B$219, "administrativo"))*(IFERROR(SUMIFS('03_Base_Vendas'!$I$4:$I$387, '03_Base_Vendas'!$A$4:$A$387, I$85, '03_Base_Vendas'!$C$4:$C$387, "haircare")/SUMIFS('03_Base_Vendas'!$I$4:$I$387, '03_Base_Vendas'!$A$4:$A$387, I$85),0))</f>
        <v>356.10999474115698</v>
      </c>
      <c r="J98" s="42">
        <f>(SUMIFS('04_Base_Despesas'!$D$4:$D$219, '04_Base_Despesas'!$A$4:$A$219, J$85, '04_Base_Despesas'!$B$4:$B$219, "administrativo"))*(IFERROR(SUMIFS('03_Base_Vendas'!$I$4:$I$387, '03_Base_Vendas'!$A$4:$A$387, J$85, '03_Base_Vendas'!$C$4:$C$387, "haircare")/SUMIFS('03_Base_Vendas'!$I$4:$I$387, '03_Base_Vendas'!$A$4:$A$387, J$85),0))</f>
        <v>350.00706600509295</v>
      </c>
      <c r="K98" s="42">
        <f>(SUMIFS('04_Base_Despesas'!$D$4:$D$219, '04_Base_Despesas'!$A$4:$A$219, K$85, '04_Base_Despesas'!$B$4:$B$219, "administrativo"))*(IFERROR(SUMIFS('03_Base_Vendas'!$I$4:$I$387, '03_Base_Vendas'!$A$4:$A$387, K$85, '03_Base_Vendas'!$C$4:$C$387, "haircare")/SUMIFS('03_Base_Vendas'!$I$4:$I$387, '03_Base_Vendas'!$A$4:$A$387, K$85),0))</f>
        <v>540.99440609728367</v>
      </c>
      <c r="L98" s="42">
        <f>(SUMIFS('04_Base_Despesas'!$D$4:$D$219, '04_Base_Despesas'!$A$4:$A$219, L$85, '04_Base_Despesas'!$B$4:$B$219, "administrativo"))*(IFERROR(SUMIFS('03_Base_Vendas'!$I$4:$I$387, '03_Base_Vendas'!$A$4:$A$387, L$85, '03_Base_Vendas'!$C$4:$C$387, "haircare")/SUMIFS('03_Base_Vendas'!$I$4:$I$387, '03_Base_Vendas'!$A$4:$A$387, L$85),0))</f>
        <v>286.55051815582982</v>
      </c>
      <c r="M98" s="42">
        <f>(SUMIFS('04_Base_Despesas'!$D$4:$D$219, '04_Base_Despesas'!$A$4:$A$219, M$85, '04_Base_Despesas'!$B$4:$B$219, "administrativo"))*(IFERROR(SUMIFS('03_Base_Vendas'!$I$4:$I$387, '03_Base_Vendas'!$A$4:$A$387, M$85, '03_Base_Vendas'!$C$4:$C$387, "haircare")/SUMIFS('03_Base_Vendas'!$I$4:$I$387, '03_Base_Vendas'!$A$4:$A$387, M$85),0))</f>
        <v>316.28427387782864</v>
      </c>
      <c r="N98" s="42">
        <f>(SUMIFS('04_Base_Despesas'!$D$4:$D$219, '04_Base_Despesas'!$A$4:$A$219, N$85, '04_Base_Despesas'!$B$4:$B$219, "administrativo"))*(IFERROR(SUMIFS('03_Base_Vendas'!$I$4:$I$387, '03_Base_Vendas'!$A$4:$A$387, N$85, '03_Base_Vendas'!$C$4:$C$387, "haircare")/SUMIFS('03_Base_Vendas'!$I$4:$I$387, '03_Base_Vendas'!$A$4:$A$387, N$85),0))</f>
        <v>614.93273441942358</v>
      </c>
      <c r="O98" s="42">
        <f>(SUMIFS('04_Base_Despesas'!$D$4:$D$219, '04_Base_Despesas'!$A$4:$A$219, O$85, '04_Base_Despesas'!$B$4:$B$219, "administrativo"))*(IFERROR(SUMIFS('03_Base_Vendas'!$I$4:$I$387, '03_Base_Vendas'!$A$4:$A$387, O$85, '03_Base_Vendas'!$C$4:$C$387, "haircare")/SUMIFS('03_Base_Vendas'!$I$4:$I$387, '03_Base_Vendas'!$A$4:$A$387, O$85),0))</f>
        <v>328.03922241929763</v>
      </c>
      <c r="P98" s="42">
        <f>(SUMIFS('04_Base_Despesas'!$D$4:$D$219, '04_Base_Despesas'!$A$4:$A$219, P$85, '04_Base_Despesas'!$B$4:$B$219, "administrativo"))*(IFERROR(SUMIFS('03_Base_Vendas'!$I$4:$I$387, '03_Base_Vendas'!$A$4:$A$387, P$85, '03_Base_Vendas'!$C$4:$C$387, "haircare")/SUMIFS('03_Base_Vendas'!$I$4:$I$387, '03_Base_Vendas'!$A$4:$A$387, P$85),0))</f>
        <v>324.66704503998409</v>
      </c>
      <c r="Q98" s="42">
        <f>(SUMIFS('04_Base_Despesas'!$D$4:$D$219, '04_Base_Despesas'!$A$4:$A$219, Q$85, '04_Base_Despesas'!$B$4:$B$219, "administrativo"))*(IFERROR(SUMIFS('03_Base_Vendas'!$I$4:$I$387, '03_Base_Vendas'!$A$4:$A$387, Q$85, '03_Base_Vendas'!$C$4:$C$387, "haircare")/SUMIFS('03_Base_Vendas'!$I$4:$I$387, '03_Base_Vendas'!$A$4:$A$387, Q$85),0))</f>
        <v>648.90663724148965</v>
      </c>
      <c r="R98" s="42">
        <f>(SUMIFS('04_Base_Despesas'!$D$4:$D$219, '04_Base_Despesas'!$A$4:$A$219, R$85, '04_Base_Despesas'!$B$4:$B$219, "administrativo"))*(IFERROR(SUMIFS('03_Base_Vendas'!$I$4:$I$387, '03_Base_Vendas'!$A$4:$A$387, R$85, '03_Base_Vendas'!$C$4:$C$387, "haircare")/SUMIFS('03_Base_Vendas'!$I$4:$I$387, '03_Base_Vendas'!$A$4:$A$387, R$85),0))</f>
        <v>340.06494414428585</v>
      </c>
      <c r="S98" s="42">
        <f>(SUMIFS('04_Base_Despesas'!$D$4:$D$219, '04_Base_Despesas'!$A$4:$A$219, S$85, '04_Base_Despesas'!$B$4:$B$219, "administrativo"))*(IFERROR(SUMIFS('03_Base_Vendas'!$I$4:$I$387, '03_Base_Vendas'!$A$4:$A$387, S$85, '03_Base_Vendas'!$C$4:$C$387, "haircare")/SUMIFS('03_Base_Vendas'!$I$4:$I$387, '03_Base_Vendas'!$A$4:$A$387, S$85),0))</f>
        <v>367.31120105993261</v>
      </c>
      <c r="T98" s="42">
        <f>(SUMIFS('04_Base_Despesas'!$D$4:$D$219, '04_Base_Despesas'!$A$4:$A$219, T$85, '04_Base_Despesas'!$B$4:$B$219, "administrativo"))*(IFERROR(SUMIFS('03_Base_Vendas'!$I$4:$I$387, '03_Base_Vendas'!$A$4:$A$387, T$85, '03_Base_Vendas'!$C$4:$C$387, "haircare")/SUMIFS('03_Base_Vendas'!$I$4:$I$387, '03_Base_Vendas'!$A$4:$A$387, T$85),0))</f>
        <v>516.93486111959567</v>
      </c>
      <c r="U98" s="42">
        <f>(SUMIFS('04_Base_Despesas'!$D$4:$D$219, '04_Base_Despesas'!$A$4:$A$219, U$85, '04_Base_Despesas'!$B$4:$B$219, "administrativo"))*(IFERROR(SUMIFS('03_Base_Vendas'!$I$4:$I$387, '03_Base_Vendas'!$A$4:$A$387, U$85, '03_Base_Vendas'!$C$4:$C$387, "haircare")/SUMIFS('03_Base_Vendas'!$I$4:$I$387, '03_Base_Vendas'!$A$4:$A$387, U$85),0))</f>
        <v>330.34751029965867</v>
      </c>
      <c r="V98" s="42">
        <f>(SUMIFS('04_Base_Despesas'!$D$4:$D$219, '04_Base_Despesas'!$A$4:$A$219, V$85, '04_Base_Despesas'!$B$4:$B$219, "administrativo"))*(IFERROR(SUMIFS('03_Base_Vendas'!$I$4:$I$387, '03_Base_Vendas'!$A$4:$A$387, V$85, '03_Base_Vendas'!$C$4:$C$387, "haircare")/SUMIFS('03_Base_Vendas'!$I$4:$I$387, '03_Base_Vendas'!$A$4:$A$387, V$85),0))</f>
        <v>401.08349300889398</v>
      </c>
      <c r="W98" s="42">
        <f>(SUMIFS('04_Base_Despesas'!$D$4:$D$219, '04_Base_Despesas'!$A$4:$A$219, W$85, '04_Base_Despesas'!$B$4:$B$219, "administrativo"))*(IFERROR(SUMIFS('03_Base_Vendas'!$I$4:$I$387, '03_Base_Vendas'!$A$4:$A$387, W$85, '03_Base_Vendas'!$C$4:$C$387, "haircare")/SUMIFS('03_Base_Vendas'!$I$4:$I$387, '03_Base_Vendas'!$A$4:$A$387, W$85),0))</f>
        <v>647.50267227441998</v>
      </c>
      <c r="X98" s="42">
        <f>(SUMIFS('04_Base_Despesas'!$D$4:$D$219, '04_Base_Despesas'!$A$4:$A$219, X$85, '04_Base_Despesas'!$B$4:$B$219, "administrativo"))*(IFERROR(SUMIFS('03_Base_Vendas'!$I$4:$I$387, '03_Base_Vendas'!$A$4:$A$387, X$85, '03_Base_Vendas'!$C$4:$C$387, "haircare")/SUMIFS('03_Base_Vendas'!$I$4:$I$387, '03_Base_Vendas'!$A$4:$A$387, X$85),0))</f>
        <v>406.27638687226022</v>
      </c>
      <c r="Y98" s="42">
        <f>(SUMIFS('04_Base_Despesas'!$D$4:$D$219, '04_Base_Despesas'!$A$4:$A$219, Y$85, '04_Base_Despesas'!$B$4:$B$219, "administrativo"))*(IFERROR(SUMIFS('03_Base_Vendas'!$I$4:$I$387, '03_Base_Vendas'!$A$4:$A$387, Y$85, '03_Base_Vendas'!$C$4:$C$387, "haircare")/SUMIFS('03_Base_Vendas'!$I$4:$I$387, '03_Base_Vendas'!$A$4:$A$387, Y$85),0))</f>
        <v>312.98265934276128</v>
      </c>
      <c r="Z98" s="43">
        <f t="shared" si="37"/>
        <v>9833.5161525530075</v>
      </c>
    </row>
    <row r="99" spans="1:26" x14ac:dyDescent="0.25">
      <c r="A99" s="41" t="s">
        <v>344</v>
      </c>
      <c r="B99" s="42">
        <f>(SUMIFS('04_Base_Despesas'!$D$4:$D$219, '04_Base_Despesas'!$A$4:$A$219, B$85, '04_Base_Despesas'!$B$4:$B$219, "outros"))*(IFERROR(SUMIFS('03_Base_Vendas'!$I$4:$I$387, '03_Base_Vendas'!$A$4:$A$387, B$85, '03_Base_Vendas'!$C$4:$C$387, "haircare")/SUMIFS('03_Base_Vendas'!$I$4:$I$387, '03_Base_Vendas'!$A$4:$A$387, B$85),0))</f>
        <v>90.668133119009411</v>
      </c>
      <c r="C99" s="42">
        <f>(SUMIFS('04_Base_Despesas'!$D$4:$D$219, '04_Base_Despesas'!$A$4:$A$219, C$85, '04_Base_Despesas'!$B$4:$B$219, "outros"))*(IFERROR(SUMIFS('03_Base_Vendas'!$I$4:$I$387, '03_Base_Vendas'!$A$4:$A$387, C$85, '03_Base_Vendas'!$C$4:$C$387, "haircare")/SUMIFS('03_Base_Vendas'!$I$4:$I$387, '03_Base_Vendas'!$A$4:$A$387, C$85),0))</f>
        <v>73.529512947883731</v>
      </c>
      <c r="D99" s="42">
        <f>(SUMIFS('04_Base_Despesas'!$D$4:$D$219, '04_Base_Despesas'!$A$4:$A$219, D$85, '04_Base_Despesas'!$B$4:$B$219, "outros"))*(IFERROR(SUMIFS('03_Base_Vendas'!$I$4:$I$387, '03_Base_Vendas'!$A$4:$A$387, D$85, '03_Base_Vendas'!$C$4:$C$387, "haircare")/SUMIFS('03_Base_Vendas'!$I$4:$I$387, '03_Base_Vendas'!$A$4:$A$387, D$85),0))</f>
        <v>106.99284506692226</v>
      </c>
      <c r="E99" s="42">
        <f>(SUMIFS('04_Base_Despesas'!$D$4:$D$219, '04_Base_Despesas'!$A$4:$A$219, E$85, '04_Base_Despesas'!$B$4:$B$219, "outros"))*(IFERROR(SUMIFS('03_Base_Vendas'!$I$4:$I$387, '03_Base_Vendas'!$A$4:$A$387, E$85, '03_Base_Vendas'!$C$4:$C$387, "haircare")/SUMIFS('03_Base_Vendas'!$I$4:$I$387, '03_Base_Vendas'!$A$4:$A$387, E$85),0))</f>
        <v>66.839150739084801</v>
      </c>
      <c r="F99" s="42">
        <f>(SUMIFS('04_Base_Despesas'!$D$4:$D$219, '04_Base_Despesas'!$A$4:$A$219, F$85, '04_Base_Despesas'!$B$4:$B$219, "outros"))*(IFERROR(SUMIFS('03_Base_Vendas'!$I$4:$I$387, '03_Base_Vendas'!$A$4:$A$387, F$85, '03_Base_Vendas'!$C$4:$C$387, "haircare")/SUMIFS('03_Base_Vendas'!$I$4:$I$387, '03_Base_Vendas'!$A$4:$A$387, F$85),0))</f>
        <v>99.189193640357885</v>
      </c>
      <c r="G99" s="42">
        <f>(SUMIFS('04_Base_Despesas'!$D$4:$D$219, '04_Base_Despesas'!$A$4:$A$219, G$85, '04_Base_Despesas'!$B$4:$B$219, "outros"))*(IFERROR(SUMIFS('03_Base_Vendas'!$I$4:$I$387, '03_Base_Vendas'!$A$4:$A$387, G$85, '03_Base_Vendas'!$C$4:$C$387, "haircare")/SUMIFS('03_Base_Vendas'!$I$4:$I$387, '03_Base_Vendas'!$A$4:$A$387, G$85),0))</f>
        <v>96.177612250128618</v>
      </c>
      <c r="H99" s="42">
        <f>(SUMIFS('04_Base_Despesas'!$D$4:$D$219, '04_Base_Despesas'!$A$4:$A$219, H$85, '04_Base_Despesas'!$B$4:$B$219, "outros"))*(IFERROR(SUMIFS('03_Base_Vendas'!$I$4:$I$387, '03_Base_Vendas'!$A$4:$A$387, H$85, '03_Base_Vendas'!$C$4:$C$387, "haircare")/SUMIFS('03_Base_Vendas'!$I$4:$I$387, '03_Base_Vendas'!$A$4:$A$387, H$85),0))</f>
        <v>157.53366294057687</v>
      </c>
      <c r="I99" s="42">
        <f>(SUMIFS('04_Base_Despesas'!$D$4:$D$219, '04_Base_Despesas'!$A$4:$A$219, I$85, '04_Base_Despesas'!$B$4:$B$219, "outros"))*(IFERROR(SUMIFS('03_Base_Vendas'!$I$4:$I$387, '03_Base_Vendas'!$A$4:$A$387, I$85, '03_Base_Vendas'!$C$4:$C$387, "haircare")/SUMIFS('03_Base_Vendas'!$I$4:$I$387, '03_Base_Vendas'!$A$4:$A$387, I$85),0))</f>
        <v>124.46898980190814</v>
      </c>
      <c r="J99" s="42">
        <f>(SUMIFS('04_Base_Despesas'!$D$4:$D$219, '04_Base_Despesas'!$A$4:$A$219, J$85, '04_Base_Despesas'!$B$4:$B$219, "outros"))*(IFERROR(SUMIFS('03_Base_Vendas'!$I$4:$I$387, '03_Base_Vendas'!$A$4:$A$387, J$85, '03_Base_Vendas'!$C$4:$C$387, "haircare")/SUMIFS('03_Base_Vendas'!$I$4:$I$387, '03_Base_Vendas'!$A$4:$A$387, J$85),0))</f>
        <v>147.04555675228667</v>
      </c>
      <c r="K99" s="42">
        <f>(SUMIFS('04_Base_Despesas'!$D$4:$D$219, '04_Base_Despesas'!$A$4:$A$219, K$85, '04_Base_Despesas'!$B$4:$B$219, "outros"))*(IFERROR(SUMIFS('03_Base_Vendas'!$I$4:$I$387, '03_Base_Vendas'!$A$4:$A$387, K$85, '03_Base_Vendas'!$C$4:$C$387, "haircare")/SUMIFS('03_Base_Vendas'!$I$4:$I$387, '03_Base_Vendas'!$A$4:$A$387, K$85),0))</f>
        <v>134.97020795903285</v>
      </c>
      <c r="L99" s="42">
        <f>(SUMIFS('04_Base_Despesas'!$D$4:$D$219, '04_Base_Despesas'!$A$4:$A$219, L$85, '04_Base_Despesas'!$B$4:$B$219, "outros"))*(IFERROR(SUMIFS('03_Base_Vendas'!$I$4:$I$387, '03_Base_Vendas'!$A$4:$A$387, L$85, '03_Base_Vendas'!$C$4:$C$387, "haircare")/SUMIFS('03_Base_Vendas'!$I$4:$I$387, '03_Base_Vendas'!$A$4:$A$387, L$85),0))</f>
        <v>91.369498219167895</v>
      </c>
      <c r="M99" s="42">
        <f>(SUMIFS('04_Base_Despesas'!$D$4:$D$219, '04_Base_Despesas'!$A$4:$A$219, M$85, '04_Base_Despesas'!$B$4:$B$219, "outros"))*(IFERROR(SUMIFS('03_Base_Vendas'!$I$4:$I$387, '03_Base_Vendas'!$A$4:$A$387, M$85, '03_Base_Vendas'!$C$4:$C$387, "haircare")/SUMIFS('03_Base_Vendas'!$I$4:$I$387, '03_Base_Vendas'!$A$4:$A$387, M$85),0))</f>
        <v>97.052462007959463</v>
      </c>
      <c r="N99" s="42">
        <f>(SUMIFS('04_Base_Despesas'!$D$4:$D$219, '04_Base_Despesas'!$A$4:$A$219, N$85, '04_Base_Despesas'!$B$4:$B$219, "outros"))*(IFERROR(SUMIFS('03_Base_Vendas'!$I$4:$I$387, '03_Base_Vendas'!$A$4:$A$387, N$85, '03_Base_Vendas'!$C$4:$C$387, "haircare")/SUMIFS('03_Base_Vendas'!$I$4:$I$387, '03_Base_Vendas'!$A$4:$A$387, N$85),0))</f>
        <v>79.686812567055554</v>
      </c>
      <c r="O99" s="42">
        <f>(SUMIFS('04_Base_Despesas'!$D$4:$D$219, '04_Base_Despesas'!$A$4:$A$219, O$85, '04_Base_Despesas'!$B$4:$B$219, "outros"))*(IFERROR(SUMIFS('03_Base_Vendas'!$I$4:$I$387, '03_Base_Vendas'!$A$4:$A$387, O$85, '03_Base_Vendas'!$C$4:$C$387, "haircare")/SUMIFS('03_Base_Vendas'!$I$4:$I$387, '03_Base_Vendas'!$A$4:$A$387, O$85),0))</f>
        <v>83.041493086083037</v>
      </c>
      <c r="P99" s="42">
        <f>(SUMIFS('04_Base_Despesas'!$D$4:$D$219, '04_Base_Despesas'!$A$4:$A$219, P$85, '04_Base_Despesas'!$B$4:$B$219, "outros"))*(IFERROR(SUMIFS('03_Base_Vendas'!$I$4:$I$387, '03_Base_Vendas'!$A$4:$A$387, P$85, '03_Base_Vendas'!$C$4:$C$387, "haircare")/SUMIFS('03_Base_Vendas'!$I$4:$I$387, '03_Base_Vendas'!$A$4:$A$387, P$85),0))</f>
        <v>119.76447824252951</v>
      </c>
      <c r="Q99" s="42">
        <f>(SUMIFS('04_Base_Despesas'!$D$4:$D$219, '04_Base_Despesas'!$A$4:$A$219, Q$85, '04_Base_Despesas'!$B$4:$B$219, "outros"))*(IFERROR(SUMIFS('03_Base_Vendas'!$I$4:$I$387, '03_Base_Vendas'!$A$4:$A$387, Q$85, '03_Base_Vendas'!$C$4:$C$387, "haircare")/SUMIFS('03_Base_Vendas'!$I$4:$I$387, '03_Base_Vendas'!$A$4:$A$387, Q$85),0))</f>
        <v>127.70877789343987</v>
      </c>
      <c r="R99" s="42">
        <f>(SUMIFS('04_Base_Despesas'!$D$4:$D$219, '04_Base_Despesas'!$A$4:$A$219, R$85, '04_Base_Despesas'!$B$4:$B$219, "outros"))*(IFERROR(SUMIFS('03_Base_Vendas'!$I$4:$I$387, '03_Base_Vendas'!$A$4:$A$387, R$85, '03_Base_Vendas'!$C$4:$C$387, "haircare")/SUMIFS('03_Base_Vendas'!$I$4:$I$387, '03_Base_Vendas'!$A$4:$A$387, R$85),0))</f>
        <v>117.47522472565416</v>
      </c>
      <c r="S99" s="42">
        <f>(SUMIFS('04_Base_Despesas'!$D$4:$D$219, '04_Base_Despesas'!$A$4:$A$219, S$85, '04_Base_Despesas'!$B$4:$B$219, "outros"))*(IFERROR(SUMIFS('03_Base_Vendas'!$I$4:$I$387, '03_Base_Vendas'!$A$4:$A$387, S$85, '03_Base_Vendas'!$C$4:$C$387, "haircare")/SUMIFS('03_Base_Vendas'!$I$4:$I$387, '03_Base_Vendas'!$A$4:$A$387, S$85),0))</f>
        <v>146.91919112152058</v>
      </c>
      <c r="T99" s="42">
        <f>(SUMIFS('04_Base_Despesas'!$D$4:$D$219, '04_Base_Despesas'!$A$4:$A$219, T$85, '04_Base_Despesas'!$B$4:$B$219, "outros"))*(IFERROR(SUMIFS('03_Base_Vendas'!$I$4:$I$387, '03_Base_Vendas'!$A$4:$A$387, T$85, '03_Base_Vendas'!$C$4:$C$387, "haircare")/SUMIFS('03_Base_Vendas'!$I$4:$I$387, '03_Base_Vendas'!$A$4:$A$387, T$85),0))</f>
        <v>101.60148906703618</v>
      </c>
      <c r="U99" s="42">
        <f>(SUMIFS('04_Base_Despesas'!$D$4:$D$219, '04_Base_Despesas'!$A$4:$A$219, U$85, '04_Base_Despesas'!$B$4:$B$219, "outros"))*(IFERROR(SUMIFS('03_Base_Vendas'!$I$4:$I$387, '03_Base_Vendas'!$A$4:$A$387, U$85, '03_Base_Vendas'!$C$4:$C$387, "haircare")/SUMIFS('03_Base_Vendas'!$I$4:$I$387, '03_Base_Vendas'!$A$4:$A$387, U$85),0))</f>
        <v>139.83081554968072</v>
      </c>
      <c r="V99" s="42">
        <f>(SUMIFS('04_Base_Despesas'!$D$4:$D$219, '04_Base_Despesas'!$A$4:$A$219, V$85, '04_Base_Despesas'!$B$4:$B$219, "outros"))*(IFERROR(SUMIFS('03_Base_Vendas'!$I$4:$I$387, '03_Base_Vendas'!$A$4:$A$387, V$85, '03_Base_Vendas'!$C$4:$C$387, "haircare")/SUMIFS('03_Base_Vendas'!$I$4:$I$387, '03_Base_Vendas'!$A$4:$A$387, V$85),0))</f>
        <v>143.83495792887751</v>
      </c>
      <c r="W99" s="42">
        <f>(SUMIFS('04_Base_Despesas'!$D$4:$D$219, '04_Base_Despesas'!$A$4:$A$219, W$85, '04_Base_Despesas'!$B$4:$B$219, "outros"))*(IFERROR(SUMIFS('03_Base_Vendas'!$I$4:$I$387, '03_Base_Vendas'!$A$4:$A$387, W$85, '03_Base_Vendas'!$C$4:$C$387, "haircare")/SUMIFS('03_Base_Vendas'!$I$4:$I$387, '03_Base_Vendas'!$A$4:$A$387, W$85),0))</f>
        <v>123.30057298194032</v>
      </c>
      <c r="X99" s="42">
        <f>(SUMIFS('04_Base_Despesas'!$D$4:$D$219, '04_Base_Despesas'!$A$4:$A$219, X$85, '04_Base_Despesas'!$B$4:$B$219, "outros"))*(IFERROR(SUMIFS('03_Base_Vendas'!$I$4:$I$387, '03_Base_Vendas'!$A$4:$A$387, X$85, '03_Base_Vendas'!$C$4:$C$387, "haircare")/SUMIFS('03_Base_Vendas'!$I$4:$I$387, '03_Base_Vendas'!$A$4:$A$387, X$85),0))</f>
        <v>144.62301798769221</v>
      </c>
      <c r="Y99" s="42">
        <f>(SUMIFS('04_Base_Despesas'!$D$4:$D$219, '04_Base_Despesas'!$A$4:$A$219, Y$85, '04_Base_Despesas'!$B$4:$B$219, "outros"))*(IFERROR(SUMIFS('03_Base_Vendas'!$I$4:$I$387, '03_Base_Vendas'!$A$4:$A$387, Y$85, '03_Base_Vendas'!$C$4:$C$387, "haircare")/SUMIFS('03_Base_Vendas'!$I$4:$I$387, '03_Base_Vendas'!$A$4:$A$387, Y$85),0))</f>
        <v>81.183946041600166</v>
      </c>
      <c r="Z99" s="43">
        <f t="shared" si="37"/>
        <v>2694.8076026374274</v>
      </c>
    </row>
    <row r="100" spans="1:26" x14ac:dyDescent="0.25">
      <c r="A100" s="44" t="s">
        <v>345</v>
      </c>
      <c r="B100" s="45">
        <f t="shared" ref="B100:Y100" si="38">B93+B94+B95+B96+B97+B98+B99</f>
        <v>11296.797094209089</v>
      </c>
      <c r="C100" s="45">
        <f t="shared" si="38"/>
        <v>7776.5307291308363</v>
      </c>
      <c r="D100" s="45">
        <f t="shared" si="38"/>
        <v>11183.861969604564</v>
      </c>
      <c r="E100" s="45">
        <f t="shared" si="38"/>
        <v>9128.3146953942942</v>
      </c>
      <c r="F100" s="45">
        <f t="shared" si="38"/>
        <v>12604.196412710562</v>
      </c>
      <c r="G100" s="45">
        <f t="shared" si="38"/>
        <v>12128.922471705841</v>
      </c>
      <c r="H100" s="45">
        <f t="shared" si="38"/>
        <v>15029.60362754127</v>
      </c>
      <c r="I100" s="45">
        <f t="shared" si="38"/>
        <v>13557.792655425728</v>
      </c>
      <c r="J100" s="45">
        <f t="shared" si="38"/>
        <v>13577.871422879944</v>
      </c>
      <c r="K100" s="45">
        <f t="shared" si="38"/>
        <v>11813.467006744928</v>
      </c>
      <c r="L100" s="45">
        <f t="shared" si="38"/>
        <v>11036.329299875402</v>
      </c>
      <c r="M100" s="45">
        <f t="shared" si="38"/>
        <v>12564.932993336526</v>
      </c>
      <c r="N100" s="45">
        <f t="shared" si="38"/>
        <v>13143.366779566115</v>
      </c>
      <c r="O100" s="45">
        <f t="shared" si="38"/>
        <v>12271.447914917702</v>
      </c>
      <c r="P100" s="45">
        <f t="shared" si="38"/>
        <v>12844.15946216771</v>
      </c>
      <c r="Q100" s="45">
        <f t="shared" si="38"/>
        <v>13758.43838685445</v>
      </c>
      <c r="R100" s="45">
        <f t="shared" si="38"/>
        <v>14023.806610943479</v>
      </c>
      <c r="S100" s="45">
        <f t="shared" si="38"/>
        <v>13946.334630699443</v>
      </c>
      <c r="T100" s="45">
        <f t="shared" si="38"/>
        <v>11791.28533654519</v>
      </c>
      <c r="U100" s="45">
        <f t="shared" si="38"/>
        <v>12415.21791494482</v>
      </c>
      <c r="V100" s="45">
        <f t="shared" si="38"/>
        <v>14716.999925992592</v>
      </c>
      <c r="W100" s="45">
        <f t="shared" si="38"/>
        <v>14095.050156620315</v>
      </c>
      <c r="X100" s="45">
        <f t="shared" si="38"/>
        <v>15957.533786219579</v>
      </c>
      <c r="Y100" s="45">
        <f t="shared" si="38"/>
        <v>10915.826101781791</v>
      </c>
      <c r="Z100" s="43">
        <f t="shared" si="37"/>
        <v>301578.08738581219</v>
      </c>
    </row>
    <row r="101" spans="1:26" x14ac:dyDescent="0.25">
      <c r="A101" s="44" t="s">
        <v>115</v>
      </c>
      <c r="B101" s="45">
        <f t="shared" ref="B101:Y101" si="39">B91-B100</f>
        <v>-4241.4970942090877</v>
      </c>
      <c r="C101" s="45">
        <f t="shared" si="39"/>
        <v>-3612.1407291308369</v>
      </c>
      <c r="D101" s="45">
        <f t="shared" si="39"/>
        <v>-4186.1319696045648</v>
      </c>
      <c r="E101" s="45">
        <f t="shared" si="39"/>
        <v>-3788.1546953942943</v>
      </c>
      <c r="F101" s="45">
        <f t="shared" si="39"/>
        <v>-2113.4164127105578</v>
      </c>
      <c r="G101" s="45">
        <f t="shared" si="39"/>
        <v>-3255.742471705842</v>
      </c>
      <c r="H101" s="45">
        <f t="shared" si="39"/>
        <v>-6234.9936275412692</v>
      </c>
      <c r="I101" s="45">
        <f t="shared" si="39"/>
        <v>-6173.0126554257258</v>
      </c>
      <c r="J101" s="45">
        <f t="shared" si="39"/>
        <v>-5794.3514228799431</v>
      </c>
      <c r="K101" s="45">
        <f t="shared" si="39"/>
        <v>-4671.0670067449246</v>
      </c>
      <c r="L101" s="45">
        <f t="shared" si="39"/>
        <v>-2978.6892998754029</v>
      </c>
      <c r="M101" s="45">
        <f t="shared" si="39"/>
        <v>-2335.0929933365278</v>
      </c>
      <c r="N101" s="45">
        <f t="shared" si="39"/>
        <v>-3928.9367795661146</v>
      </c>
      <c r="O101" s="45">
        <f t="shared" si="39"/>
        <v>-4365.0679149177031</v>
      </c>
      <c r="P101" s="45">
        <f t="shared" si="39"/>
        <v>-3458.8394621677089</v>
      </c>
      <c r="Q101" s="45">
        <f t="shared" si="39"/>
        <v>-5007.8083868544491</v>
      </c>
      <c r="R101" s="45">
        <f t="shared" si="39"/>
        <v>-2283.6366109434803</v>
      </c>
      <c r="S101" s="45">
        <f t="shared" si="39"/>
        <v>-2808.3846306994456</v>
      </c>
      <c r="T101" s="45">
        <f t="shared" si="39"/>
        <v>-4252.535336545192</v>
      </c>
      <c r="U101" s="45">
        <f t="shared" si="39"/>
        <v>-4409.8979149448205</v>
      </c>
      <c r="V101" s="45">
        <f t="shared" si="39"/>
        <v>-4520.7299259925912</v>
      </c>
      <c r="W101" s="45">
        <f t="shared" si="39"/>
        <v>-3903.8501566203176</v>
      </c>
      <c r="X101" s="45">
        <f t="shared" si="39"/>
        <v>916.88621378041898</v>
      </c>
      <c r="Y101" s="45">
        <f t="shared" si="39"/>
        <v>-1006.9261017817953</v>
      </c>
      <c r="Z101" s="43">
        <f t="shared" si="37"/>
        <v>-88414.017385812142</v>
      </c>
    </row>
    <row r="102" spans="1:26" x14ac:dyDescent="0.25">
      <c r="A102" s="41" t="s">
        <v>346</v>
      </c>
      <c r="B102" s="46">
        <f t="shared" ref="B102:Y102" si="40">IFERROR(B101/B89,0)</f>
        <v>-0.24678662785081004</v>
      </c>
      <c r="C102" s="46">
        <f t="shared" si="40"/>
        <v>-0.34611647238753929</v>
      </c>
      <c r="D102" s="46">
        <f t="shared" si="40"/>
        <v>-0.22245620735307592</v>
      </c>
      <c r="E102" s="46">
        <f t="shared" si="40"/>
        <v>-0.27910967762190986</v>
      </c>
      <c r="F102" s="46">
        <f t="shared" si="40"/>
        <v>-8.4543555262531725E-2</v>
      </c>
      <c r="G102" s="46">
        <f t="shared" si="40"/>
        <v>-0.1537411481682221</v>
      </c>
      <c r="H102" s="46">
        <f t="shared" si="40"/>
        <v>-0.30158724671802939</v>
      </c>
      <c r="I102" s="46">
        <f t="shared" si="40"/>
        <v>-0.33608527366016561</v>
      </c>
      <c r="J102" s="46">
        <f t="shared" si="40"/>
        <v>-0.30668345311187251</v>
      </c>
      <c r="K102" s="46">
        <f t="shared" si="40"/>
        <v>-0.26416386672131165</v>
      </c>
      <c r="L102" s="46">
        <f t="shared" si="40"/>
        <v>-0.12797954261447514</v>
      </c>
      <c r="M102" s="46">
        <f t="shared" si="40"/>
        <v>-9.3751123898178218E-2</v>
      </c>
      <c r="N102" s="46">
        <f t="shared" si="40"/>
        <v>-0.16551017381864588</v>
      </c>
      <c r="O102" s="46">
        <f t="shared" si="40"/>
        <v>-0.22921142074305897</v>
      </c>
      <c r="P102" s="46">
        <f t="shared" si="40"/>
        <v>-0.15588580562845125</v>
      </c>
      <c r="Q102" s="46">
        <f t="shared" si="40"/>
        <v>-0.23870019656600083</v>
      </c>
      <c r="R102" s="46">
        <f t="shared" si="40"/>
        <v>-8.0321668809041083E-2</v>
      </c>
      <c r="S102" s="46">
        <f t="shared" si="40"/>
        <v>-0.10354896556286514</v>
      </c>
      <c r="T102" s="46">
        <f t="shared" si="40"/>
        <v>-0.22287675746468158</v>
      </c>
      <c r="U102" s="46">
        <f t="shared" si="40"/>
        <v>-0.22081894755277476</v>
      </c>
      <c r="V102" s="46">
        <f t="shared" si="40"/>
        <v>-0.18025742050187171</v>
      </c>
      <c r="W102" s="46">
        <f t="shared" si="40"/>
        <v>-0.16033799415468028</v>
      </c>
      <c r="X102" s="46">
        <f t="shared" si="40"/>
        <v>2.2720336277442028E-2</v>
      </c>
      <c r="Y102" s="46">
        <f t="shared" si="40"/>
        <v>-4.1399960027061831E-2</v>
      </c>
      <c r="Z102" s="47">
        <f>IFERROR($Z$101/$Z$89,0)</f>
        <v>-0.16852166589775691</v>
      </c>
    </row>
    <row r="103" spans="1:26" x14ac:dyDescent="0.25">
      <c r="A103" s="41" t="s">
        <v>347</v>
      </c>
      <c r="B103" s="42">
        <f>(SUMIFS('04_Base_Despesas'!$D$4:$D$219, '04_Base_Despesas'!$A$4:$A$219, B$85, '04_Base_Despesas'!$B$4:$B$219, "depreciacao"))*(IFERROR(SUMIFS('03_Base_Vendas'!$I$4:$I$387, '03_Base_Vendas'!$A$4:$A$387, B$85, '03_Base_Vendas'!$C$4:$C$387, "haircare")/SUMIFS('03_Base_Vendas'!$I$4:$I$387, '03_Base_Vendas'!$A$4:$A$387, B$85),0))</f>
        <v>252.03617019886727</v>
      </c>
      <c r="C103" s="42">
        <f>(SUMIFS('04_Base_Despesas'!$D$4:$D$219, '04_Base_Despesas'!$A$4:$A$219, C$85, '04_Base_Despesas'!$B$4:$B$219, "depreciacao"))*(IFERROR(SUMIFS('03_Base_Vendas'!$I$4:$I$387, '03_Base_Vendas'!$A$4:$A$387, C$85, '03_Base_Vendas'!$C$4:$C$387, "haircare")/SUMIFS('03_Base_Vendas'!$I$4:$I$387, '03_Base_Vendas'!$A$4:$A$387, C$85),0))</f>
        <v>184.10202747942253</v>
      </c>
      <c r="D103" s="42">
        <f>(SUMIFS('04_Base_Despesas'!$D$4:$D$219, '04_Base_Despesas'!$A$4:$A$219, D$85, '04_Base_Despesas'!$B$4:$B$219, "depreciacao"))*(IFERROR(SUMIFS('03_Base_Vendas'!$I$4:$I$387, '03_Base_Vendas'!$A$4:$A$387, D$85, '03_Base_Vendas'!$C$4:$C$387, "haircare")/SUMIFS('03_Base_Vendas'!$I$4:$I$387, '03_Base_Vendas'!$A$4:$A$387, D$85),0))</f>
        <v>272.17907889452977</v>
      </c>
      <c r="E103" s="42">
        <f>(SUMIFS('04_Base_Despesas'!$D$4:$D$219, '04_Base_Despesas'!$A$4:$A$219, E$85, '04_Base_Despesas'!$B$4:$B$219, "depreciacao"))*(IFERROR(SUMIFS('03_Base_Vendas'!$I$4:$I$387, '03_Base_Vendas'!$A$4:$A$387, E$85, '03_Base_Vendas'!$C$4:$C$387, "haircare")/SUMIFS('03_Base_Vendas'!$I$4:$I$387, '03_Base_Vendas'!$A$4:$A$387, E$85),0))</f>
        <v>213.55814862316342</v>
      </c>
      <c r="F103" s="42">
        <f>(SUMIFS('04_Base_Despesas'!$D$4:$D$219, '04_Base_Despesas'!$A$4:$A$219, F$85, '04_Base_Despesas'!$B$4:$B$219, "depreciacao"))*(IFERROR(SUMIFS('03_Base_Vendas'!$I$4:$I$387, '03_Base_Vendas'!$A$4:$A$387, F$85, '03_Base_Vendas'!$C$4:$C$387, "haircare")/SUMIFS('03_Base_Vendas'!$I$4:$I$387, '03_Base_Vendas'!$A$4:$A$387, F$85),0))</f>
        <v>282.03385477543674</v>
      </c>
      <c r="G103" s="42">
        <f>(SUMIFS('04_Base_Despesas'!$D$4:$D$219, '04_Base_Despesas'!$A$4:$A$219, G$85, '04_Base_Despesas'!$B$4:$B$219, "depreciacao"))*(IFERROR(SUMIFS('03_Base_Vendas'!$I$4:$I$387, '03_Base_Vendas'!$A$4:$A$387, G$85, '03_Base_Vendas'!$C$4:$C$387, "haircare")/SUMIFS('03_Base_Vendas'!$I$4:$I$387, '03_Base_Vendas'!$A$4:$A$387, G$85),0))</f>
        <v>274.49960454342181</v>
      </c>
      <c r="H103" s="42">
        <f>(SUMIFS('04_Base_Despesas'!$D$4:$D$219, '04_Base_Despesas'!$A$4:$A$219, H$85, '04_Base_Despesas'!$B$4:$B$219, "depreciacao"))*(IFERROR(SUMIFS('03_Base_Vendas'!$I$4:$I$387, '03_Base_Vendas'!$A$4:$A$387, H$85, '03_Base_Vendas'!$C$4:$C$387, "haircare")/SUMIFS('03_Base_Vendas'!$I$4:$I$387, '03_Base_Vendas'!$A$4:$A$387, H$85),0))</f>
        <v>352.00747860225857</v>
      </c>
      <c r="I103" s="42">
        <f>(SUMIFS('04_Base_Despesas'!$D$4:$D$219, '04_Base_Despesas'!$A$4:$A$219, I$85, '04_Base_Despesas'!$B$4:$B$219, "depreciacao"))*(IFERROR(SUMIFS('03_Base_Vendas'!$I$4:$I$387, '03_Base_Vendas'!$A$4:$A$387, I$85, '03_Base_Vendas'!$C$4:$C$387, "haircare")/SUMIFS('03_Base_Vendas'!$I$4:$I$387, '03_Base_Vendas'!$A$4:$A$387, I$85),0))</f>
        <v>313.37679537221811</v>
      </c>
      <c r="J103" s="42">
        <f>(SUMIFS('04_Base_Despesas'!$D$4:$D$219, '04_Base_Despesas'!$A$4:$A$219, J$85, '04_Base_Despesas'!$B$4:$B$219, "depreciacao"))*(IFERROR(SUMIFS('03_Base_Vendas'!$I$4:$I$387, '03_Base_Vendas'!$A$4:$A$387, J$85, '03_Base_Vendas'!$C$4:$C$387, "haircare")/SUMIFS('03_Base_Vendas'!$I$4:$I$387, '03_Base_Vendas'!$A$4:$A$387, J$85),0))</f>
        <v>308.00605008041811</v>
      </c>
      <c r="K103" s="42">
        <f>(SUMIFS('04_Base_Despesas'!$D$4:$D$219, '04_Base_Despesas'!$A$4:$A$219, K$85, '04_Base_Despesas'!$B$4:$B$219, "depreciacao"))*(IFERROR(SUMIFS('03_Base_Vendas'!$I$4:$I$387, '03_Base_Vendas'!$A$4:$A$387, K$85, '03_Base_Vendas'!$C$4:$C$387, "haircare")/SUMIFS('03_Base_Vendas'!$I$4:$I$387, '03_Base_Vendas'!$A$4:$A$387, K$85),0))</f>
        <v>262.29800583885191</v>
      </c>
      <c r="L103" s="42">
        <f>(SUMIFS('04_Base_Despesas'!$D$4:$D$219, '04_Base_Despesas'!$A$4:$A$219, L$85, '04_Base_Despesas'!$B$4:$B$219, "depreciacao"))*(IFERROR(SUMIFS('03_Base_Vendas'!$I$4:$I$387, '03_Base_Vendas'!$A$4:$A$387, L$85, '03_Base_Vendas'!$C$4:$C$387, "haircare")/SUMIFS('03_Base_Vendas'!$I$4:$I$387, '03_Base_Vendas'!$A$4:$A$387, L$85),0))</f>
        <v>252.16445597713025</v>
      </c>
      <c r="M103" s="42">
        <f>(SUMIFS('04_Base_Despesas'!$D$4:$D$219, '04_Base_Despesas'!$A$4:$A$219, M$85, '04_Base_Despesas'!$B$4:$B$219, "depreciacao"))*(IFERROR(SUMIFS('03_Base_Vendas'!$I$4:$I$387, '03_Base_Vendas'!$A$4:$A$387, M$85, '03_Base_Vendas'!$C$4:$C$387, "haircare")/SUMIFS('03_Base_Vendas'!$I$4:$I$387, '03_Base_Vendas'!$A$4:$A$387, M$85),0))</f>
        <v>278.33016101248921</v>
      </c>
      <c r="N103" s="42">
        <f>(SUMIFS('04_Base_Despesas'!$D$4:$D$219, '04_Base_Despesas'!$A$4:$A$219, N$85, '04_Base_Despesas'!$B$4:$B$219, "depreciacao"))*(IFERROR(SUMIFS('03_Base_Vendas'!$I$4:$I$387, '03_Base_Vendas'!$A$4:$A$387, N$85, '03_Base_Vendas'!$C$4:$C$387, "haircare")/SUMIFS('03_Base_Vendas'!$I$4:$I$387, '03_Base_Vendas'!$A$4:$A$387, N$85),0))</f>
        <v>297.1674876216602</v>
      </c>
      <c r="O103" s="42">
        <f>(SUMIFS('04_Base_Despesas'!$D$4:$D$219, '04_Base_Despesas'!$A$4:$A$219, O$85, '04_Base_Despesas'!$B$4:$B$219, "depreciacao"))*(IFERROR(SUMIFS('03_Base_Vendas'!$I$4:$I$387, '03_Base_Vendas'!$A$4:$A$387, O$85, '03_Base_Vendas'!$C$4:$C$387, "haircare")/SUMIFS('03_Base_Vendas'!$I$4:$I$387, '03_Base_Vendas'!$A$4:$A$387, O$85),0))</f>
        <v>288.67567043166366</v>
      </c>
      <c r="P103" s="42">
        <f>(SUMIFS('04_Base_Despesas'!$D$4:$D$219, '04_Base_Despesas'!$A$4:$A$219, P$85, '04_Base_Despesas'!$B$4:$B$219, "depreciacao"))*(IFERROR(SUMIFS('03_Base_Vendas'!$I$4:$I$387, '03_Base_Vendas'!$A$4:$A$387, P$85, '03_Base_Vendas'!$C$4:$C$387, "haircare")/SUMIFS('03_Base_Vendas'!$I$4:$I$387, '03_Base_Vendas'!$A$4:$A$387, P$85),0))</f>
        <v>285.70699963518604</v>
      </c>
      <c r="Q103" s="42">
        <f>(SUMIFS('04_Base_Despesas'!$D$4:$D$219, '04_Base_Despesas'!$A$4:$A$219, Q$85, '04_Base_Despesas'!$B$4:$B$219, "depreciacao"))*(IFERROR(SUMIFS('03_Base_Vendas'!$I$4:$I$387, '03_Base_Vendas'!$A$4:$A$387, Q$85, '03_Base_Vendas'!$C$4:$C$387, "haircare")/SUMIFS('03_Base_Vendas'!$I$4:$I$387, '03_Base_Vendas'!$A$4:$A$387, Q$85),0))</f>
        <v>318.49741692426113</v>
      </c>
      <c r="R103" s="42">
        <f>(SUMIFS('04_Base_Despesas'!$D$4:$D$219, '04_Base_Despesas'!$A$4:$A$219, R$85, '04_Base_Despesas'!$B$4:$B$219, "depreciacao"))*(IFERROR(SUMIFS('03_Base_Vendas'!$I$4:$I$387, '03_Base_Vendas'!$A$4:$A$387, R$85, '03_Base_Vendas'!$C$4:$C$387, "haircare")/SUMIFS('03_Base_Vendas'!$I$4:$I$387, '03_Base_Vendas'!$A$4:$A$387, R$85),0))</f>
        <v>299.25698761514542</v>
      </c>
      <c r="S103" s="42">
        <f>(SUMIFS('04_Base_Despesas'!$D$4:$D$219, '04_Base_Despesas'!$A$4:$A$219, S$85, '04_Base_Despesas'!$B$4:$B$219, "depreciacao"))*(IFERROR(SUMIFS('03_Base_Vendas'!$I$4:$I$387, '03_Base_Vendas'!$A$4:$A$387, S$85, '03_Base_Vendas'!$C$4:$C$387, "haircare")/SUMIFS('03_Base_Vendas'!$I$4:$I$387, '03_Base_Vendas'!$A$4:$A$387, S$85),0))</f>
        <v>323.23514987334022</v>
      </c>
      <c r="T103" s="42">
        <f>(SUMIFS('04_Base_Despesas'!$D$4:$D$219, '04_Base_Despesas'!$A$4:$A$219, T$85, '04_Base_Despesas'!$B$4:$B$219, "depreciacao"))*(IFERROR(SUMIFS('03_Base_Vendas'!$I$4:$I$387, '03_Base_Vendas'!$A$4:$A$387, T$85, '03_Base_Vendas'!$C$4:$C$387, "haircare")/SUMIFS('03_Base_Vendas'!$I$4:$I$387, '03_Base_Vendas'!$A$4:$A$387, T$85),0))</f>
        <v>273.08557738754519</v>
      </c>
      <c r="U103" s="42">
        <f>(SUMIFS('04_Base_Despesas'!$D$4:$D$219, '04_Base_Despesas'!$A$4:$A$219, U$85, '04_Base_Despesas'!$B$4:$B$219, "depreciacao"))*(IFERROR(SUMIFS('03_Base_Vendas'!$I$4:$I$387, '03_Base_Vendas'!$A$4:$A$387, U$85, '03_Base_Vendas'!$C$4:$C$387, "haircare")/SUMIFS('03_Base_Vendas'!$I$4:$I$387, '03_Base_Vendas'!$A$4:$A$387, U$85),0))</f>
        <v>290.70580906369963</v>
      </c>
      <c r="V103" s="42">
        <f>(SUMIFS('04_Base_Despesas'!$D$4:$D$219, '04_Base_Despesas'!$A$4:$A$219, V$85, '04_Base_Despesas'!$B$4:$B$219, "depreciacao"))*(IFERROR(SUMIFS('03_Base_Vendas'!$I$4:$I$387, '03_Base_Vendas'!$A$4:$A$387, V$85, '03_Base_Vendas'!$C$4:$C$387, "haircare")/SUMIFS('03_Base_Vendas'!$I$4:$I$387, '03_Base_Vendas'!$A$4:$A$387, V$85),0))</f>
        <v>352.95347384782673</v>
      </c>
      <c r="W103" s="42">
        <f>(SUMIFS('04_Base_Despesas'!$D$4:$D$219, '04_Base_Despesas'!$A$4:$A$219, W$85, '04_Base_Despesas'!$B$4:$B$219, "depreciacao"))*(IFERROR(SUMIFS('03_Base_Vendas'!$I$4:$I$387, '03_Base_Vendas'!$A$4:$A$387, W$85, '03_Base_Vendas'!$C$4:$C$387, "haircare")/SUMIFS('03_Base_Vendas'!$I$4:$I$387, '03_Base_Vendas'!$A$4:$A$387, W$85),0))</f>
        <v>318.22717654009085</v>
      </c>
      <c r="X103" s="42">
        <f>(SUMIFS('04_Base_Despesas'!$D$4:$D$219, '04_Base_Despesas'!$A$4:$A$219, X$85, '04_Base_Despesas'!$B$4:$B$219, "depreciacao"))*(IFERROR(SUMIFS('03_Base_Vendas'!$I$4:$I$387, '03_Base_Vendas'!$A$4:$A$387, X$85, '03_Base_Vendas'!$C$4:$C$387, "haircare")/SUMIFS('03_Base_Vendas'!$I$4:$I$387, '03_Base_Vendas'!$A$4:$A$387, X$85),0))</f>
        <v>357.52322044758898</v>
      </c>
      <c r="Y103" s="42">
        <f>(SUMIFS('04_Base_Despesas'!$D$4:$D$219, '04_Base_Despesas'!$A$4:$A$219, Y$85, '04_Base_Despesas'!$B$4:$B$219, "depreciacao"))*(IFERROR(SUMIFS('03_Base_Vendas'!$I$4:$I$387, '03_Base_Vendas'!$A$4:$A$387, Y$85, '03_Base_Vendas'!$C$4:$C$387, "haircare")/SUMIFS('03_Base_Vendas'!$I$4:$I$387, '03_Base_Vendas'!$A$4:$A$387, Y$85),0))</f>
        <v>275.42474022162992</v>
      </c>
      <c r="Z103" s="43">
        <f>SUM(B103:Y103)</f>
        <v>6925.051541007846</v>
      </c>
    </row>
    <row r="104" spans="1:26" x14ac:dyDescent="0.25">
      <c r="A104" s="44" t="s">
        <v>117</v>
      </c>
      <c r="B104" s="45">
        <f t="shared" ref="B104:Y104" si="41">B101-B103</f>
        <v>-4493.5332644079554</v>
      </c>
      <c r="C104" s="45">
        <f t="shared" si="41"/>
        <v>-3796.2427566102597</v>
      </c>
      <c r="D104" s="45">
        <f t="shared" si="41"/>
        <v>-4458.3110484990948</v>
      </c>
      <c r="E104" s="45">
        <f t="shared" si="41"/>
        <v>-4001.7128440174579</v>
      </c>
      <c r="F104" s="45">
        <f t="shared" si="41"/>
        <v>-2395.4502674859946</v>
      </c>
      <c r="G104" s="45">
        <f t="shared" si="41"/>
        <v>-3530.2420762492638</v>
      </c>
      <c r="H104" s="45">
        <f t="shared" si="41"/>
        <v>-6587.001106143528</v>
      </c>
      <c r="I104" s="45">
        <f t="shared" si="41"/>
        <v>-6486.3894507979439</v>
      </c>
      <c r="J104" s="45">
        <f t="shared" si="41"/>
        <v>-6102.3574729603615</v>
      </c>
      <c r="K104" s="45">
        <f t="shared" si="41"/>
        <v>-4933.3650125837767</v>
      </c>
      <c r="L104" s="45">
        <f t="shared" si="41"/>
        <v>-3230.8537558525331</v>
      </c>
      <c r="M104" s="45">
        <f t="shared" si="41"/>
        <v>-2613.4231543490168</v>
      </c>
      <c r="N104" s="45">
        <f t="shared" si="41"/>
        <v>-4226.1042671877749</v>
      </c>
      <c r="O104" s="45">
        <f t="shared" si="41"/>
        <v>-4653.7435853493671</v>
      </c>
      <c r="P104" s="45">
        <f t="shared" si="41"/>
        <v>-3744.546461802895</v>
      </c>
      <c r="Q104" s="45">
        <f t="shared" si="41"/>
        <v>-5326.3058037787105</v>
      </c>
      <c r="R104" s="45">
        <f t="shared" si="41"/>
        <v>-2582.8935985586259</v>
      </c>
      <c r="S104" s="45">
        <f t="shared" si="41"/>
        <v>-3131.6197805727857</v>
      </c>
      <c r="T104" s="45">
        <f t="shared" si="41"/>
        <v>-4525.6209139327375</v>
      </c>
      <c r="U104" s="45">
        <f t="shared" si="41"/>
        <v>-4700.6037240085197</v>
      </c>
      <c r="V104" s="45">
        <f t="shared" si="41"/>
        <v>-4873.6833998404181</v>
      </c>
      <c r="W104" s="45">
        <f t="shared" si="41"/>
        <v>-4222.0773331604087</v>
      </c>
      <c r="X104" s="45">
        <f t="shared" si="41"/>
        <v>559.36299333283</v>
      </c>
      <c r="Y104" s="45">
        <f t="shared" si="41"/>
        <v>-1282.3508420034252</v>
      </c>
      <c r="Z104" s="43">
        <f>SUM(B104:Y104)</f>
        <v>-95339.068926820008</v>
      </c>
    </row>
    <row r="105" spans="1:26" x14ac:dyDescent="0.25">
      <c r="A105" s="41" t="s">
        <v>348</v>
      </c>
      <c r="B105" s="42">
        <f>(SUMIFS('04_Base_Despesas'!$D$4:$D$219, '04_Base_Despesas'!$A$4:$A$219, B$85, '04_Base_Despesas'!$B$4:$B$219, "financeiro"))*(IFERROR(SUMIFS('03_Base_Vendas'!$I$4:$I$387, '03_Base_Vendas'!$A$4:$A$387, B$85, '03_Base_Vendas'!$C$4:$C$387, "haircare")/SUMIFS('03_Base_Vendas'!$I$4:$I$387, '03_Base_Vendas'!$A$4:$A$387, B$85),0))</f>
        <v>156.42810568972649</v>
      </c>
      <c r="C105" s="42">
        <f>(SUMIFS('04_Base_Despesas'!$D$4:$D$219, '04_Base_Despesas'!$A$4:$A$219, C$85, '04_Base_Despesas'!$B$4:$B$219, "financeiro"))*(IFERROR(SUMIFS('03_Base_Vendas'!$I$4:$I$387, '03_Base_Vendas'!$A$4:$A$387, C$85, '03_Base_Vendas'!$C$4:$C$387, "haircare")/SUMIFS('03_Base_Vendas'!$I$4:$I$387, '03_Base_Vendas'!$A$4:$A$387, C$85),0))</f>
        <v>113.10308058198324</v>
      </c>
      <c r="D105" s="42">
        <f>(SUMIFS('04_Base_Despesas'!$D$4:$D$219, '04_Base_Despesas'!$A$4:$A$219, D$85, '04_Base_Despesas'!$B$4:$B$219, "financeiro"))*(IFERROR(SUMIFS('03_Base_Vendas'!$I$4:$I$387, '03_Base_Vendas'!$A$4:$A$387, D$85, '03_Base_Vendas'!$C$4:$C$387, "haircare")/SUMIFS('03_Base_Vendas'!$I$4:$I$387, '03_Base_Vendas'!$A$4:$A$387, D$85),0))</f>
        <v>166.50135962756519</v>
      </c>
      <c r="E105" s="42">
        <f>(SUMIFS('04_Base_Despesas'!$D$4:$D$219, '04_Base_Despesas'!$A$4:$A$219, E$85, '04_Base_Despesas'!$B$4:$B$219, "financeiro"))*(IFERROR(SUMIFS('03_Base_Vendas'!$I$4:$I$387, '03_Base_Vendas'!$A$4:$A$387, E$85, '03_Base_Vendas'!$C$4:$C$387, "haircare")/SUMIFS('03_Base_Vendas'!$I$4:$I$387, '03_Base_Vendas'!$A$4:$A$387, E$85),0))</f>
        <v>126.00958764709314</v>
      </c>
      <c r="F105" s="42">
        <f>(SUMIFS('04_Base_Despesas'!$D$4:$D$219, '04_Base_Despesas'!$A$4:$A$219, F$85, '04_Base_Despesas'!$B$4:$B$219, "financeiro"))*(IFERROR(SUMIFS('03_Base_Vendas'!$I$4:$I$387, '03_Base_Vendas'!$A$4:$A$387, F$85, '03_Base_Vendas'!$C$4:$C$387, "haircare")/SUMIFS('03_Base_Vendas'!$I$4:$I$387, '03_Base_Vendas'!$A$4:$A$387, F$85),0))</f>
        <v>173.45545503698162</v>
      </c>
      <c r="G105" s="42">
        <f>(SUMIFS('04_Base_Despesas'!$D$4:$D$219, '04_Base_Despesas'!$A$4:$A$219, G$85, '04_Base_Despesas'!$B$4:$B$219, "financeiro"))*(IFERROR(SUMIFS('03_Base_Vendas'!$I$4:$I$387, '03_Base_Vendas'!$A$4:$A$387, G$85, '03_Base_Vendas'!$C$4:$C$387, "haircare")/SUMIFS('03_Base_Vendas'!$I$4:$I$387, '03_Base_Vendas'!$A$4:$A$387, G$85),0))</f>
        <v>159.5186839124853</v>
      </c>
      <c r="H105" s="42">
        <f>(SUMIFS('04_Base_Despesas'!$D$4:$D$219, '04_Base_Despesas'!$A$4:$A$219, H$85, '04_Base_Despesas'!$B$4:$B$219, "financeiro"))*(IFERROR(SUMIFS('03_Base_Vendas'!$I$4:$I$387, '03_Base_Vendas'!$A$4:$A$387, H$85, '03_Base_Vendas'!$C$4:$C$387, "haircare")/SUMIFS('03_Base_Vendas'!$I$4:$I$387, '03_Base_Vendas'!$A$4:$A$387, H$85),0))</f>
        <v>871.38087372811435</v>
      </c>
      <c r="I105" s="42">
        <f>(SUMIFS('04_Base_Despesas'!$D$4:$D$219, '04_Base_Despesas'!$A$4:$A$219, I$85, '04_Base_Despesas'!$B$4:$B$219, "financeiro"))*(IFERROR(SUMIFS('03_Base_Vendas'!$I$4:$I$387, '03_Base_Vendas'!$A$4:$A$387, I$85, '03_Base_Vendas'!$C$4:$C$387, "haircare")/SUMIFS('03_Base_Vendas'!$I$4:$I$387, '03_Base_Vendas'!$A$4:$A$387, I$85),0))</f>
        <v>187.12583115662522</v>
      </c>
      <c r="J105" s="42">
        <f>(SUMIFS('04_Base_Despesas'!$D$4:$D$219, '04_Base_Despesas'!$A$4:$A$219, J$85, '04_Base_Despesas'!$B$4:$B$219, "financeiro"))*(IFERROR(SUMIFS('03_Base_Vendas'!$I$4:$I$387, '03_Base_Vendas'!$A$4:$A$387, J$85, '03_Base_Vendas'!$C$4:$C$387, "haircare")/SUMIFS('03_Base_Vendas'!$I$4:$I$387, '03_Base_Vendas'!$A$4:$A$387, J$85),0))</f>
        <v>182.17520647168473</v>
      </c>
      <c r="K105" s="42">
        <f>(SUMIFS('04_Base_Despesas'!$D$4:$D$219, '04_Base_Despesas'!$A$4:$A$219, K$85, '04_Base_Despesas'!$B$4:$B$219, "financeiro"))*(IFERROR(SUMIFS('03_Base_Vendas'!$I$4:$I$387, '03_Base_Vendas'!$A$4:$A$387, K$85, '03_Base_Vendas'!$C$4:$C$387, "haircare")/SUMIFS('03_Base_Vendas'!$I$4:$I$387, '03_Base_Vendas'!$A$4:$A$387, K$85),0))</f>
        <v>140.54642511043426</v>
      </c>
      <c r="L105" s="42">
        <f>(SUMIFS('04_Base_Despesas'!$D$4:$D$219, '04_Base_Despesas'!$A$4:$A$219, L$85, '04_Base_Despesas'!$B$4:$B$219, "financeiro"))*(IFERROR(SUMIFS('03_Base_Vendas'!$I$4:$I$387, '03_Base_Vendas'!$A$4:$A$387, L$85, '03_Base_Vendas'!$C$4:$C$387, "haircare")/SUMIFS('03_Base_Vendas'!$I$4:$I$387, '03_Base_Vendas'!$A$4:$A$387, L$85),0))</f>
        <v>148.1099394202401</v>
      </c>
      <c r="M105" s="42">
        <f>(SUMIFS('04_Base_Despesas'!$D$4:$D$219, '04_Base_Despesas'!$A$4:$A$219, M$85, '04_Base_Despesas'!$B$4:$B$219, "financeiro"))*(IFERROR(SUMIFS('03_Base_Vendas'!$I$4:$I$387, '03_Base_Vendas'!$A$4:$A$387, M$85, '03_Base_Vendas'!$C$4:$C$387, "haircare")/SUMIFS('03_Base_Vendas'!$I$4:$I$387, '03_Base_Vendas'!$A$4:$A$387, M$85),0))</f>
        <v>164.1591289651661</v>
      </c>
      <c r="N105" s="42">
        <f>(SUMIFS('04_Base_Despesas'!$D$4:$D$219, '04_Base_Despesas'!$A$4:$A$219, N$85, '04_Base_Despesas'!$B$4:$B$219, "financeiro"))*(IFERROR(SUMIFS('03_Base_Vendas'!$I$4:$I$387, '03_Base_Vendas'!$A$4:$A$387, N$85, '03_Base_Vendas'!$C$4:$C$387, "haircare")/SUMIFS('03_Base_Vendas'!$I$4:$I$387, '03_Base_Vendas'!$A$4:$A$387, N$85),0))</f>
        <v>163.39889383007724</v>
      </c>
      <c r="O105" s="42">
        <f>(SUMIFS('04_Base_Despesas'!$D$4:$D$219, '04_Base_Despesas'!$A$4:$A$219, O$85, '04_Base_Despesas'!$B$4:$B$219, "financeiro"))*(IFERROR(SUMIFS('03_Base_Vendas'!$I$4:$I$387, '03_Base_Vendas'!$A$4:$A$387, O$85, '03_Base_Vendas'!$C$4:$C$387, "haircare")/SUMIFS('03_Base_Vendas'!$I$4:$I$387, '03_Base_Vendas'!$A$4:$A$387, O$85),0))</f>
        <v>166.84535237453332</v>
      </c>
      <c r="P105" s="42">
        <f>(SUMIFS('04_Base_Despesas'!$D$4:$D$219, '04_Base_Despesas'!$A$4:$A$219, P$85, '04_Base_Despesas'!$B$4:$B$219, "financeiro"))*(IFERROR(SUMIFS('03_Base_Vendas'!$I$4:$I$387, '03_Base_Vendas'!$A$4:$A$387, P$85, '03_Base_Vendas'!$C$4:$C$387, "haircare")/SUMIFS('03_Base_Vendas'!$I$4:$I$387, '03_Base_Vendas'!$A$4:$A$387, P$85),0))</f>
        <v>170.62941485485374</v>
      </c>
      <c r="Q105" s="42">
        <f>(SUMIFS('04_Base_Despesas'!$D$4:$D$219, '04_Base_Despesas'!$A$4:$A$219, Q$85, '04_Base_Despesas'!$B$4:$B$219, "financeiro"))*(IFERROR(SUMIFS('03_Base_Vendas'!$I$4:$I$387, '03_Base_Vendas'!$A$4:$A$387, Q$85, '03_Base_Vendas'!$C$4:$C$387, "haircare")/SUMIFS('03_Base_Vendas'!$I$4:$I$387, '03_Base_Vendas'!$A$4:$A$387, Q$85),0))</f>
        <v>201.93170547657598</v>
      </c>
      <c r="R105" s="42">
        <f>(SUMIFS('04_Base_Despesas'!$D$4:$D$219, '04_Base_Despesas'!$A$4:$A$219, R$85, '04_Base_Despesas'!$B$4:$B$219, "financeiro"))*(IFERROR(SUMIFS('03_Base_Vendas'!$I$4:$I$387, '03_Base_Vendas'!$A$4:$A$387, R$85, '03_Base_Vendas'!$C$4:$C$387, "haircare")/SUMIFS('03_Base_Vendas'!$I$4:$I$387, '03_Base_Vendas'!$A$4:$A$387, R$85),0))</f>
        <v>182.90670222447793</v>
      </c>
      <c r="S105" s="42">
        <f>(SUMIFS('04_Base_Despesas'!$D$4:$D$219, '04_Base_Despesas'!$A$4:$A$219, S$85, '04_Base_Despesas'!$B$4:$B$219, "financeiro"))*(IFERROR(SUMIFS('03_Base_Vendas'!$I$4:$I$387, '03_Base_Vendas'!$A$4:$A$387, S$85, '03_Base_Vendas'!$C$4:$C$387, "haircare")/SUMIFS('03_Base_Vendas'!$I$4:$I$387, '03_Base_Vendas'!$A$4:$A$387, S$85),0))</f>
        <v>199.54187352090034</v>
      </c>
      <c r="T105" s="42">
        <f>(SUMIFS('04_Base_Despesas'!$D$4:$D$219, '04_Base_Despesas'!$A$4:$A$219, T$85, '04_Base_Despesas'!$B$4:$B$219, "financeiro"))*(IFERROR(SUMIFS('03_Base_Vendas'!$I$4:$I$387, '03_Base_Vendas'!$A$4:$A$387, T$85, '03_Base_Vendas'!$C$4:$C$387, "haircare")/SUMIFS('03_Base_Vendas'!$I$4:$I$387, '03_Base_Vendas'!$A$4:$A$387, T$85),0))</f>
        <v>162.81734513269154</v>
      </c>
      <c r="U105" s="42">
        <f>(SUMIFS('04_Base_Despesas'!$D$4:$D$219, '04_Base_Despesas'!$A$4:$A$219, U$85, '04_Base_Despesas'!$B$4:$B$219, "financeiro"))*(IFERROR(SUMIFS('03_Base_Vendas'!$I$4:$I$387, '03_Base_Vendas'!$A$4:$A$387, U$85, '03_Base_Vendas'!$C$4:$C$387, "haircare")/SUMIFS('03_Base_Vendas'!$I$4:$I$387, '03_Base_Vendas'!$A$4:$A$387, U$85),0))</f>
        <v>180.30631390163609</v>
      </c>
      <c r="V105" s="42">
        <f>(SUMIFS('04_Base_Despesas'!$D$4:$D$219, '04_Base_Despesas'!$A$4:$A$219, V$85, '04_Base_Despesas'!$B$4:$B$219, "financeiro"))*(IFERROR(SUMIFS('03_Base_Vendas'!$I$4:$I$387, '03_Base_Vendas'!$A$4:$A$387, V$85, '03_Base_Vendas'!$C$4:$C$387, "haircare")/SUMIFS('03_Base_Vendas'!$I$4:$I$387, '03_Base_Vendas'!$A$4:$A$387, V$85),0))</f>
        <v>194.07307192919956</v>
      </c>
      <c r="W105" s="42">
        <f>(SUMIFS('04_Base_Despesas'!$D$4:$D$219, '04_Base_Despesas'!$A$4:$A$219, W$85, '04_Base_Despesas'!$B$4:$B$219, "financeiro"))*(IFERROR(SUMIFS('03_Base_Vendas'!$I$4:$I$387, '03_Base_Vendas'!$A$4:$A$387, W$85, '03_Base_Vendas'!$C$4:$C$387, "haircare")/SUMIFS('03_Base_Vendas'!$I$4:$I$387, '03_Base_Vendas'!$A$4:$A$387, W$85),0))</f>
        <v>193.19949003132152</v>
      </c>
      <c r="X105" s="42">
        <f>(SUMIFS('04_Base_Despesas'!$D$4:$D$219, '04_Base_Despesas'!$A$4:$A$219, X$85, '04_Base_Despesas'!$B$4:$B$219, "financeiro"))*(IFERROR(SUMIFS('03_Base_Vendas'!$I$4:$I$387, '03_Base_Vendas'!$A$4:$A$387, X$85, '03_Base_Vendas'!$C$4:$C$387, "haircare")/SUMIFS('03_Base_Vendas'!$I$4:$I$387, '03_Base_Vendas'!$A$4:$A$387, X$85),0))</f>
        <v>212.66781236660586</v>
      </c>
      <c r="Y105" s="42">
        <f>(SUMIFS('04_Base_Despesas'!$D$4:$D$219, '04_Base_Despesas'!$A$4:$A$219, Y$85, '04_Base_Despesas'!$B$4:$B$219, "financeiro"))*(IFERROR(SUMIFS('03_Base_Vendas'!$I$4:$I$387, '03_Base_Vendas'!$A$4:$A$387, Y$85, '03_Base_Vendas'!$C$4:$C$387, "haircare")/SUMIFS('03_Base_Vendas'!$I$4:$I$387, '03_Base_Vendas'!$A$4:$A$387, Y$85),0))</f>
        <v>173.24967318322945</v>
      </c>
      <c r="Z105" s="43">
        <f>SUM(B105:Y105)</f>
        <v>4790.0813261742032</v>
      </c>
    </row>
    <row r="106" spans="1:26" x14ac:dyDescent="0.25">
      <c r="A106" s="44" t="s">
        <v>119</v>
      </c>
      <c r="B106" s="45">
        <f t="shared" ref="B106:Y106" si="42">B104-B105</f>
        <v>-4649.9613700976815</v>
      </c>
      <c r="C106" s="45">
        <f t="shared" si="42"/>
        <v>-3909.3458371922429</v>
      </c>
      <c r="D106" s="45">
        <f t="shared" si="42"/>
        <v>-4624.8124081266596</v>
      </c>
      <c r="E106" s="45">
        <f t="shared" si="42"/>
        <v>-4127.7224316645506</v>
      </c>
      <c r="F106" s="45">
        <f t="shared" si="42"/>
        <v>-2568.9057225229762</v>
      </c>
      <c r="G106" s="45">
        <f t="shared" si="42"/>
        <v>-3689.7607601617492</v>
      </c>
      <c r="H106" s="45">
        <f t="shared" si="42"/>
        <v>-7458.3819798716422</v>
      </c>
      <c r="I106" s="45">
        <f t="shared" si="42"/>
        <v>-6673.5152819545692</v>
      </c>
      <c r="J106" s="45">
        <f t="shared" si="42"/>
        <v>-6284.5326794320463</v>
      </c>
      <c r="K106" s="45">
        <f t="shared" si="42"/>
        <v>-5073.9114376942107</v>
      </c>
      <c r="L106" s="45">
        <f t="shared" si="42"/>
        <v>-3378.9636952727733</v>
      </c>
      <c r="M106" s="45">
        <f t="shared" si="42"/>
        <v>-2777.5822833141829</v>
      </c>
      <c r="N106" s="45">
        <f t="shared" si="42"/>
        <v>-4389.5031610178521</v>
      </c>
      <c r="O106" s="45">
        <f t="shared" si="42"/>
        <v>-4820.5889377239</v>
      </c>
      <c r="P106" s="45">
        <f t="shared" si="42"/>
        <v>-3915.1758766577486</v>
      </c>
      <c r="Q106" s="45">
        <f t="shared" si="42"/>
        <v>-5528.2375092552866</v>
      </c>
      <c r="R106" s="45">
        <f t="shared" si="42"/>
        <v>-2765.8003007831039</v>
      </c>
      <c r="S106" s="45">
        <f t="shared" si="42"/>
        <v>-3331.1616540936861</v>
      </c>
      <c r="T106" s="45">
        <f t="shared" si="42"/>
        <v>-4688.4382590654286</v>
      </c>
      <c r="U106" s="45">
        <f t="shared" si="42"/>
        <v>-4880.9100379101556</v>
      </c>
      <c r="V106" s="45">
        <f t="shared" si="42"/>
        <v>-5067.7564717696177</v>
      </c>
      <c r="W106" s="45">
        <f t="shared" si="42"/>
        <v>-4415.2768231917298</v>
      </c>
      <c r="X106" s="45">
        <f t="shared" si="42"/>
        <v>346.69518096622414</v>
      </c>
      <c r="Y106" s="45">
        <f t="shared" si="42"/>
        <v>-1455.6005151866548</v>
      </c>
      <c r="Z106" s="43">
        <f>SUM(B106:Y106)</f>
        <v>-100129.15025299421</v>
      </c>
    </row>
    <row r="107" spans="1:26" x14ac:dyDescent="0.25">
      <c r="A107" s="41" t="s">
        <v>349</v>
      </c>
      <c r="B107" s="46">
        <f t="shared" ref="B107:Y107" si="43">IFERROR(B106/B89,0)</f>
        <v>-0.27055265173461657</v>
      </c>
      <c r="C107" s="46">
        <f t="shared" si="43"/>
        <v>-0.37459476027598582</v>
      </c>
      <c r="D107" s="46">
        <f t="shared" si="43"/>
        <v>-0.24576822601426204</v>
      </c>
      <c r="E107" s="46">
        <f t="shared" si="43"/>
        <v>-0.30412888856290549</v>
      </c>
      <c r="F107" s="46">
        <f t="shared" si="43"/>
        <v>-0.10276461449346171</v>
      </c>
      <c r="G107" s="46">
        <f t="shared" si="43"/>
        <v>-0.17423615677934745</v>
      </c>
      <c r="H107" s="46">
        <f t="shared" si="43"/>
        <v>-0.36076266002021107</v>
      </c>
      <c r="I107" s="46">
        <f t="shared" si="43"/>
        <v>-0.36333478238371075</v>
      </c>
      <c r="J107" s="46">
        <f t="shared" si="43"/>
        <v>-0.33262776843532893</v>
      </c>
      <c r="K107" s="46">
        <f t="shared" si="43"/>
        <v>-0.28694601529957992</v>
      </c>
      <c r="L107" s="46">
        <f t="shared" si="43"/>
        <v>-0.14517735308949978</v>
      </c>
      <c r="M107" s="46">
        <f t="shared" si="43"/>
        <v>-0.11151652697492562</v>
      </c>
      <c r="N107" s="46">
        <f t="shared" si="43"/>
        <v>-0.18491196777103419</v>
      </c>
      <c r="O107" s="46">
        <f t="shared" si="43"/>
        <v>-0.2531310075286195</v>
      </c>
      <c r="P107" s="46">
        <f t="shared" si="43"/>
        <v>-0.17645234836293147</v>
      </c>
      <c r="Q107" s="46">
        <f t="shared" si="43"/>
        <v>-0.26350676347495988</v>
      </c>
      <c r="R107" s="46">
        <f t="shared" si="43"/>
        <v>-9.7280668337010198E-2</v>
      </c>
      <c r="S107" s="46">
        <f t="shared" si="43"/>
        <v>-0.12282446629049347</v>
      </c>
      <c r="T107" s="46">
        <f t="shared" si="43"/>
        <v>-0.24572257113865251</v>
      </c>
      <c r="U107" s="46">
        <f t="shared" si="43"/>
        <v>-0.24440416500765655</v>
      </c>
      <c r="V107" s="46">
        <f t="shared" si="43"/>
        <v>-0.20206929506683272</v>
      </c>
      <c r="W107" s="46">
        <f t="shared" si="43"/>
        <v>-0.18134318712711381</v>
      </c>
      <c r="X107" s="46">
        <f t="shared" si="43"/>
        <v>8.5910672217912373E-3</v>
      </c>
      <c r="Y107" s="46">
        <f t="shared" si="43"/>
        <v>-5.9847294689712074E-2</v>
      </c>
      <c r="Z107" s="47">
        <f>IFERROR($Z$106/$Z$89,0)</f>
        <v>-0.19085131186753609</v>
      </c>
    </row>
  </sheetData>
  <mergeCells count="7">
    <mergeCell ref="A58:Z58"/>
    <mergeCell ref="A84:Z84"/>
    <mergeCell ref="A1:Z1"/>
    <mergeCell ref="A2:Z2"/>
    <mergeCell ref="A4:Z4"/>
    <mergeCell ref="A6:Z6"/>
    <mergeCell ref="A32:Z32"/>
  </mergeCells>
  <conditionalFormatting sqref="B23:Z23">
    <cfRule type="cellIs" dxfId="29" priority="2" operator="lessThan">
      <formula>0</formula>
    </cfRule>
    <cfRule type="cellIs" dxfId="28" priority="3" operator="greaterThan">
      <formula>0</formula>
    </cfRule>
  </conditionalFormatting>
  <conditionalFormatting sqref="B26:Z26">
    <cfRule type="cellIs" dxfId="27" priority="4" operator="lessThan">
      <formula>0</formula>
    </cfRule>
    <cfRule type="cellIs" dxfId="26" priority="5" operator="greaterThan">
      <formula>0</formula>
    </cfRule>
  </conditionalFormatting>
  <conditionalFormatting sqref="B28:Z28">
    <cfRule type="cellIs" dxfId="25" priority="6" operator="lessThan">
      <formula>0</formula>
    </cfRule>
    <cfRule type="cellIs" dxfId="24" priority="7" operator="greaterThan">
      <formula>0</formula>
    </cfRule>
  </conditionalFormatting>
  <conditionalFormatting sqref="B49:Z49">
    <cfRule type="cellIs" dxfId="23" priority="8" operator="lessThan">
      <formula>0</formula>
    </cfRule>
    <cfRule type="cellIs" dxfId="22" priority="9" operator="greaterThan">
      <formula>0</formula>
    </cfRule>
  </conditionalFormatting>
  <conditionalFormatting sqref="B52:Z52">
    <cfRule type="cellIs" dxfId="21" priority="10" operator="lessThan">
      <formula>0</formula>
    </cfRule>
    <cfRule type="cellIs" dxfId="20" priority="11" operator="greaterThan">
      <formula>0</formula>
    </cfRule>
  </conditionalFormatting>
  <conditionalFormatting sqref="B54:Z54">
    <cfRule type="cellIs" dxfId="19" priority="12" operator="lessThan">
      <formula>0</formula>
    </cfRule>
    <cfRule type="cellIs" dxfId="18" priority="13" operator="greaterThan">
      <formula>0</formula>
    </cfRule>
  </conditionalFormatting>
  <conditionalFormatting sqref="B75:Z75">
    <cfRule type="cellIs" dxfId="17" priority="14" operator="lessThan">
      <formula>0</formula>
    </cfRule>
    <cfRule type="cellIs" dxfId="16" priority="15" operator="greaterThan">
      <formula>0</formula>
    </cfRule>
  </conditionalFormatting>
  <conditionalFormatting sqref="B78:Z78">
    <cfRule type="cellIs" dxfId="15" priority="16" operator="lessThan">
      <formula>0</formula>
    </cfRule>
    <cfRule type="cellIs" dxfId="14" priority="17" operator="greaterThan">
      <formula>0</formula>
    </cfRule>
  </conditionalFormatting>
  <conditionalFormatting sqref="B80:Z80">
    <cfRule type="cellIs" dxfId="13" priority="18" operator="lessThan">
      <formula>0</formula>
    </cfRule>
    <cfRule type="cellIs" dxfId="12" priority="19" operator="greaterThan">
      <formula>0</formula>
    </cfRule>
  </conditionalFormatting>
  <conditionalFormatting sqref="B101:Z101">
    <cfRule type="cellIs" dxfId="11" priority="20" operator="lessThan">
      <formula>0</formula>
    </cfRule>
    <cfRule type="cellIs" dxfId="10" priority="21" operator="greaterThan">
      <formula>0</formula>
    </cfRule>
  </conditionalFormatting>
  <conditionalFormatting sqref="B104:Z104">
    <cfRule type="cellIs" dxfId="9" priority="22" operator="lessThan">
      <formula>0</formula>
    </cfRule>
    <cfRule type="cellIs" dxfId="8" priority="23" operator="greaterThan">
      <formula>0</formula>
    </cfRule>
  </conditionalFormatting>
  <conditionalFormatting sqref="B106:Z106">
    <cfRule type="cellIs" dxfId="7" priority="24" operator="lessThan">
      <formula>0</formula>
    </cfRule>
    <cfRule type="cellIs" dxfId="6" priority="25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Z1"/>
    </sheetView>
  </sheetViews>
  <sheetFormatPr defaultColWidth="8.7109375" defaultRowHeight="15" x14ac:dyDescent="0.25"/>
  <cols>
    <col min="1" max="1" width="38" customWidth="1"/>
    <col min="2" max="25" width="13" customWidth="1"/>
    <col min="26" max="26" width="15" customWidth="1"/>
  </cols>
  <sheetData>
    <row r="1" spans="1:26" ht="27.75" customHeight="1" x14ac:dyDescent="0.25">
      <c r="A1" s="8" t="s">
        <v>364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7" t="s">
        <v>365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4" spans="1:26" ht="19.5" customHeight="1" x14ac:dyDescent="0.25">
      <c r="A4" s="6" t="s">
        <v>366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48" t="s">
        <v>329</v>
      </c>
      <c r="B5" s="39" t="s">
        <v>135</v>
      </c>
      <c r="C5" s="39" t="s">
        <v>144</v>
      </c>
      <c r="D5" s="39" t="s">
        <v>145</v>
      </c>
      <c r="E5" s="39" t="s">
        <v>146</v>
      </c>
      <c r="F5" s="39" t="s">
        <v>147</v>
      </c>
      <c r="G5" s="39" t="s">
        <v>148</v>
      </c>
      <c r="H5" s="39" t="s">
        <v>149</v>
      </c>
      <c r="I5" s="39" t="s">
        <v>150</v>
      </c>
      <c r="J5" s="39" t="s">
        <v>151</v>
      </c>
      <c r="K5" s="39" t="s">
        <v>152</v>
      </c>
      <c r="L5" s="39" t="s">
        <v>153</v>
      </c>
      <c r="M5" s="39" t="s">
        <v>154</v>
      </c>
      <c r="N5" s="39" t="s">
        <v>155</v>
      </c>
      <c r="O5" s="39" t="s">
        <v>156</v>
      </c>
      <c r="P5" s="39" t="s">
        <v>157</v>
      </c>
      <c r="Q5" s="39" t="s">
        <v>158</v>
      </c>
      <c r="R5" s="39" t="s">
        <v>159</v>
      </c>
      <c r="S5" s="39" t="s">
        <v>160</v>
      </c>
      <c r="T5" s="39" t="s">
        <v>161</v>
      </c>
      <c r="U5" s="39" t="s">
        <v>162</v>
      </c>
      <c r="V5" s="39" t="s">
        <v>163</v>
      </c>
      <c r="W5" s="39" t="s">
        <v>164</v>
      </c>
      <c r="X5" s="39" t="s">
        <v>165</v>
      </c>
      <c r="Y5" s="39" t="s">
        <v>166</v>
      </c>
      <c r="Z5" s="40" t="s">
        <v>330</v>
      </c>
    </row>
    <row r="6" spans="1:26" x14ac:dyDescent="0.25">
      <c r="A6" s="30" t="s">
        <v>367</v>
      </c>
      <c r="B6" s="49">
        <f>'06_DRE_Consolidada'!B9</f>
        <v>150022.15</v>
      </c>
      <c r="C6" s="49">
        <f>'06_DRE_Consolidada'!C9</f>
        <v>124711.49999999999</v>
      </c>
      <c r="D6" s="49">
        <f>'06_DRE_Consolidada'!D9</f>
        <v>152101.80000000002</v>
      </c>
      <c r="E6" s="49">
        <f>'06_DRE_Consolidada'!E9</f>
        <v>139816.16</v>
      </c>
      <c r="F6" s="49">
        <f>'06_DRE_Consolidada'!F9</f>
        <v>194995.25000000003</v>
      </c>
      <c r="G6" s="49">
        <f>'06_DRE_Consolidada'!G9</f>
        <v>169722.3</v>
      </c>
      <c r="H6" s="49">
        <f>'06_DRE_Consolidada'!H9</f>
        <v>129208.72999999998</v>
      </c>
      <c r="I6" s="49">
        <f>'06_DRE_Consolidada'!I9</f>
        <v>128944.70999999998</v>
      </c>
      <c r="J6" s="49">
        <f>'06_DRE_Consolidada'!J9</f>
        <v>134950.95000000004</v>
      </c>
      <c r="K6" s="49">
        <f>'06_DRE_Consolidada'!K9</f>
        <v>148309.98000000001</v>
      </c>
      <c r="L6" s="49">
        <f>'06_DRE_Consolidada'!L9</f>
        <v>203059.57</v>
      </c>
      <c r="M6" s="49">
        <f>'06_DRE_Consolidada'!M9</f>
        <v>196874.79</v>
      </c>
      <c r="N6" s="49">
        <f>'06_DRE_Consolidada'!N9</f>
        <v>175740.44999999998</v>
      </c>
      <c r="O6" s="49">
        <f>'06_DRE_Consolidada'!O9</f>
        <v>145133.35999999999</v>
      </c>
      <c r="P6" s="49">
        <f>'06_DRE_Consolidada'!P9</f>
        <v>170854.18999999997</v>
      </c>
      <c r="Q6" s="49">
        <f>'06_DRE_Consolidada'!Q9</f>
        <v>144914.44999999998</v>
      </c>
      <c r="R6" s="49">
        <f>'06_DRE_Consolidada'!R9</f>
        <v>209011.74000000005</v>
      </c>
      <c r="S6" s="49">
        <f>'06_DRE_Consolidada'!S9</f>
        <v>184592.87</v>
      </c>
      <c r="T6" s="49">
        <f>'06_DRE_Consolidada'!T9</f>
        <v>153711.74999999997</v>
      </c>
      <c r="U6" s="49">
        <f>'06_DRE_Consolidada'!U9</f>
        <v>151133.64999999997</v>
      </c>
      <c r="V6" s="49">
        <f>'06_DRE_Consolidada'!V9</f>
        <v>156322.19</v>
      </c>
      <c r="W6" s="49">
        <f>'06_DRE_Consolidada'!W9</f>
        <v>168321.71000000002</v>
      </c>
      <c r="X6" s="49">
        <f>'06_DRE_Consolidada'!X9</f>
        <v>248324.24</v>
      </c>
      <c r="Y6" s="49">
        <f>'06_DRE_Consolidada'!Y9</f>
        <v>194275.21999999997</v>
      </c>
      <c r="Z6" s="43">
        <f t="shared" ref="Z6:Z16" si="0">SUM(B6:Y6)</f>
        <v>3975053.71</v>
      </c>
    </row>
    <row r="7" spans="1:26" x14ac:dyDescent="0.25">
      <c r="A7" s="30" t="s">
        <v>368</v>
      </c>
      <c r="B7" s="49">
        <f>'06_DRE_Consolidada'!B10</f>
        <v>81211.090000000011</v>
      </c>
      <c r="C7" s="49">
        <f>'06_DRE_Consolidada'!C10</f>
        <v>68953.100000000006</v>
      </c>
      <c r="D7" s="49">
        <f>'06_DRE_Consolidada'!D10</f>
        <v>83570.009999999995</v>
      </c>
      <c r="E7" s="49">
        <f>'06_DRE_Consolidada'!E10</f>
        <v>75794.19</v>
      </c>
      <c r="F7" s="49">
        <f>'06_DRE_Consolidada'!F10</f>
        <v>104404.85999999999</v>
      </c>
      <c r="G7" s="49">
        <f>'06_DRE_Consolidada'!G10</f>
        <v>93680.99</v>
      </c>
      <c r="H7" s="49">
        <f>'06_DRE_Consolidada'!H10</f>
        <v>70276.950000000012</v>
      </c>
      <c r="I7" s="49">
        <f>'06_DRE_Consolidada'!I10</f>
        <v>70294.679999999993</v>
      </c>
      <c r="J7" s="49">
        <f>'06_DRE_Consolidada'!J10</f>
        <v>73561.31</v>
      </c>
      <c r="K7" s="49">
        <f>'06_DRE_Consolidada'!K10</f>
        <v>82448.67</v>
      </c>
      <c r="L7" s="49">
        <f>'06_DRE_Consolidada'!L10</f>
        <v>112083.49999999997</v>
      </c>
      <c r="M7" s="49">
        <f>'06_DRE_Consolidada'!M10</f>
        <v>107675.60000000002</v>
      </c>
      <c r="N7" s="49">
        <f>'06_DRE_Consolidada'!N10</f>
        <v>98136.199999999983</v>
      </c>
      <c r="O7" s="49">
        <f>'06_DRE_Consolidada'!O10</f>
        <v>80785.75</v>
      </c>
      <c r="P7" s="49">
        <f>'06_DRE_Consolidada'!P10</f>
        <v>93776.320000000007</v>
      </c>
      <c r="Q7" s="49">
        <f>'06_DRE_Consolidada'!Q10</f>
        <v>78102.710000000006</v>
      </c>
      <c r="R7" s="49">
        <f>'06_DRE_Consolidada'!R10</f>
        <v>115982.16999999998</v>
      </c>
      <c r="S7" s="49">
        <f>'06_DRE_Consolidada'!S10</f>
        <v>102247.35999999997</v>
      </c>
      <c r="T7" s="49">
        <f>'06_DRE_Consolidada'!T10</f>
        <v>87509.79</v>
      </c>
      <c r="U7" s="49">
        <f>'06_DRE_Consolidada'!U10</f>
        <v>82350.720000000016</v>
      </c>
      <c r="V7" s="49">
        <f>'06_DRE_Consolidada'!V10</f>
        <v>86096.079999999987</v>
      </c>
      <c r="W7" s="49">
        <f>'06_DRE_Consolidada'!W10</f>
        <v>91811.889999999985</v>
      </c>
      <c r="X7" s="49">
        <f>'06_DRE_Consolidada'!X10</f>
        <v>133127.29</v>
      </c>
      <c r="Y7" s="49">
        <f>'06_DRE_Consolidada'!Y10</f>
        <v>105108.86000000002</v>
      </c>
      <c r="Z7" s="43">
        <f t="shared" si="0"/>
        <v>2178990.09</v>
      </c>
    </row>
    <row r="8" spans="1:26" x14ac:dyDescent="0.25">
      <c r="A8" s="30" t="s">
        <v>369</v>
      </c>
      <c r="B8" s="49">
        <f>'06_DRE_Consolidada'!B13</f>
        <v>50652.31</v>
      </c>
      <c r="C8" s="49">
        <f>'06_DRE_Consolidada'!C13</f>
        <v>52124.12</v>
      </c>
      <c r="D8" s="49">
        <f>'06_DRE_Consolidada'!D13</f>
        <v>50124.75</v>
      </c>
      <c r="E8" s="49">
        <f>'06_DRE_Consolidada'!E13</f>
        <v>49472.83</v>
      </c>
      <c r="F8" s="49">
        <f>'06_DRE_Consolidada'!F13</f>
        <v>51984.88</v>
      </c>
      <c r="G8" s="49">
        <f>'06_DRE_Consolidada'!G13</f>
        <v>50582.85</v>
      </c>
      <c r="H8" s="49">
        <f>'06_DRE_Consolidada'!H13</f>
        <v>51882.99</v>
      </c>
      <c r="I8" s="49">
        <f>'06_DRE_Consolidada'!I13</f>
        <v>51904.5</v>
      </c>
      <c r="J8" s="49">
        <f>'06_DRE_Consolidada'!J13</f>
        <v>52089.52</v>
      </c>
      <c r="K8" s="49">
        <f>'06_DRE_Consolidada'!K13</f>
        <v>52459.11</v>
      </c>
      <c r="L8" s="49">
        <f>'06_DRE_Consolidada'!L13</f>
        <v>50631.33</v>
      </c>
      <c r="M8" s="49">
        <f>'06_DRE_Consolidada'!M13</f>
        <v>51913.95</v>
      </c>
      <c r="N8" s="49">
        <f>'06_DRE_Consolidada'!N13</f>
        <v>51631.47</v>
      </c>
      <c r="O8" s="49">
        <f>'06_DRE_Consolidada'!O13</f>
        <v>51696.43</v>
      </c>
      <c r="P8" s="49">
        <f>'06_DRE_Consolidada'!P13</f>
        <v>52168.47</v>
      </c>
      <c r="Q8" s="49">
        <f>'06_DRE_Consolidada'!Q13</f>
        <v>51926.16</v>
      </c>
      <c r="R8" s="49">
        <f>'06_DRE_Consolidada'!R13</f>
        <v>52247.49</v>
      </c>
      <c r="S8" s="49">
        <f>'06_DRE_Consolidada'!S13</f>
        <v>50421.84</v>
      </c>
      <c r="T8" s="49">
        <f>'06_DRE_Consolidada'!T13</f>
        <v>50441.87</v>
      </c>
      <c r="U8" s="49">
        <f>'06_DRE_Consolidada'!U13</f>
        <v>51200.27</v>
      </c>
      <c r="V8" s="49">
        <f>'06_DRE_Consolidada'!V13</f>
        <v>51236.77</v>
      </c>
      <c r="W8" s="49">
        <f>'06_DRE_Consolidada'!W13</f>
        <v>51231.41</v>
      </c>
      <c r="X8" s="49">
        <f>'06_DRE_Consolidada'!X13</f>
        <v>51234.93</v>
      </c>
      <c r="Y8" s="49">
        <f>'06_DRE_Consolidada'!Y13</f>
        <v>51109.32</v>
      </c>
      <c r="Z8" s="43">
        <f t="shared" si="0"/>
        <v>1232369.5699999998</v>
      </c>
    </row>
    <row r="9" spans="1:26" x14ac:dyDescent="0.25">
      <c r="A9" s="30" t="s">
        <v>370</v>
      </c>
      <c r="B9" s="49">
        <f>'06_DRE_Consolidada'!B14</f>
        <v>9500.01</v>
      </c>
      <c r="C9" s="49">
        <f>'06_DRE_Consolidada'!C14</f>
        <v>9500</v>
      </c>
      <c r="D9" s="49">
        <f>'06_DRE_Consolidada'!D14</f>
        <v>9500</v>
      </c>
      <c r="E9" s="49">
        <f>'06_DRE_Consolidada'!E14</f>
        <v>9500</v>
      </c>
      <c r="F9" s="49">
        <f>'06_DRE_Consolidada'!F14</f>
        <v>9500</v>
      </c>
      <c r="G9" s="49">
        <f>'06_DRE_Consolidada'!G14</f>
        <v>9500</v>
      </c>
      <c r="H9" s="49">
        <f>'06_DRE_Consolidada'!H14</f>
        <v>9500</v>
      </c>
      <c r="I9" s="49">
        <f>'06_DRE_Consolidada'!I14</f>
        <v>9500</v>
      </c>
      <c r="J9" s="49">
        <f>'06_DRE_Consolidada'!J14</f>
        <v>9500</v>
      </c>
      <c r="K9" s="49">
        <f>'06_DRE_Consolidada'!K14</f>
        <v>9500</v>
      </c>
      <c r="L9" s="49">
        <f>'06_DRE_Consolidada'!L14</f>
        <v>9500</v>
      </c>
      <c r="M9" s="49">
        <f>'06_DRE_Consolidada'!M14</f>
        <v>9500</v>
      </c>
      <c r="N9" s="49">
        <f>'06_DRE_Consolidada'!N14</f>
        <v>9500.01</v>
      </c>
      <c r="O9" s="49">
        <f>'06_DRE_Consolidada'!O14</f>
        <v>9500</v>
      </c>
      <c r="P9" s="49">
        <f>'06_DRE_Consolidada'!P14</f>
        <v>9500</v>
      </c>
      <c r="Q9" s="49">
        <f>'06_DRE_Consolidada'!Q14</f>
        <v>9500</v>
      </c>
      <c r="R9" s="49">
        <f>'06_DRE_Consolidada'!R14</f>
        <v>9500.01</v>
      </c>
      <c r="S9" s="49">
        <f>'06_DRE_Consolidada'!S14</f>
        <v>9500.01</v>
      </c>
      <c r="T9" s="49">
        <f>'06_DRE_Consolidada'!T14</f>
        <v>9500.01</v>
      </c>
      <c r="U9" s="49">
        <f>'06_DRE_Consolidada'!U14</f>
        <v>9500</v>
      </c>
      <c r="V9" s="49">
        <f>'06_DRE_Consolidada'!V14</f>
        <v>9500</v>
      </c>
      <c r="W9" s="49">
        <f>'06_DRE_Consolidada'!W14</f>
        <v>9500</v>
      </c>
      <c r="X9" s="49">
        <f>'06_DRE_Consolidada'!X14</f>
        <v>9500</v>
      </c>
      <c r="Y9" s="49">
        <f>'06_DRE_Consolidada'!Y14</f>
        <v>9500.01</v>
      </c>
      <c r="Z9" s="43">
        <f t="shared" si="0"/>
        <v>228000.06000000006</v>
      </c>
    </row>
    <row r="10" spans="1:26" x14ac:dyDescent="0.25">
      <c r="A10" s="30" t="s">
        <v>371</v>
      </c>
      <c r="B10" s="49">
        <f>'06_DRE_Consolidada'!B15</f>
        <v>17846.39</v>
      </c>
      <c r="C10" s="49">
        <f>'06_DRE_Consolidada'!C15</f>
        <v>12148.23</v>
      </c>
      <c r="D10" s="49">
        <f>'06_DRE_Consolidada'!D15</f>
        <v>10991.08</v>
      </c>
      <c r="E10" s="49">
        <f>'06_DRE_Consolidada'!E15</f>
        <v>12370.69</v>
      </c>
      <c r="F10" s="49">
        <f>'06_DRE_Consolidada'!F15</f>
        <v>17102.54</v>
      </c>
      <c r="G10" s="49">
        <f>'06_DRE_Consolidada'!G15</f>
        <v>17727.79</v>
      </c>
      <c r="H10" s="49">
        <f>'06_DRE_Consolidada'!H15</f>
        <v>9948.49</v>
      </c>
      <c r="I10" s="49">
        <f>'06_DRE_Consolidada'!I15</f>
        <v>12849.46</v>
      </c>
      <c r="J10" s="49">
        <f>'06_DRE_Consolidada'!J15</f>
        <v>14265.61</v>
      </c>
      <c r="K10" s="49">
        <f>'06_DRE_Consolidada'!K15</f>
        <v>14515.82</v>
      </c>
      <c r="L10" s="49">
        <f>'06_DRE_Consolidada'!L15</f>
        <v>16089.31</v>
      </c>
      <c r="M10" s="49">
        <f>'06_DRE_Consolidada'!M15</f>
        <v>18182.099999999999</v>
      </c>
      <c r="N10" s="49">
        <f>'06_DRE_Consolidada'!N15</f>
        <v>15044.51</v>
      </c>
      <c r="O10" s="49">
        <f>'06_DRE_Consolidada'!O15</f>
        <v>12116.51</v>
      </c>
      <c r="P10" s="49">
        <f>'06_DRE_Consolidada'!P15</f>
        <v>15935.34</v>
      </c>
      <c r="Q10" s="49">
        <f>'06_DRE_Consolidada'!Q15</f>
        <v>12083.91</v>
      </c>
      <c r="R10" s="49">
        <f>'06_DRE_Consolidada'!R15</f>
        <v>20886.62</v>
      </c>
      <c r="S10" s="49">
        <f>'06_DRE_Consolidada'!S15</f>
        <v>15036.85</v>
      </c>
      <c r="T10" s="49">
        <f>'06_DRE_Consolidada'!T15</f>
        <v>13841.23</v>
      </c>
      <c r="U10" s="49">
        <f>'06_DRE_Consolidada'!U15</f>
        <v>12991.25</v>
      </c>
      <c r="V10" s="49">
        <f>'06_DRE_Consolidada'!V15</f>
        <v>11814.48</v>
      </c>
      <c r="W10" s="49">
        <f>'06_DRE_Consolidada'!W15</f>
        <v>15141.56</v>
      </c>
      <c r="X10" s="49">
        <f>'06_DRE_Consolidada'!X15</f>
        <v>17131.12</v>
      </c>
      <c r="Y10" s="49">
        <f>'06_DRE_Consolidada'!Y15</f>
        <v>14130.97</v>
      </c>
      <c r="Z10" s="43">
        <f t="shared" si="0"/>
        <v>350191.85999999993</v>
      </c>
    </row>
    <row r="11" spans="1:26" x14ac:dyDescent="0.25">
      <c r="A11" s="30" t="s">
        <v>372</v>
      </c>
      <c r="B11" s="49">
        <f>'06_DRE_Consolidada'!B16</f>
        <v>8993.9500000000007</v>
      </c>
      <c r="C11" s="49">
        <f>'06_DRE_Consolidada'!C16</f>
        <v>9160.58</v>
      </c>
      <c r="D11" s="49">
        <f>'06_DRE_Consolidada'!D16</f>
        <v>9764.07</v>
      </c>
      <c r="E11" s="49">
        <f>'06_DRE_Consolidada'!E16</f>
        <v>10858.12</v>
      </c>
      <c r="F11" s="49">
        <f>'06_DRE_Consolidada'!F16</f>
        <v>9866.92</v>
      </c>
      <c r="G11" s="49">
        <f>'06_DRE_Consolidada'!G16</f>
        <v>9425.93</v>
      </c>
      <c r="H11" s="49">
        <f>'06_DRE_Consolidada'!H16</f>
        <v>10739.52</v>
      </c>
      <c r="I11" s="49">
        <f>'06_DRE_Consolidada'!I16</f>
        <v>10757.29</v>
      </c>
      <c r="J11" s="49">
        <f>'06_DRE_Consolidada'!J16</f>
        <v>10794.97</v>
      </c>
      <c r="K11" s="49">
        <f>'06_DRE_Consolidada'!K16</f>
        <v>10176.35</v>
      </c>
      <c r="L11" s="49">
        <f>'06_DRE_Consolidada'!L16</f>
        <v>10253.379999999999</v>
      </c>
      <c r="M11" s="49">
        <f>'06_DRE_Consolidada'!M16</f>
        <v>9918.14</v>
      </c>
      <c r="N11" s="49">
        <f>'06_DRE_Consolidada'!N16</f>
        <v>9464.36</v>
      </c>
      <c r="O11" s="49">
        <f>'06_DRE_Consolidada'!O16</f>
        <v>10388.49</v>
      </c>
      <c r="P11" s="49">
        <f>'06_DRE_Consolidada'!P16</f>
        <v>11157.93</v>
      </c>
      <c r="Q11" s="49">
        <f>'06_DRE_Consolidada'!Q16</f>
        <v>9443.84</v>
      </c>
      <c r="R11" s="49">
        <f>'06_DRE_Consolidada'!R16</f>
        <v>10499.24</v>
      </c>
      <c r="S11" s="49">
        <f>'06_DRE_Consolidada'!S16</f>
        <v>9752.19</v>
      </c>
      <c r="T11" s="49">
        <f>'06_DRE_Consolidada'!T16</f>
        <v>9396.23</v>
      </c>
      <c r="U11" s="49">
        <f>'06_DRE_Consolidada'!U16</f>
        <v>9835.24</v>
      </c>
      <c r="V11" s="49">
        <f>'06_DRE_Consolidada'!V16</f>
        <v>9068.7999999999993</v>
      </c>
      <c r="W11" s="49">
        <f>'06_DRE_Consolidada'!W16</f>
        <v>9571.99</v>
      </c>
      <c r="X11" s="49">
        <f>'06_DRE_Consolidada'!X16</f>
        <v>10186.030000000001</v>
      </c>
      <c r="Y11" s="49">
        <f>'06_DRE_Consolidada'!Y16</f>
        <v>9303.17</v>
      </c>
      <c r="Z11" s="43">
        <f t="shared" si="0"/>
        <v>238776.72999999998</v>
      </c>
    </row>
    <row r="12" spans="1:26" x14ac:dyDescent="0.25">
      <c r="A12" s="30" t="s">
        <v>373</v>
      </c>
      <c r="B12" s="49">
        <f>'06_DRE_Consolidada'!B17</f>
        <v>6715.05</v>
      </c>
      <c r="C12" s="49">
        <f>'06_DRE_Consolidada'!C17</f>
        <v>6617.13</v>
      </c>
      <c r="D12" s="49">
        <f>'06_DRE_Consolidada'!D17</f>
        <v>6653.07</v>
      </c>
      <c r="E12" s="49">
        <f>'06_DRE_Consolidada'!E17</f>
        <v>6588.75</v>
      </c>
      <c r="F12" s="49">
        <f>'06_DRE_Consolidada'!F17</f>
        <v>6590.3</v>
      </c>
      <c r="G12" s="49">
        <f>'06_DRE_Consolidada'!G17</f>
        <v>6700.43</v>
      </c>
      <c r="H12" s="49">
        <f>'06_DRE_Consolidada'!H17</f>
        <v>6624.29</v>
      </c>
      <c r="I12" s="49">
        <f>'06_DRE_Consolidada'!I17</f>
        <v>6794.75</v>
      </c>
      <c r="J12" s="49">
        <f>'06_DRE_Consolidada'!J17</f>
        <v>6782.06</v>
      </c>
      <c r="K12" s="49">
        <f>'06_DRE_Consolidada'!K17</f>
        <v>6763.48</v>
      </c>
      <c r="L12" s="49">
        <f>'06_DRE_Consolidada'!L17</f>
        <v>6514.9</v>
      </c>
      <c r="M12" s="49">
        <f>'06_DRE_Consolidada'!M17</f>
        <v>6535.45</v>
      </c>
      <c r="N12" s="49">
        <f>'06_DRE_Consolidada'!N17</f>
        <v>6520.62</v>
      </c>
      <c r="O12" s="49">
        <f>'06_DRE_Consolidada'!O17</f>
        <v>6686.54</v>
      </c>
      <c r="P12" s="49">
        <f>'06_DRE_Consolidada'!P17</f>
        <v>6718.6</v>
      </c>
      <c r="Q12" s="49">
        <f>'06_DRE_Consolidada'!Q17</f>
        <v>6717.18</v>
      </c>
      <c r="R12" s="49">
        <f>'06_DRE_Consolidada'!R17</f>
        <v>6599.15</v>
      </c>
      <c r="S12" s="49">
        <f>'06_DRE_Consolidada'!S17</f>
        <v>6710.57</v>
      </c>
      <c r="T12" s="49">
        <f>'06_DRE_Consolidada'!T17</f>
        <v>6829.25</v>
      </c>
      <c r="U12" s="49">
        <f>'06_DRE_Consolidada'!U17</f>
        <v>6870.77</v>
      </c>
      <c r="V12" s="49">
        <f>'06_DRE_Consolidada'!V17</f>
        <v>6716.18</v>
      </c>
      <c r="W12" s="49">
        <f>'06_DRE_Consolidada'!W17</f>
        <v>6669.14</v>
      </c>
      <c r="X12" s="49">
        <f>'06_DRE_Consolidada'!X17</f>
        <v>6751.82</v>
      </c>
      <c r="Y12" s="49">
        <f>'06_DRE_Consolidada'!Y17</f>
        <v>0</v>
      </c>
      <c r="Z12" s="43">
        <f t="shared" si="0"/>
        <v>153669.47999999998</v>
      </c>
    </row>
    <row r="13" spans="1:26" x14ac:dyDescent="0.25">
      <c r="A13" s="30" t="s">
        <v>374</v>
      </c>
      <c r="B13" s="49">
        <f>'06_DRE_Consolidada'!B18</f>
        <v>4109.09</v>
      </c>
      <c r="C13" s="49">
        <f>'06_DRE_Consolidada'!C18</f>
        <v>2500</v>
      </c>
      <c r="D13" s="49">
        <f>'06_DRE_Consolidada'!D18</f>
        <v>2500</v>
      </c>
      <c r="E13" s="49">
        <f>'06_DRE_Consolidada'!E18</f>
        <v>4557.28</v>
      </c>
      <c r="F13" s="49">
        <f>'06_DRE_Consolidada'!F18</f>
        <v>2500</v>
      </c>
      <c r="G13" s="49">
        <f>'06_DRE_Consolidada'!G18</f>
        <v>2500</v>
      </c>
      <c r="H13" s="49">
        <f>'06_DRE_Consolidada'!H18</f>
        <v>4252.75</v>
      </c>
      <c r="I13" s="49">
        <f>'06_DRE_Consolidada'!I18</f>
        <v>2500</v>
      </c>
      <c r="J13" s="49">
        <f>'06_DRE_Consolidada'!J18</f>
        <v>2499.9899999999998</v>
      </c>
      <c r="K13" s="49">
        <f>'06_DRE_Consolidada'!K18</f>
        <v>4537.54</v>
      </c>
      <c r="L13" s="49">
        <f>'06_DRE_Consolidada'!L18</f>
        <v>2500</v>
      </c>
      <c r="M13" s="49">
        <f>'06_DRE_Consolidada'!M18</f>
        <v>2500</v>
      </c>
      <c r="N13" s="49">
        <f>'06_DRE_Consolidada'!N18</f>
        <v>4552.49</v>
      </c>
      <c r="O13" s="49">
        <f>'06_DRE_Consolidada'!O18</f>
        <v>2499.9899999999998</v>
      </c>
      <c r="P13" s="49">
        <f>'06_DRE_Consolidada'!P18</f>
        <v>2500</v>
      </c>
      <c r="Q13" s="49">
        <f>'06_DRE_Consolidada'!Q18</f>
        <v>4482.28</v>
      </c>
      <c r="R13" s="49">
        <f>'06_DRE_Consolidada'!R18</f>
        <v>2499.9899999999998</v>
      </c>
      <c r="S13" s="49">
        <f>'06_DRE_Consolidada'!S18</f>
        <v>2499.9899999999998</v>
      </c>
      <c r="T13" s="49">
        <f>'06_DRE_Consolidada'!T18</f>
        <v>4164.47</v>
      </c>
      <c r="U13" s="49">
        <f>'06_DRE_Consolidada'!U18</f>
        <v>2500</v>
      </c>
      <c r="V13" s="49">
        <f>'06_DRE_Consolidada'!V18</f>
        <v>2500</v>
      </c>
      <c r="W13" s="49">
        <f>'06_DRE_Consolidada'!W18</f>
        <v>4476.3599999999997</v>
      </c>
      <c r="X13" s="49">
        <f>'06_DRE_Consolidada'!X18</f>
        <v>2500</v>
      </c>
      <c r="Y13" s="49">
        <f>'06_DRE_Consolidada'!Y18</f>
        <v>2500</v>
      </c>
      <c r="Z13" s="43">
        <f t="shared" si="0"/>
        <v>75132.219999999987</v>
      </c>
    </row>
    <row r="14" spans="1:26" x14ac:dyDescent="0.25">
      <c r="A14" s="30" t="s">
        <v>375</v>
      </c>
      <c r="B14" s="49">
        <f>'06_DRE_Consolidada'!B19</f>
        <v>791.43</v>
      </c>
      <c r="C14" s="49">
        <f>'06_DRE_Consolidada'!C19</f>
        <v>878.67</v>
      </c>
      <c r="D14" s="49">
        <f>'06_DRE_Consolidada'!D19</f>
        <v>864.81</v>
      </c>
      <c r="E14" s="49">
        <f>'06_DRE_Consolidada'!E19</f>
        <v>688.55</v>
      </c>
      <c r="F14" s="49">
        <f>'06_DRE_Consolidada'!F19</f>
        <v>773.72</v>
      </c>
      <c r="G14" s="49">
        <f>'06_DRE_Consolidada'!G19</f>
        <v>770.82</v>
      </c>
      <c r="H14" s="49">
        <f>'06_DRE_Consolidada'!H19</f>
        <v>984.56</v>
      </c>
      <c r="I14" s="49">
        <f>'06_DRE_Consolidada'!I19</f>
        <v>873.81</v>
      </c>
      <c r="J14" s="49">
        <f>'06_DRE_Consolidada'!J19</f>
        <v>1050.3</v>
      </c>
      <c r="K14" s="49">
        <f>'06_DRE_Consolidada'!K19</f>
        <v>1132.05</v>
      </c>
      <c r="L14" s="49">
        <f>'06_DRE_Consolidada'!L19</f>
        <v>797.15</v>
      </c>
      <c r="M14" s="49">
        <f>'06_DRE_Consolidada'!M19</f>
        <v>767.13</v>
      </c>
      <c r="N14" s="49">
        <f>'06_DRE_Consolidada'!N19</f>
        <v>589.94000000000005</v>
      </c>
      <c r="O14" s="49">
        <f>'06_DRE_Consolidada'!O19</f>
        <v>632.86</v>
      </c>
      <c r="P14" s="49">
        <f>'06_DRE_Consolidada'!P19</f>
        <v>922.21</v>
      </c>
      <c r="Q14" s="49">
        <f>'06_DRE_Consolidada'!Q19</f>
        <v>882.14</v>
      </c>
      <c r="R14" s="49">
        <f>'06_DRE_Consolidada'!R19</f>
        <v>863.62</v>
      </c>
      <c r="S14" s="49">
        <f>'06_DRE_Consolidada'!S19</f>
        <v>999.96</v>
      </c>
      <c r="T14" s="49">
        <f>'06_DRE_Consolidada'!T19</f>
        <v>818.51</v>
      </c>
      <c r="U14" s="49">
        <f>'06_DRE_Consolidada'!U19</f>
        <v>1058.21</v>
      </c>
      <c r="V14" s="49">
        <f>'06_DRE_Consolidada'!V19</f>
        <v>896.54</v>
      </c>
      <c r="W14" s="49">
        <f>'06_DRE_Consolidada'!W19</f>
        <v>852.41</v>
      </c>
      <c r="X14" s="49">
        <f>'06_DRE_Consolidada'!X19</f>
        <v>889.93</v>
      </c>
      <c r="Y14" s="49">
        <f>'06_DRE_Consolidada'!Y19</f>
        <v>648.47</v>
      </c>
      <c r="Z14" s="43">
        <f t="shared" si="0"/>
        <v>20427.800000000003</v>
      </c>
    </row>
    <row r="15" spans="1:26" x14ac:dyDescent="0.25">
      <c r="A15" s="30" t="s">
        <v>376</v>
      </c>
      <c r="B15" s="49">
        <f>'06_DRE_Consolidada'!B25</f>
        <v>1365.44</v>
      </c>
      <c r="C15" s="49">
        <f>'06_DRE_Consolidada'!C25</f>
        <v>1351.57</v>
      </c>
      <c r="D15" s="49">
        <f>'06_DRE_Consolidada'!D25</f>
        <v>1345.81</v>
      </c>
      <c r="E15" s="49">
        <f>'06_DRE_Consolidada'!E25</f>
        <v>1298.0999999999999</v>
      </c>
      <c r="F15" s="49">
        <f>'06_DRE_Consolidada'!F25</f>
        <v>1353.03</v>
      </c>
      <c r="G15" s="49">
        <f>'06_DRE_Consolidada'!G25</f>
        <v>1278.47</v>
      </c>
      <c r="H15" s="49">
        <f>'06_DRE_Consolidada'!H25</f>
        <v>5445.99</v>
      </c>
      <c r="I15" s="49">
        <f>'06_DRE_Consolidada'!I25</f>
        <v>1313.68</v>
      </c>
      <c r="J15" s="49">
        <f>'06_DRE_Consolidada'!J25</f>
        <v>1301.22</v>
      </c>
      <c r="K15" s="49">
        <f>'06_DRE_Consolidada'!K25</f>
        <v>1178.82</v>
      </c>
      <c r="L15" s="49">
        <f>'06_DRE_Consolidada'!L25</f>
        <v>1292.18</v>
      </c>
      <c r="M15" s="49">
        <f>'06_DRE_Consolidada'!M25</f>
        <v>1297.56</v>
      </c>
      <c r="N15" s="49">
        <f>'06_DRE_Consolidada'!N25</f>
        <v>1209.68</v>
      </c>
      <c r="O15" s="49">
        <f>'06_DRE_Consolidada'!O25</f>
        <v>1271.53</v>
      </c>
      <c r="P15" s="49">
        <f>'06_DRE_Consolidada'!P25</f>
        <v>1313.88</v>
      </c>
      <c r="Q15" s="49">
        <f>'06_DRE_Consolidada'!Q25</f>
        <v>1394.83</v>
      </c>
      <c r="R15" s="49">
        <f>'06_DRE_Consolidada'!R25</f>
        <v>1344.64</v>
      </c>
      <c r="S15" s="49">
        <f>'06_DRE_Consolidada'!S25</f>
        <v>1358.12</v>
      </c>
      <c r="T15" s="49">
        <f>'06_DRE_Consolidada'!T25</f>
        <v>1311.67</v>
      </c>
      <c r="U15" s="49">
        <f>'06_DRE_Consolidada'!U25</f>
        <v>1364.52</v>
      </c>
      <c r="V15" s="49">
        <f>'06_DRE_Consolidada'!V25</f>
        <v>1209.68</v>
      </c>
      <c r="W15" s="49">
        <f>'06_DRE_Consolidada'!W25</f>
        <v>1335.64</v>
      </c>
      <c r="X15" s="49">
        <f>'06_DRE_Consolidada'!X25</f>
        <v>1308.6400000000001</v>
      </c>
      <c r="Y15" s="49">
        <f>'06_DRE_Consolidada'!Y25</f>
        <v>1383.86</v>
      </c>
      <c r="Z15" s="43">
        <f t="shared" si="0"/>
        <v>35628.560000000005</v>
      </c>
    </row>
    <row r="16" spans="1:26" x14ac:dyDescent="0.25">
      <c r="A16" s="50" t="s">
        <v>377</v>
      </c>
      <c r="B16" s="45">
        <f t="shared" ref="B16:Y16" si="1">B6-(B7+B8+B9+B10+B11+B12+B13+B14+B15)</f>
        <v>-31162.610000000044</v>
      </c>
      <c r="C16" s="45">
        <f t="shared" si="1"/>
        <v>-38521.900000000038</v>
      </c>
      <c r="D16" s="45">
        <f t="shared" si="1"/>
        <v>-23211.799999999988</v>
      </c>
      <c r="E16" s="45">
        <f t="shared" si="1"/>
        <v>-31312.350000000006</v>
      </c>
      <c r="F16" s="45">
        <f t="shared" si="1"/>
        <v>-9080.9999999999709</v>
      </c>
      <c r="G16" s="45">
        <f t="shared" si="1"/>
        <v>-22444.98000000001</v>
      </c>
      <c r="H16" s="45">
        <f t="shared" si="1"/>
        <v>-40446.81</v>
      </c>
      <c r="I16" s="45">
        <f t="shared" si="1"/>
        <v>-37843.460000000006</v>
      </c>
      <c r="J16" s="45">
        <f t="shared" si="1"/>
        <v>-36894.029999999941</v>
      </c>
      <c r="K16" s="45">
        <f t="shared" si="1"/>
        <v>-34401.860000000015</v>
      </c>
      <c r="L16" s="45">
        <f t="shared" si="1"/>
        <v>-6602.1799999999348</v>
      </c>
      <c r="M16" s="45">
        <f t="shared" si="1"/>
        <v>-11415.140000000043</v>
      </c>
      <c r="N16" s="45">
        <f t="shared" si="1"/>
        <v>-20908.829999999987</v>
      </c>
      <c r="O16" s="45">
        <f t="shared" si="1"/>
        <v>-30444.739999999991</v>
      </c>
      <c r="P16" s="45">
        <f t="shared" si="1"/>
        <v>-23138.560000000027</v>
      </c>
      <c r="Q16" s="45">
        <f t="shared" si="1"/>
        <v>-29618.600000000006</v>
      </c>
      <c r="R16" s="45">
        <f t="shared" si="1"/>
        <v>-11411.189999999915</v>
      </c>
      <c r="S16" s="45">
        <f t="shared" si="1"/>
        <v>-13934.01999999996</v>
      </c>
      <c r="T16" s="45">
        <f t="shared" si="1"/>
        <v>-30101.280000000086</v>
      </c>
      <c r="U16" s="45">
        <f t="shared" si="1"/>
        <v>-26537.330000000016</v>
      </c>
      <c r="V16" s="45">
        <f t="shared" si="1"/>
        <v>-22716.339999999967</v>
      </c>
      <c r="W16" s="45">
        <f t="shared" si="1"/>
        <v>-22268.689999999973</v>
      </c>
      <c r="X16" s="45">
        <f t="shared" si="1"/>
        <v>15694.479999999981</v>
      </c>
      <c r="Y16" s="45">
        <f t="shared" si="1"/>
        <v>590.55999999993946</v>
      </c>
      <c r="Z16" s="43">
        <f t="shared" si="0"/>
        <v>-538132.6599999998</v>
      </c>
    </row>
    <row r="19" spans="1:26" ht="19.5" customHeight="1" x14ac:dyDescent="0.25">
      <c r="A19" s="6" t="s">
        <v>378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48" t="s">
        <v>329</v>
      </c>
      <c r="B20" s="39" t="s">
        <v>135</v>
      </c>
      <c r="C20" s="39" t="s">
        <v>144</v>
      </c>
      <c r="D20" s="39" t="s">
        <v>145</v>
      </c>
      <c r="E20" s="39" t="s">
        <v>146</v>
      </c>
      <c r="F20" s="39" t="s">
        <v>147</v>
      </c>
      <c r="G20" s="39" t="s">
        <v>148</v>
      </c>
      <c r="H20" s="39" t="s">
        <v>149</v>
      </c>
      <c r="I20" s="39" t="s">
        <v>150</v>
      </c>
      <c r="J20" s="39" t="s">
        <v>151</v>
      </c>
      <c r="K20" s="39" t="s">
        <v>152</v>
      </c>
      <c r="L20" s="39" t="s">
        <v>153</v>
      </c>
      <c r="M20" s="39" t="s">
        <v>154</v>
      </c>
      <c r="N20" s="39" t="s">
        <v>155</v>
      </c>
      <c r="O20" s="39" t="s">
        <v>156</v>
      </c>
      <c r="P20" s="39" t="s">
        <v>157</v>
      </c>
      <c r="Q20" s="39" t="s">
        <v>158</v>
      </c>
      <c r="R20" s="39" t="s">
        <v>159</v>
      </c>
      <c r="S20" s="39" t="s">
        <v>160</v>
      </c>
      <c r="T20" s="39" t="s">
        <v>161</v>
      </c>
      <c r="U20" s="39" t="s">
        <v>162</v>
      </c>
      <c r="V20" s="39" t="s">
        <v>163</v>
      </c>
      <c r="W20" s="39" t="s">
        <v>164</v>
      </c>
      <c r="X20" s="39" t="s">
        <v>165</v>
      </c>
      <c r="Y20" s="39" t="s">
        <v>166</v>
      </c>
      <c r="Z20" s="40" t="s">
        <v>330</v>
      </c>
    </row>
    <row r="21" spans="1:26" x14ac:dyDescent="0.25">
      <c r="A21" s="30" t="s">
        <v>119</v>
      </c>
      <c r="B21" s="49">
        <f>'06_DRE_Consolidada'!B26</f>
        <v>-33362.6</v>
      </c>
      <c r="C21" s="49">
        <f>'06_DRE_Consolidada'!C26</f>
        <v>-40721.900000000031</v>
      </c>
      <c r="D21" s="49">
        <f>'06_DRE_Consolidada'!D26</f>
        <v>-25411.789999999975</v>
      </c>
      <c r="E21" s="49">
        <f>'06_DRE_Consolidada'!E26</f>
        <v>-33512.339999999997</v>
      </c>
      <c r="F21" s="49">
        <f>'06_DRE_Consolidada'!F26</f>
        <v>-11280.989999999958</v>
      </c>
      <c r="G21" s="49">
        <f>'06_DRE_Consolidada'!G26</f>
        <v>-24644.970000000023</v>
      </c>
      <c r="H21" s="49">
        <f>'06_DRE_Consolidada'!H26</f>
        <v>-42646.800000000017</v>
      </c>
      <c r="I21" s="49">
        <f>'06_DRE_Consolidada'!I26</f>
        <v>-40043.460000000014</v>
      </c>
      <c r="J21" s="49">
        <f>'06_DRE_Consolidada'!J26</f>
        <v>-39094.019999999968</v>
      </c>
      <c r="K21" s="49">
        <f>'06_DRE_Consolidada'!K26</f>
        <v>-36601.859999999979</v>
      </c>
      <c r="L21" s="49">
        <f>'06_DRE_Consolidada'!L26</f>
        <v>-8802.1799999999566</v>
      </c>
      <c r="M21" s="49">
        <f>'06_DRE_Consolidada'!M26</f>
        <v>-13615.140000000001</v>
      </c>
      <c r="N21" s="49">
        <f>'06_DRE_Consolidada'!N26</f>
        <v>-23108.830000000009</v>
      </c>
      <c r="O21" s="49">
        <f>'06_DRE_Consolidada'!O26</f>
        <v>-32644.74000000002</v>
      </c>
      <c r="P21" s="49">
        <f>'06_DRE_Consolidada'!P26</f>
        <v>-25338.560000000038</v>
      </c>
      <c r="Q21" s="49">
        <f>'06_DRE_Consolidada'!Q26</f>
        <v>-31818.60000000002</v>
      </c>
      <c r="R21" s="49">
        <f>'06_DRE_Consolidada'!R26</f>
        <v>-13611.179999999929</v>
      </c>
      <c r="S21" s="49">
        <f>'06_DRE_Consolidada'!S26</f>
        <v>-16134.019999999979</v>
      </c>
      <c r="T21" s="49">
        <f>'06_DRE_Consolidada'!T26</f>
        <v>-32301.280000000013</v>
      </c>
      <c r="U21" s="49">
        <f>'06_DRE_Consolidada'!U26</f>
        <v>-28737.330000000056</v>
      </c>
      <c r="V21" s="49">
        <f>'06_DRE_Consolidada'!V26</f>
        <v>-24916.339999999989</v>
      </c>
      <c r="W21" s="49">
        <f>'06_DRE_Consolidada'!W26</f>
        <v>-24468.679999999971</v>
      </c>
      <c r="X21" s="49">
        <f>'06_DRE_Consolidada'!X26</f>
        <v>13494.479999999996</v>
      </c>
      <c r="Y21" s="49">
        <f>'06_DRE_Consolidada'!Y26</f>
        <v>-1609.4400000000453</v>
      </c>
      <c r="Z21" s="43">
        <f t="shared" ref="Z21:Z26" si="2">SUM(B21:Y21)</f>
        <v>-590932.57000000007</v>
      </c>
    </row>
    <row r="22" spans="1:26" x14ac:dyDescent="0.25">
      <c r="A22" s="30" t="s">
        <v>379</v>
      </c>
      <c r="B22" s="49">
        <f>'06_DRE_Consolidada'!B23</f>
        <v>2199.9899999999998</v>
      </c>
      <c r="C22" s="49">
        <f>'06_DRE_Consolidada'!C23</f>
        <v>2200</v>
      </c>
      <c r="D22" s="49">
        <f>'06_DRE_Consolidada'!D23</f>
        <v>2199.9899999999998</v>
      </c>
      <c r="E22" s="49">
        <f>'06_DRE_Consolidada'!E23</f>
        <v>2199.9899999999998</v>
      </c>
      <c r="F22" s="49">
        <f>'06_DRE_Consolidada'!F23</f>
        <v>2199.9899999999998</v>
      </c>
      <c r="G22" s="49">
        <f>'06_DRE_Consolidada'!G23</f>
        <v>2199.9899999999998</v>
      </c>
      <c r="H22" s="49">
        <f>'06_DRE_Consolidada'!H23</f>
        <v>2199.9899999999998</v>
      </c>
      <c r="I22" s="49">
        <f>'06_DRE_Consolidada'!I23</f>
        <v>2200</v>
      </c>
      <c r="J22" s="49">
        <f>'06_DRE_Consolidada'!J23</f>
        <v>2199.9899999999998</v>
      </c>
      <c r="K22" s="49">
        <f>'06_DRE_Consolidada'!K23</f>
        <v>2200</v>
      </c>
      <c r="L22" s="49">
        <f>'06_DRE_Consolidada'!L23</f>
        <v>2200</v>
      </c>
      <c r="M22" s="49">
        <f>'06_DRE_Consolidada'!M23</f>
        <v>2200</v>
      </c>
      <c r="N22" s="49">
        <f>'06_DRE_Consolidada'!N23</f>
        <v>2200</v>
      </c>
      <c r="O22" s="49">
        <f>'06_DRE_Consolidada'!O23</f>
        <v>2200</v>
      </c>
      <c r="P22" s="49">
        <f>'06_DRE_Consolidada'!P23</f>
        <v>2200</v>
      </c>
      <c r="Q22" s="49">
        <f>'06_DRE_Consolidada'!Q23</f>
        <v>2200</v>
      </c>
      <c r="R22" s="49">
        <f>'06_DRE_Consolidada'!R23</f>
        <v>2199.9899999999998</v>
      </c>
      <c r="S22" s="49">
        <f>'06_DRE_Consolidada'!S23</f>
        <v>2200</v>
      </c>
      <c r="T22" s="49">
        <f>'06_DRE_Consolidada'!T23</f>
        <v>2200</v>
      </c>
      <c r="U22" s="49">
        <f>'06_DRE_Consolidada'!U23</f>
        <v>2200</v>
      </c>
      <c r="V22" s="49">
        <f>'06_DRE_Consolidada'!V23</f>
        <v>2200</v>
      </c>
      <c r="W22" s="49">
        <f>'06_DRE_Consolidada'!W23</f>
        <v>2199.9899999999998</v>
      </c>
      <c r="X22" s="49">
        <f>'06_DRE_Consolidada'!X23</f>
        <v>2200</v>
      </c>
      <c r="Y22" s="49">
        <f>'06_DRE_Consolidada'!Y23</f>
        <v>2200</v>
      </c>
      <c r="Z22" s="43">
        <f t="shared" si="2"/>
        <v>52799.909999999996</v>
      </c>
    </row>
    <row r="23" spans="1:26" x14ac:dyDescent="0.25">
      <c r="A23" s="30" t="s">
        <v>380</v>
      </c>
      <c r="B23" s="49">
        <f>'06_DRE_Consolidada'!B25</f>
        <v>1365.44</v>
      </c>
      <c r="C23" s="49">
        <f>'06_DRE_Consolidada'!C25</f>
        <v>1351.57</v>
      </c>
      <c r="D23" s="49">
        <f>'06_DRE_Consolidada'!D25</f>
        <v>1345.81</v>
      </c>
      <c r="E23" s="49">
        <f>'06_DRE_Consolidada'!E25</f>
        <v>1298.0999999999999</v>
      </c>
      <c r="F23" s="49">
        <f>'06_DRE_Consolidada'!F25</f>
        <v>1353.03</v>
      </c>
      <c r="G23" s="49">
        <f>'06_DRE_Consolidada'!G25</f>
        <v>1278.47</v>
      </c>
      <c r="H23" s="49">
        <f>'06_DRE_Consolidada'!H25</f>
        <v>5445.99</v>
      </c>
      <c r="I23" s="49">
        <f>'06_DRE_Consolidada'!I25</f>
        <v>1313.68</v>
      </c>
      <c r="J23" s="49">
        <f>'06_DRE_Consolidada'!J25</f>
        <v>1301.22</v>
      </c>
      <c r="K23" s="49">
        <f>'06_DRE_Consolidada'!K25</f>
        <v>1178.82</v>
      </c>
      <c r="L23" s="49">
        <f>'06_DRE_Consolidada'!L25</f>
        <v>1292.18</v>
      </c>
      <c r="M23" s="49">
        <f>'06_DRE_Consolidada'!M25</f>
        <v>1297.56</v>
      </c>
      <c r="N23" s="49">
        <f>'06_DRE_Consolidada'!N25</f>
        <v>1209.68</v>
      </c>
      <c r="O23" s="49">
        <f>'06_DRE_Consolidada'!O25</f>
        <v>1271.53</v>
      </c>
      <c r="P23" s="49">
        <f>'06_DRE_Consolidada'!P25</f>
        <v>1313.88</v>
      </c>
      <c r="Q23" s="49">
        <f>'06_DRE_Consolidada'!Q25</f>
        <v>1394.83</v>
      </c>
      <c r="R23" s="49">
        <f>'06_DRE_Consolidada'!R25</f>
        <v>1344.64</v>
      </c>
      <c r="S23" s="49">
        <f>'06_DRE_Consolidada'!S25</f>
        <v>1358.12</v>
      </c>
      <c r="T23" s="49">
        <f>'06_DRE_Consolidada'!T25</f>
        <v>1311.67</v>
      </c>
      <c r="U23" s="49">
        <f>'06_DRE_Consolidada'!U25</f>
        <v>1364.52</v>
      </c>
      <c r="V23" s="49">
        <f>'06_DRE_Consolidada'!V25</f>
        <v>1209.68</v>
      </c>
      <c r="W23" s="49">
        <f>'06_DRE_Consolidada'!W25</f>
        <v>1335.64</v>
      </c>
      <c r="X23" s="49">
        <f>'06_DRE_Consolidada'!X25</f>
        <v>1308.6400000000001</v>
      </c>
      <c r="Y23" s="49">
        <f>'06_DRE_Consolidada'!Y25</f>
        <v>1383.86</v>
      </c>
      <c r="Z23" s="43">
        <f t="shared" si="2"/>
        <v>35628.560000000005</v>
      </c>
    </row>
    <row r="24" spans="1:26" x14ac:dyDescent="0.25">
      <c r="A24" s="50" t="s">
        <v>381</v>
      </c>
      <c r="B24" s="45">
        <f t="shared" ref="B24:Y24" si="3">B21+B22+B23</f>
        <v>-29797.170000000002</v>
      </c>
      <c r="C24" s="45">
        <f t="shared" si="3"/>
        <v>-37170.330000000031</v>
      </c>
      <c r="D24" s="45">
        <f t="shared" si="3"/>
        <v>-21865.989999999972</v>
      </c>
      <c r="E24" s="45">
        <f t="shared" si="3"/>
        <v>-30014.25</v>
      </c>
      <c r="F24" s="45">
        <f t="shared" si="3"/>
        <v>-7727.9699999999584</v>
      </c>
      <c r="G24" s="45">
        <f t="shared" si="3"/>
        <v>-21166.510000000024</v>
      </c>
      <c r="H24" s="45">
        <f t="shared" si="3"/>
        <v>-35000.820000000022</v>
      </c>
      <c r="I24" s="45">
        <f t="shared" si="3"/>
        <v>-36529.780000000013</v>
      </c>
      <c r="J24" s="45">
        <f t="shared" si="3"/>
        <v>-35592.809999999969</v>
      </c>
      <c r="K24" s="45">
        <f t="shared" si="3"/>
        <v>-33223.039999999979</v>
      </c>
      <c r="L24" s="45">
        <f t="shared" si="3"/>
        <v>-5309.9999999999563</v>
      </c>
      <c r="M24" s="45">
        <f t="shared" si="3"/>
        <v>-10117.580000000002</v>
      </c>
      <c r="N24" s="45">
        <f t="shared" si="3"/>
        <v>-19699.150000000009</v>
      </c>
      <c r="O24" s="45">
        <f t="shared" si="3"/>
        <v>-29173.210000000021</v>
      </c>
      <c r="P24" s="45">
        <f t="shared" si="3"/>
        <v>-21824.680000000037</v>
      </c>
      <c r="Q24" s="45">
        <f t="shared" si="3"/>
        <v>-28223.770000000019</v>
      </c>
      <c r="R24" s="45">
        <f t="shared" si="3"/>
        <v>-10066.54999999993</v>
      </c>
      <c r="S24" s="45">
        <f t="shared" si="3"/>
        <v>-12575.89999999998</v>
      </c>
      <c r="T24" s="45">
        <f t="shared" si="3"/>
        <v>-28789.610000000015</v>
      </c>
      <c r="U24" s="45">
        <f t="shared" si="3"/>
        <v>-25172.810000000056</v>
      </c>
      <c r="V24" s="45">
        <f t="shared" si="3"/>
        <v>-21506.659999999989</v>
      </c>
      <c r="W24" s="45">
        <f t="shared" si="3"/>
        <v>-20933.049999999974</v>
      </c>
      <c r="X24" s="45">
        <f t="shared" si="3"/>
        <v>17003.119999999995</v>
      </c>
      <c r="Y24" s="45">
        <f t="shared" si="3"/>
        <v>1974.4199999999546</v>
      </c>
      <c r="Z24" s="43">
        <f t="shared" si="2"/>
        <v>-502504.1</v>
      </c>
    </row>
    <row r="25" spans="1:26" x14ac:dyDescent="0.25">
      <c r="A25" s="30" t="s">
        <v>382</v>
      </c>
      <c r="B25" s="42">
        <f>0</f>
        <v>0</v>
      </c>
      <c r="C25" s="42">
        <f>0</f>
        <v>0</v>
      </c>
      <c r="D25" s="42">
        <f>0</f>
        <v>0</v>
      </c>
      <c r="E25" s="42">
        <f>0</f>
        <v>0</v>
      </c>
      <c r="F25" s="42">
        <f>0</f>
        <v>0</v>
      </c>
      <c r="G25" s="42">
        <f>0</f>
        <v>0</v>
      </c>
      <c r="H25" s="42">
        <f>0</f>
        <v>0</v>
      </c>
      <c r="I25" s="42">
        <f>0</f>
        <v>0</v>
      </c>
      <c r="J25" s="42">
        <f>0</f>
        <v>0</v>
      </c>
      <c r="K25" s="42">
        <f>0</f>
        <v>0</v>
      </c>
      <c r="L25" s="42">
        <f>0</f>
        <v>0</v>
      </c>
      <c r="M25" s="42">
        <f>0</f>
        <v>0</v>
      </c>
      <c r="N25" s="42">
        <f>0</f>
        <v>0</v>
      </c>
      <c r="O25" s="42">
        <f>0</f>
        <v>0</v>
      </c>
      <c r="P25" s="42">
        <f>0</f>
        <v>0</v>
      </c>
      <c r="Q25" s="42">
        <f>0</f>
        <v>0</v>
      </c>
      <c r="R25" s="42">
        <f>0</f>
        <v>0</v>
      </c>
      <c r="S25" s="42">
        <f>0</f>
        <v>0</v>
      </c>
      <c r="T25" s="42">
        <f>0</f>
        <v>0</v>
      </c>
      <c r="U25" s="42">
        <f>0</f>
        <v>0</v>
      </c>
      <c r="V25" s="42">
        <f>0</f>
        <v>0</v>
      </c>
      <c r="W25" s="42">
        <f>0</f>
        <v>0</v>
      </c>
      <c r="X25" s="42">
        <f>0</f>
        <v>0</v>
      </c>
      <c r="Y25" s="42">
        <f>0</f>
        <v>0</v>
      </c>
      <c r="Z25" s="43">
        <f t="shared" si="2"/>
        <v>0</v>
      </c>
    </row>
    <row r="26" spans="1:26" x14ac:dyDescent="0.25">
      <c r="A26" s="50" t="s">
        <v>383</v>
      </c>
      <c r="B26" s="45">
        <f t="shared" ref="B26:Y26" si="4">B24+B25-B23</f>
        <v>-31162.61</v>
      </c>
      <c r="C26" s="45">
        <f t="shared" si="4"/>
        <v>-38521.900000000031</v>
      </c>
      <c r="D26" s="45">
        <f t="shared" si="4"/>
        <v>-23211.799999999974</v>
      </c>
      <c r="E26" s="45">
        <f t="shared" si="4"/>
        <v>-31312.35</v>
      </c>
      <c r="F26" s="45">
        <f t="shared" si="4"/>
        <v>-9080.9999999999582</v>
      </c>
      <c r="G26" s="45">
        <f t="shared" si="4"/>
        <v>-22444.980000000025</v>
      </c>
      <c r="H26" s="45">
        <f t="shared" si="4"/>
        <v>-40446.810000000019</v>
      </c>
      <c r="I26" s="45">
        <f t="shared" si="4"/>
        <v>-37843.460000000014</v>
      </c>
      <c r="J26" s="45">
        <f t="shared" si="4"/>
        <v>-36894.02999999997</v>
      </c>
      <c r="K26" s="45">
        <f t="shared" si="4"/>
        <v>-34401.859999999979</v>
      </c>
      <c r="L26" s="45">
        <f t="shared" si="4"/>
        <v>-6602.1799999999566</v>
      </c>
      <c r="M26" s="45">
        <f t="shared" si="4"/>
        <v>-11415.140000000001</v>
      </c>
      <c r="N26" s="45">
        <f t="shared" si="4"/>
        <v>-20908.830000000009</v>
      </c>
      <c r="O26" s="45">
        <f t="shared" si="4"/>
        <v>-30444.74000000002</v>
      </c>
      <c r="P26" s="45">
        <f t="shared" si="4"/>
        <v>-23138.560000000038</v>
      </c>
      <c r="Q26" s="45">
        <f t="shared" si="4"/>
        <v>-29618.60000000002</v>
      </c>
      <c r="R26" s="45">
        <f t="shared" si="4"/>
        <v>-11411.18999999993</v>
      </c>
      <c r="S26" s="45">
        <f t="shared" si="4"/>
        <v>-13934.019999999979</v>
      </c>
      <c r="T26" s="45">
        <f t="shared" si="4"/>
        <v>-30101.280000000013</v>
      </c>
      <c r="U26" s="45">
        <f t="shared" si="4"/>
        <v>-26537.330000000056</v>
      </c>
      <c r="V26" s="45">
        <f t="shared" si="4"/>
        <v>-22716.339999999989</v>
      </c>
      <c r="W26" s="45">
        <f t="shared" si="4"/>
        <v>-22268.689999999973</v>
      </c>
      <c r="X26" s="45">
        <f t="shared" si="4"/>
        <v>15694.479999999996</v>
      </c>
      <c r="Y26" s="45">
        <f t="shared" si="4"/>
        <v>590.5599999999547</v>
      </c>
      <c r="Z26" s="43">
        <f t="shared" si="2"/>
        <v>-538132.66000000015</v>
      </c>
    </row>
    <row r="28" spans="1:26" ht="19.5" customHeight="1" x14ac:dyDescent="0.25">
      <c r="A28" s="6" t="s">
        <v>384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32" t="s">
        <v>385</v>
      </c>
      <c r="B29" s="51">
        <f>B16</f>
        <v>-31162.610000000044</v>
      </c>
      <c r="C29" s="51">
        <f t="shared" ref="C29:Y29" si="5">B29+C16</f>
        <v>-69684.510000000082</v>
      </c>
      <c r="D29" s="51">
        <f t="shared" si="5"/>
        <v>-92896.31000000007</v>
      </c>
      <c r="E29" s="51">
        <f t="shared" si="5"/>
        <v>-124208.66000000008</v>
      </c>
      <c r="F29" s="51">
        <f t="shared" si="5"/>
        <v>-133289.66000000003</v>
      </c>
      <c r="G29" s="51">
        <f t="shared" si="5"/>
        <v>-155734.64000000004</v>
      </c>
      <c r="H29" s="51">
        <f t="shared" si="5"/>
        <v>-196181.45000000004</v>
      </c>
      <c r="I29" s="51">
        <f t="shared" si="5"/>
        <v>-234024.91000000003</v>
      </c>
      <c r="J29" s="51">
        <f t="shared" si="5"/>
        <v>-270918.93999999994</v>
      </c>
      <c r="K29" s="51">
        <f t="shared" si="5"/>
        <v>-305320.79999999993</v>
      </c>
      <c r="L29" s="51">
        <f t="shared" si="5"/>
        <v>-311922.97999999986</v>
      </c>
      <c r="M29" s="51">
        <f t="shared" si="5"/>
        <v>-323338.11999999988</v>
      </c>
      <c r="N29" s="51">
        <f t="shared" si="5"/>
        <v>-344246.94999999984</v>
      </c>
      <c r="O29" s="51">
        <f t="shared" si="5"/>
        <v>-374691.68999999983</v>
      </c>
      <c r="P29" s="51">
        <f t="shared" si="5"/>
        <v>-397830.24999999988</v>
      </c>
      <c r="Q29" s="51">
        <f t="shared" si="5"/>
        <v>-427448.84999999986</v>
      </c>
      <c r="R29" s="51">
        <f t="shared" si="5"/>
        <v>-438860.0399999998</v>
      </c>
      <c r="S29" s="51">
        <f t="shared" si="5"/>
        <v>-452794.05999999976</v>
      </c>
      <c r="T29" s="51">
        <f t="shared" si="5"/>
        <v>-482895.33999999985</v>
      </c>
      <c r="U29" s="51">
        <f t="shared" si="5"/>
        <v>-509432.66999999987</v>
      </c>
      <c r="V29" s="51">
        <f t="shared" si="5"/>
        <v>-532149.00999999978</v>
      </c>
      <c r="W29" s="51">
        <f t="shared" si="5"/>
        <v>-554417.69999999972</v>
      </c>
      <c r="X29" s="51">
        <f t="shared" si="5"/>
        <v>-538723.21999999974</v>
      </c>
      <c r="Y29" s="51">
        <f t="shared" si="5"/>
        <v>-538132.6599999998</v>
      </c>
      <c r="Z29" s="43">
        <f>Y29</f>
        <v>-538132.6599999998</v>
      </c>
    </row>
    <row r="31" spans="1:26" ht="30" customHeight="1" x14ac:dyDescent="0.25">
      <c r="A31" s="2" t="s">
        <v>386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</sheetData>
  <mergeCells count="6">
    <mergeCell ref="A31:Z31"/>
    <mergeCell ref="A1:Z1"/>
    <mergeCell ref="A2:Z2"/>
    <mergeCell ref="A4:Z4"/>
    <mergeCell ref="A19:Z19"/>
    <mergeCell ref="A28:Z28"/>
  </mergeCells>
  <conditionalFormatting sqref="B16:Y16">
    <cfRule type="cellIs" dxfId="5" priority="2" operator="lessThan">
      <formula>0</formula>
    </cfRule>
    <cfRule type="cellIs" dxfId="4" priority="3" operator="greaterThan">
      <formula>0</formula>
    </cfRule>
  </conditionalFormatting>
  <conditionalFormatting sqref="B26:Y26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B29:Y29">
    <cfRule type="cellIs" dxfId="1" priority="6" operator="lessThan">
      <formula>0</formula>
    </cfRule>
    <cfRule type="cellIs" dxfId="0" priority="7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6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4" customWidth="1"/>
    <col min="2" max="2" width="38" customWidth="1"/>
    <col min="3" max="6" width="18" customWidth="1"/>
    <col min="7" max="7" width="40" customWidth="1"/>
  </cols>
  <sheetData>
    <row r="1" spans="1:7" ht="27.75" customHeight="1" x14ac:dyDescent="0.25">
      <c r="A1" s="8" t="s">
        <v>387</v>
      </c>
      <c r="B1" s="8"/>
      <c r="C1" s="8"/>
      <c r="D1" s="8"/>
      <c r="E1" s="8"/>
      <c r="F1" s="8"/>
      <c r="G1" s="8"/>
    </row>
    <row r="2" spans="1:7" x14ac:dyDescent="0.25">
      <c r="A2" s="7" t="s">
        <v>388</v>
      </c>
      <c r="B2" s="7"/>
      <c r="C2" s="7"/>
      <c r="D2" s="7"/>
      <c r="E2" s="7"/>
      <c r="F2" s="7"/>
      <c r="G2" s="7"/>
    </row>
    <row r="4" spans="1:7" ht="19.5" customHeight="1" x14ac:dyDescent="0.25">
      <c r="A4" s="6" t="s">
        <v>389</v>
      </c>
      <c r="B4" s="6"/>
      <c r="C4" s="6"/>
      <c r="D4" s="6"/>
      <c r="E4" s="6"/>
      <c r="F4" s="6"/>
      <c r="G4" s="6"/>
    </row>
    <row r="5" spans="1:7" x14ac:dyDescent="0.25">
      <c r="B5" s="23" t="s">
        <v>390</v>
      </c>
      <c r="C5" s="23" t="s">
        <v>391</v>
      </c>
      <c r="D5" s="23" t="s">
        <v>392</v>
      </c>
      <c r="G5" s="23" t="s">
        <v>393</v>
      </c>
    </row>
    <row r="6" spans="1:7" x14ac:dyDescent="0.25">
      <c r="B6" s="30" t="s">
        <v>394</v>
      </c>
      <c r="C6" s="52">
        <v>1.5</v>
      </c>
      <c r="D6" s="53" t="s">
        <v>395</v>
      </c>
      <c r="G6" s="27" t="s">
        <v>396</v>
      </c>
    </row>
    <row r="7" spans="1:7" x14ac:dyDescent="0.25">
      <c r="B7" s="30" t="s">
        <v>397</v>
      </c>
      <c r="C7" s="52">
        <v>17.8</v>
      </c>
      <c r="D7" s="53" t="s">
        <v>395</v>
      </c>
      <c r="G7" s="27" t="s">
        <v>398</v>
      </c>
    </row>
    <row r="8" spans="1:7" x14ac:dyDescent="0.25">
      <c r="B8" s="30" t="s">
        <v>399</v>
      </c>
      <c r="C8" s="52">
        <v>374.26404979767898</v>
      </c>
      <c r="D8" s="53" t="s">
        <v>400</v>
      </c>
      <c r="G8" s="27" t="s">
        <v>401</v>
      </c>
    </row>
    <row r="9" spans="1:7" x14ac:dyDescent="0.25">
      <c r="B9" s="30" t="s">
        <v>402</v>
      </c>
      <c r="C9" s="52">
        <v>7.8</v>
      </c>
      <c r="D9" s="53" t="s">
        <v>403</v>
      </c>
      <c r="G9" s="27" t="s">
        <v>404</v>
      </c>
    </row>
    <row r="11" spans="1:7" x14ac:dyDescent="0.25">
      <c r="B11" s="50" t="s">
        <v>405</v>
      </c>
      <c r="C11" s="54">
        <f>C7+C8-C9</f>
        <v>384.26404979767898</v>
      </c>
      <c r="G11" s="27" t="s">
        <v>406</v>
      </c>
    </row>
    <row r="13" spans="1:7" ht="19.5" customHeight="1" x14ac:dyDescent="0.25">
      <c r="A13" s="6" t="s">
        <v>407</v>
      </c>
      <c r="B13" s="6"/>
      <c r="C13" s="6"/>
      <c r="D13" s="6"/>
      <c r="E13" s="6"/>
      <c r="F13" s="6"/>
      <c r="G13" s="6"/>
    </row>
    <row r="14" spans="1:7" x14ac:dyDescent="0.25">
      <c r="B14" s="23" t="s">
        <v>329</v>
      </c>
      <c r="C14" s="23" t="s">
        <v>408</v>
      </c>
      <c r="G14" s="23" t="s">
        <v>409</v>
      </c>
    </row>
    <row r="15" spans="1:7" x14ac:dyDescent="0.25">
      <c r="B15" s="30" t="s">
        <v>410</v>
      </c>
      <c r="C15" s="49">
        <f>'06_DRE_Consolidada'!$Z$9</f>
        <v>3975053.71</v>
      </c>
      <c r="G15" s="27" t="s">
        <v>411</v>
      </c>
    </row>
    <row r="16" spans="1:7" x14ac:dyDescent="0.25">
      <c r="B16" s="30" t="s">
        <v>412</v>
      </c>
      <c r="C16" s="42">
        <f>'06_DRE_Consolidada'!$Z$9/730</f>
        <v>5445.2790547945206</v>
      </c>
      <c r="G16" s="27" t="s">
        <v>413</v>
      </c>
    </row>
    <row r="17" spans="1:7" x14ac:dyDescent="0.25">
      <c r="B17" s="30" t="s">
        <v>414</v>
      </c>
      <c r="C17" s="42">
        <f>C16*C7</f>
        <v>96925.967175342463</v>
      </c>
      <c r="G17" s="27" t="s">
        <v>415</v>
      </c>
    </row>
    <row r="18" spans="1:7" x14ac:dyDescent="0.25">
      <c r="B18" s="30" t="s">
        <v>416</v>
      </c>
      <c r="C18" s="55">
        <v>2615654.42</v>
      </c>
      <c r="G18" s="27" t="s">
        <v>417</v>
      </c>
    </row>
    <row r="19" spans="1:7" x14ac:dyDescent="0.25">
      <c r="B19" s="30" t="s">
        <v>418</v>
      </c>
      <c r="C19" s="42">
        <f>'06_DRE_Consolidada'!$Z$10/730</f>
        <v>2984.9179315068491</v>
      </c>
      <c r="G19" s="27" t="s">
        <v>413</v>
      </c>
    </row>
    <row r="20" spans="1:7" x14ac:dyDescent="0.25">
      <c r="B20" s="30" t="s">
        <v>419</v>
      </c>
      <c r="C20" s="42">
        <f>'06_DRE_Consolidada'!$Z$20/730</f>
        <v>3148.7229041095889</v>
      </c>
      <c r="G20" s="27" t="s">
        <v>413</v>
      </c>
    </row>
    <row r="21" spans="1:7" x14ac:dyDescent="0.25">
      <c r="B21" s="30" t="s">
        <v>420</v>
      </c>
      <c r="C21" s="42">
        <f>(C19+C20)*C9</f>
        <v>47842.398517808215</v>
      </c>
      <c r="G21" s="27" t="s">
        <v>421</v>
      </c>
    </row>
    <row r="22" spans="1:7" x14ac:dyDescent="0.25">
      <c r="B22" s="30" t="s">
        <v>422</v>
      </c>
      <c r="C22" s="45">
        <f>C17+C18-C21</f>
        <v>2664737.9886575341</v>
      </c>
      <c r="G22" s="27" t="s">
        <v>423</v>
      </c>
    </row>
    <row r="23" spans="1:7" x14ac:dyDescent="0.25">
      <c r="B23" s="30" t="s">
        <v>424</v>
      </c>
      <c r="C23" s="54">
        <f>IFERROR(C22/C16,0)</f>
        <v>489.36665354390897</v>
      </c>
      <c r="G23" s="27" t="s">
        <v>425</v>
      </c>
    </row>
    <row r="26" spans="1:7" ht="19.5" customHeight="1" x14ac:dyDescent="0.25">
      <c r="A26" s="6" t="s">
        <v>426</v>
      </c>
      <c r="B26" s="6"/>
      <c r="C26" s="6"/>
      <c r="D26" s="6"/>
      <c r="E26" s="6"/>
      <c r="F26" s="6"/>
      <c r="G26" s="6"/>
    </row>
    <row r="27" spans="1:7" x14ac:dyDescent="0.25">
      <c r="B27" s="23" t="s">
        <v>60</v>
      </c>
      <c r="C27" s="23" t="s">
        <v>427</v>
      </c>
      <c r="D27" s="23" t="s">
        <v>428</v>
      </c>
      <c r="E27" s="23" t="s">
        <v>429</v>
      </c>
      <c r="F27" s="23" t="s">
        <v>430</v>
      </c>
    </row>
    <row r="28" spans="1:7" x14ac:dyDescent="0.25">
      <c r="B28" s="30" t="s">
        <v>64</v>
      </c>
      <c r="C28" s="56">
        <v>2</v>
      </c>
      <c r="D28" s="56">
        <v>14</v>
      </c>
      <c r="E28" s="56">
        <v>12</v>
      </c>
      <c r="F28" s="57">
        <v>1807879.46</v>
      </c>
    </row>
    <row r="29" spans="1:7" x14ac:dyDescent="0.25">
      <c r="B29" s="30" t="s">
        <v>66</v>
      </c>
      <c r="C29" s="56">
        <v>2</v>
      </c>
      <c r="D29" s="56">
        <v>30</v>
      </c>
      <c r="E29" s="56">
        <v>28</v>
      </c>
      <c r="F29" s="57">
        <v>998627.01</v>
      </c>
    </row>
    <row r="30" spans="1:7" x14ac:dyDescent="0.25">
      <c r="B30" s="30" t="s">
        <v>68</v>
      </c>
      <c r="C30" s="56">
        <v>0</v>
      </c>
      <c r="D30" s="56">
        <v>21</v>
      </c>
      <c r="E30" s="56">
        <v>21</v>
      </c>
      <c r="F30" s="57">
        <v>673620.54</v>
      </c>
    </row>
    <row r="31" spans="1:7" x14ac:dyDescent="0.25">
      <c r="B31" s="30" t="s">
        <v>70</v>
      </c>
      <c r="C31" s="56">
        <v>1</v>
      </c>
      <c r="D31" s="56">
        <v>3</v>
      </c>
      <c r="E31" s="56">
        <v>2</v>
      </c>
      <c r="F31" s="57">
        <v>516173.04</v>
      </c>
    </row>
    <row r="32" spans="1:7" x14ac:dyDescent="0.25">
      <c r="B32" s="50" t="s">
        <v>431</v>
      </c>
      <c r="C32" s="54">
        <v>1.5337151623537399</v>
      </c>
      <c r="D32" s="54">
        <v>17.757343620882502</v>
      </c>
      <c r="E32" s="54">
        <v>16.2236284585288</v>
      </c>
      <c r="F32" s="45">
        <v>3996300.05</v>
      </c>
    </row>
    <row r="34" spans="2:7" ht="15" customHeight="1" x14ac:dyDescent="0.25">
      <c r="B34" s="1" t="s">
        <v>432</v>
      </c>
      <c r="C34" s="1"/>
      <c r="D34" s="1"/>
      <c r="E34" s="1"/>
      <c r="F34" s="1"/>
      <c r="G34" s="1"/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</sheetData>
  <mergeCells count="6">
    <mergeCell ref="B34:G36"/>
    <mergeCell ref="A1:G1"/>
    <mergeCell ref="A2:G2"/>
    <mergeCell ref="A4:G4"/>
    <mergeCell ref="A13:G13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9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4" customWidth="1"/>
    <col min="2" max="2" width="26" customWidth="1"/>
    <col min="3" max="8" width="16" customWidth="1"/>
    <col min="9" max="9" width="36" customWidth="1"/>
  </cols>
  <sheetData>
    <row r="1" spans="1:9" ht="27.75" customHeight="1" x14ac:dyDescent="0.25">
      <c r="A1" s="8" t="s">
        <v>433</v>
      </c>
      <c r="B1" s="8"/>
      <c r="C1" s="8"/>
      <c r="D1" s="8"/>
      <c r="E1" s="8"/>
      <c r="F1" s="8"/>
      <c r="G1" s="8"/>
      <c r="H1" s="8"/>
      <c r="I1" s="8"/>
    </row>
    <row r="2" spans="1:9" x14ac:dyDescent="0.25">
      <c r="A2" s="7" t="s">
        <v>434</v>
      </c>
      <c r="B2" s="7"/>
      <c r="C2" s="7"/>
      <c r="D2" s="7"/>
      <c r="E2" s="7"/>
      <c r="F2" s="7"/>
      <c r="G2" s="7"/>
      <c r="H2" s="7"/>
      <c r="I2" s="7"/>
    </row>
    <row r="4" spans="1:9" ht="19.5" customHeight="1" x14ac:dyDescent="0.25">
      <c r="A4" s="6" t="s">
        <v>435</v>
      </c>
      <c r="B4" s="6"/>
      <c r="C4" s="6"/>
      <c r="D4" s="6"/>
      <c r="E4" s="6"/>
      <c r="F4" s="6"/>
      <c r="G4" s="6"/>
      <c r="H4" s="6"/>
      <c r="I4" s="6"/>
    </row>
    <row r="5" spans="1:9" x14ac:dyDescent="0.25">
      <c r="B5" s="33" t="s">
        <v>436</v>
      </c>
      <c r="C5" s="33" t="s">
        <v>437</v>
      </c>
      <c r="D5" s="33" t="s">
        <v>438</v>
      </c>
      <c r="E5" s="33" t="s">
        <v>439</v>
      </c>
      <c r="F5" s="33" t="s">
        <v>440</v>
      </c>
      <c r="G5" s="33" t="s">
        <v>441</v>
      </c>
      <c r="H5" s="33" t="s">
        <v>442</v>
      </c>
      <c r="I5" s="33" t="s">
        <v>443</v>
      </c>
    </row>
    <row r="6" spans="1:9" x14ac:dyDescent="0.25">
      <c r="B6" s="32" t="s">
        <v>444</v>
      </c>
      <c r="C6" s="57">
        <v>144294.75</v>
      </c>
      <c r="D6" s="57">
        <v>212317.45</v>
      </c>
      <c r="E6" s="57">
        <v>508851.86</v>
      </c>
      <c r="F6" s="45">
        <f>SUM(C6:E6)</f>
        <v>865464.06</v>
      </c>
      <c r="G6" s="58">
        <f>IFERROR(E6/F6,0)</f>
        <v>0.58795261815955702</v>
      </c>
      <c r="H6" s="56">
        <v>383.56</v>
      </c>
      <c r="I6" s="59">
        <v>11262</v>
      </c>
    </row>
    <row r="7" spans="1:9" x14ac:dyDescent="0.25">
      <c r="B7" s="32" t="s">
        <v>445</v>
      </c>
      <c r="C7" s="57">
        <v>103523.36</v>
      </c>
      <c r="D7" s="57">
        <v>25048.84</v>
      </c>
      <c r="E7" s="57">
        <v>232641.52</v>
      </c>
      <c r="F7" s="45">
        <f>SUM(C7:E7)</f>
        <v>361213.72</v>
      </c>
      <c r="G7" s="58">
        <f>IFERROR(E7/F7,0)</f>
        <v>0.64405504862882845</v>
      </c>
      <c r="H7" s="56">
        <v>391.06</v>
      </c>
      <c r="I7" s="59">
        <v>7894</v>
      </c>
    </row>
    <row r="8" spans="1:9" x14ac:dyDescent="0.25">
      <c r="B8" s="32" t="s">
        <v>446</v>
      </c>
      <c r="C8" s="57">
        <v>236611.44</v>
      </c>
      <c r="D8" s="57">
        <v>296164.49</v>
      </c>
      <c r="E8" s="57">
        <v>546495.63</v>
      </c>
      <c r="F8" s="45">
        <f>SUM(C8:E8)</f>
        <v>1079271.56</v>
      </c>
      <c r="G8" s="58">
        <f>IFERROR(E8/F8,0)</f>
        <v>0.50635599996723712</v>
      </c>
      <c r="H8" s="56">
        <v>353.39</v>
      </c>
      <c r="I8" s="59">
        <v>6426</v>
      </c>
    </row>
    <row r="9" spans="1:9" x14ac:dyDescent="0.25">
      <c r="B9" s="32" t="s">
        <v>447</v>
      </c>
      <c r="C9" s="57">
        <v>44088.54</v>
      </c>
      <c r="D9" s="57">
        <v>68709.52</v>
      </c>
      <c r="E9" s="57">
        <v>196907.02</v>
      </c>
      <c r="F9" s="45">
        <f>SUM(C9:E9)</f>
        <v>309705.07999999996</v>
      </c>
      <c r="G9" s="58">
        <f>IFERROR(E9/F9,0)</f>
        <v>0.63578879623156337</v>
      </c>
      <c r="H9" s="56">
        <v>401.44</v>
      </c>
      <c r="I9" s="59">
        <v>4339</v>
      </c>
    </row>
    <row r="10" spans="1:9" x14ac:dyDescent="0.25">
      <c r="B10" s="50" t="s">
        <v>448</v>
      </c>
      <c r="C10" s="45">
        <f>SUM(C6:C9)</f>
        <v>528518.09</v>
      </c>
      <c r="D10" s="45">
        <f>SUM(D6:D9)</f>
        <v>602240.30000000005</v>
      </c>
      <c r="E10" s="45">
        <f>SUM(E6:E9)</f>
        <v>1484896.03</v>
      </c>
      <c r="F10" s="45">
        <f>SUM(F6:F9)</f>
        <v>2615654.42</v>
      </c>
      <c r="G10" s="60">
        <f>IFERROR(E10/F10,0)</f>
        <v>0.56769580057903835</v>
      </c>
      <c r="H10" s="54">
        <f>SUMPRODUCT(F6:F9,H6:H9)/F10</f>
        <v>374.26404979767932</v>
      </c>
      <c r="I10" s="61">
        <f>SUM(I6:I9)</f>
        <v>29921</v>
      </c>
    </row>
    <row r="12" spans="1:9" ht="19.5" customHeight="1" x14ac:dyDescent="0.25">
      <c r="A12" s="6" t="s">
        <v>449</v>
      </c>
      <c r="B12" s="6"/>
      <c r="C12" s="6"/>
      <c r="D12" s="6"/>
      <c r="E12" s="6"/>
      <c r="F12" s="6"/>
      <c r="G12" s="6"/>
      <c r="H12" s="6"/>
      <c r="I12" s="6"/>
    </row>
    <row r="13" spans="1:9" x14ac:dyDescent="0.25">
      <c r="B13" s="23" t="s">
        <v>390</v>
      </c>
      <c r="C13" s="23" t="s">
        <v>408</v>
      </c>
      <c r="D13" s="84" t="s">
        <v>409</v>
      </c>
      <c r="E13" s="84"/>
      <c r="F13" s="84"/>
      <c r="G13" s="84"/>
      <c r="H13" s="84"/>
      <c r="I13" s="84"/>
    </row>
    <row r="14" spans="1:9" x14ac:dyDescent="0.25">
      <c r="B14" s="30" t="s">
        <v>450</v>
      </c>
      <c r="C14" s="51">
        <f>F10</f>
        <v>2615654.42</v>
      </c>
      <c r="D14" s="85" t="s">
        <v>451</v>
      </c>
      <c r="E14" s="85"/>
      <c r="F14" s="85"/>
      <c r="G14" s="85"/>
      <c r="H14" s="85"/>
      <c r="I14" s="85"/>
    </row>
    <row r="15" spans="1:9" x14ac:dyDescent="0.25">
      <c r="B15" s="30" t="s">
        <v>452</v>
      </c>
      <c r="C15" s="51">
        <f>'06_DRE_Consolidada'!$Z$10</f>
        <v>2178990.09</v>
      </c>
      <c r="D15" s="85" t="s">
        <v>453</v>
      </c>
      <c r="E15" s="85"/>
      <c r="F15" s="85"/>
      <c r="G15" s="85"/>
      <c r="H15" s="85"/>
      <c r="I15" s="85"/>
    </row>
    <row r="16" spans="1:9" x14ac:dyDescent="0.25">
      <c r="B16" s="30" t="s">
        <v>454</v>
      </c>
      <c r="C16" s="51">
        <f>'06_DRE_Consolidada'!$Z$10/24</f>
        <v>90791.253749999989</v>
      </c>
      <c r="D16" s="85" t="s">
        <v>455</v>
      </c>
      <c r="E16" s="85"/>
      <c r="F16" s="85"/>
      <c r="G16" s="85"/>
      <c r="H16" s="85"/>
      <c r="I16" s="85"/>
    </row>
    <row r="17" spans="1:9" x14ac:dyDescent="0.25">
      <c r="B17" s="30" t="s">
        <v>456</v>
      </c>
      <c r="C17" s="62">
        <f>('06_DRE_Consolidada'!$Z$10/2)/F10</f>
        <v>0.41652866551079021</v>
      </c>
      <c r="D17" s="85" t="s">
        <v>457</v>
      </c>
      <c r="E17" s="85"/>
      <c r="F17" s="85"/>
      <c r="G17" s="85"/>
      <c r="H17" s="85"/>
      <c r="I17" s="85"/>
    </row>
    <row r="18" spans="1:9" x14ac:dyDescent="0.25">
      <c r="B18" s="30" t="s">
        <v>458</v>
      </c>
      <c r="C18" s="62">
        <f>F10/('06_DRE_Consolidada'!$Z$10/24)</f>
        <v>28.809541800164869</v>
      </c>
      <c r="D18" s="85" t="s">
        <v>459</v>
      </c>
      <c r="E18" s="85"/>
      <c r="F18" s="85"/>
      <c r="G18" s="85"/>
      <c r="H18" s="85"/>
      <c r="I18" s="85"/>
    </row>
    <row r="19" spans="1:9" x14ac:dyDescent="0.25">
      <c r="B19" s="30" t="s">
        <v>460</v>
      </c>
      <c r="C19" s="63">
        <f>H10</f>
        <v>374.26404979767932</v>
      </c>
      <c r="D19" s="85" t="s">
        <v>461</v>
      </c>
      <c r="E19" s="85"/>
      <c r="F19" s="85"/>
      <c r="G19" s="85"/>
      <c r="H19" s="85"/>
      <c r="I19" s="85"/>
    </row>
    <row r="20" spans="1:9" x14ac:dyDescent="0.25">
      <c r="B20" s="30" t="s">
        <v>462</v>
      </c>
      <c r="C20" s="58">
        <f>F10/('06_DRE_Consolidada'!$Z$9/2)</f>
        <v>1.3160347561693702</v>
      </c>
      <c r="D20" s="85" t="s">
        <v>463</v>
      </c>
      <c r="E20" s="85"/>
      <c r="F20" s="85"/>
      <c r="G20" s="85"/>
      <c r="H20" s="85"/>
      <c r="I20" s="85"/>
    </row>
    <row r="23" spans="1:9" ht="19.5" customHeight="1" x14ac:dyDescent="0.25">
      <c r="A23" s="6" t="s">
        <v>464</v>
      </c>
      <c r="B23" s="6"/>
      <c r="C23" s="6"/>
      <c r="D23" s="6"/>
      <c r="E23" s="6"/>
      <c r="F23" s="6"/>
      <c r="G23" s="6"/>
      <c r="H23" s="6"/>
      <c r="I23" s="6"/>
    </row>
    <row r="24" spans="1:9" x14ac:dyDescent="0.25">
      <c r="B24" s="33" t="s">
        <v>465</v>
      </c>
      <c r="C24" s="33" t="s">
        <v>466</v>
      </c>
      <c r="D24" s="33" t="s">
        <v>436</v>
      </c>
      <c r="E24" s="33" t="s">
        <v>467</v>
      </c>
      <c r="F24" s="33" t="s">
        <v>468</v>
      </c>
      <c r="G24" s="33" t="s">
        <v>469</v>
      </c>
      <c r="H24" s="33" t="s">
        <v>470</v>
      </c>
      <c r="I24" s="33" t="s">
        <v>471</v>
      </c>
    </row>
    <row r="25" spans="1:9" x14ac:dyDescent="0.25">
      <c r="B25" s="64">
        <v>1</v>
      </c>
      <c r="C25" s="65" t="s">
        <v>231</v>
      </c>
      <c r="D25" s="65" t="s">
        <v>446</v>
      </c>
      <c r="E25" s="59">
        <v>431</v>
      </c>
      <c r="F25" s="57">
        <v>154940.07</v>
      </c>
      <c r="G25" s="57">
        <v>91254.43</v>
      </c>
      <c r="H25" s="57">
        <v>63685.64</v>
      </c>
      <c r="I25" s="58">
        <f t="shared" ref="I25:I39" si="0">IFERROR(H25/F25,0)</f>
        <v>0.41103402108957349</v>
      </c>
    </row>
    <row r="26" spans="1:9" x14ac:dyDescent="0.25">
      <c r="B26" s="64">
        <v>2</v>
      </c>
      <c r="C26" s="65" t="s">
        <v>232</v>
      </c>
      <c r="D26" s="65" t="s">
        <v>446</v>
      </c>
      <c r="E26" s="59">
        <v>423</v>
      </c>
      <c r="F26" s="57">
        <v>135434.29</v>
      </c>
      <c r="G26" s="57">
        <v>76389.570000000007</v>
      </c>
      <c r="H26" s="57">
        <v>59044.72</v>
      </c>
      <c r="I26" s="58">
        <f t="shared" si="0"/>
        <v>0.43596581043102156</v>
      </c>
    </row>
    <row r="27" spans="1:9" x14ac:dyDescent="0.25">
      <c r="B27" s="64">
        <v>3</v>
      </c>
      <c r="C27" s="65" t="s">
        <v>233</v>
      </c>
      <c r="D27" s="65" t="s">
        <v>444</v>
      </c>
      <c r="E27" s="59">
        <v>436</v>
      </c>
      <c r="F27" s="57">
        <v>103887.33</v>
      </c>
      <c r="G27" s="57">
        <v>45102.99</v>
      </c>
      <c r="H27" s="57">
        <v>58784.34</v>
      </c>
      <c r="I27" s="58">
        <f t="shared" si="0"/>
        <v>0.5658470575767035</v>
      </c>
    </row>
    <row r="28" spans="1:9" x14ac:dyDescent="0.25">
      <c r="B28" s="64">
        <v>4</v>
      </c>
      <c r="C28" s="65" t="s">
        <v>234</v>
      </c>
      <c r="D28" s="65" t="s">
        <v>446</v>
      </c>
      <c r="E28" s="59">
        <v>439</v>
      </c>
      <c r="F28" s="57">
        <v>140680.99</v>
      </c>
      <c r="G28" s="57">
        <v>81993.350000000006</v>
      </c>
      <c r="H28" s="57">
        <v>58687.64</v>
      </c>
      <c r="I28" s="58">
        <f t="shared" si="0"/>
        <v>0.41716823289344213</v>
      </c>
    </row>
    <row r="29" spans="1:9" x14ac:dyDescent="0.25">
      <c r="B29" s="64">
        <v>5</v>
      </c>
      <c r="C29" s="65" t="s">
        <v>235</v>
      </c>
      <c r="D29" s="65" t="s">
        <v>444</v>
      </c>
      <c r="E29" s="59">
        <v>436</v>
      </c>
      <c r="F29" s="57">
        <v>112952.44</v>
      </c>
      <c r="G29" s="57">
        <v>55228.65</v>
      </c>
      <c r="H29" s="57">
        <v>57723.79</v>
      </c>
      <c r="I29" s="58">
        <f t="shared" si="0"/>
        <v>0.51104509119059316</v>
      </c>
    </row>
    <row r="30" spans="1:9" x14ac:dyDescent="0.25">
      <c r="B30" s="64">
        <v>6</v>
      </c>
      <c r="C30" s="65" t="s">
        <v>236</v>
      </c>
      <c r="D30" s="65" t="s">
        <v>446</v>
      </c>
      <c r="E30" s="59">
        <v>426</v>
      </c>
      <c r="F30" s="57">
        <v>142555.26</v>
      </c>
      <c r="G30" s="57">
        <v>86001.98</v>
      </c>
      <c r="H30" s="57">
        <v>56553.279999999999</v>
      </c>
      <c r="I30" s="58">
        <f t="shared" si="0"/>
        <v>0.39671128234763131</v>
      </c>
    </row>
    <row r="31" spans="1:9" x14ac:dyDescent="0.25">
      <c r="B31" s="64">
        <v>7</v>
      </c>
      <c r="C31" s="65" t="s">
        <v>237</v>
      </c>
      <c r="D31" s="65" t="s">
        <v>446</v>
      </c>
      <c r="E31" s="59">
        <v>440</v>
      </c>
      <c r="F31" s="57">
        <v>140646.15</v>
      </c>
      <c r="G31" s="57">
        <v>86801.87</v>
      </c>
      <c r="H31" s="57">
        <v>53844.28</v>
      </c>
      <c r="I31" s="58">
        <f t="shared" si="0"/>
        <v>0.38283507938183875</v>
      </c>
    </row>
    <row r="32" spans="1:9" x14ac:dyDescent="0.25">
      <c r="B32" s="64">
        <v>8</v>
      </c>
      <c r="C32" s="65" t="s">
        <v>238</v>
      </c>
      <c r="D32" s="65" t="s">
        <v>444</v>
      </c>
      <c r="E32" s="59">
        <v>443</v>
      </c>
      <c r="F32" s="57">
        <v>89639.51</v>
      </c>
      <c r="G32" s="57">
        <v>38284.54</v>
      </c>
      <c r="H32" s="57">
        <v>51354.97</v>
      </c>
      <c r="I32" s="58">
        <f t="shared" si="0"/>
        <v>0.57290551900607223</v>
      </c>
    </row>
    <row r="33" spans="2:9" x14ac:dyDescent="0.25">
      <c r="B33" s="64">
        <v>9</v>
      </c>
      <c r="C33" s="65" t="s">
        <v>239</v>
      </c>
      <c r="D33" s="65" t="s">
        <v>446</v>
      </c>
      <c r="E33" s="59">
        <v>445</v>
      </c>
      <c r="F33" s="57">
        <v>149988.28</v>
      </c>
      <c r="G33" s="57">
        <v>100346.14</v>
      </c>
      <c r="H33" s="57">
        <v>49642.14</v>
      </c>
      <c r="I33" s="58">
        <f t="shared" si="0"/>
        <v>0.33097346005967931</v>
      </c>
    </row>
    <row r="34" spans="2:9" x14ac:dyDescent="0.25">
      <c r="B34" s="64">
        <v>10</v>
      </c>
      <c r="C34" s="65" t="s">
        <v>240</v>
      </c>
      <c r="D34" s="65" t="s">
        <v>444</v>
      </c>
      <c r="E34" s="59">
        <v>429</v>
      </c>
      <c r="F34" s="57">
        <v>92341.79</v>
      </c>
      <c r="G34" s="57">
        <v>44955.09</v>
      </c>
      <c r="H34" s="57">
        <v>47386.7</v>
      </c>
      <c r="I34" s="58">
        <f t="shared" si="0"/>
        <v>0.51316635729066984</v>
      </c>
    </row>
    <row r="35" spans="2:9" x14ac:dyDescent="0.25">
      <c r="B35" s="64">
        <v>11</v>
      </c>
      <c r="C35" s="65" t="s">
        <v>241</v>
      </c>
      <c r="D35" s="65" t="s">
        <v>446</v>
      </c>
      <c r="E35" s="59">
        <v>436</v>
      </c>
      <c r="F35" s="57">
        <v>132142.48000000001</v>
      </c>
      <c r="G35" s="57">
        <v>85413.55</v>
      </c>
      <c r="H35" s="57">
        <v>46728.93</v>
      </c>
      <c r="I35" s="58">
        <f t="shared" si="0"/>
        <v>0.35362534440098292</v>
      </c>
    </row>
    <row r="36" spans="2:9" x14ac:dyDescent="0.25">
      <c r="B36" s="64">
        <v>12</v>
      </c>
      <c r="C36" s="65" t="s">
        <v>242</v>
      </c>
      <c r="D36" s="65" t="s">
        <v>446</v>
      </c>
      <c r="E36" s="59">
        <v>426</v>
      </c>
      <c r="F36" s="57">
        <v>130977.54</v>
      </c>
      <c r="G36" s="57">
        <v>84790.6</v>
      </c>
      <c r="H36" s="57">
        <v>46186.94</v>
      </c>
      <c r="I36" s="58">
        <f t="shared" si="0"/>
        <v>0.35263252004885726</v>
      </c>
    </row>
    <row r="37" spans="2:9" x14ac:dyDescent="0.25">
      <c r="B37" s="64">
        <v>13</v>
      </c>
      <c r="C37" s="65" t="s">
        <v>243</v>
      </c>
      <c r="D37" s="65" t="s">
        <v>446</v>
      </c>
      <c r="E37" s="59">
        <v>494</v>
      </c>
      <c r="F37" s="57">
        <v>104966.83</v>
      </c>
      <c r="G37" s="57">
        <v>58917.99</v>
      </c>
      <c r="H37" s="57">
        <v>46048.84</v>
      </c>
      <c r="I37" s="58">
        <f t="shared" si="0"/>
        <v>0.43869896804542918</v>
      </c>
    </row>
    <row r="38" spans="2:9" x14ac:dyDescent="0.25">
      <c r="B38" s="64">
        <v>14</v>
      </c>
      <c r="C38" s="65" t="s">
        <v>244</v>
      </c>
      <c r="D38" s="65" t="s">
        <v>444</v>
      </c>
      <c r="E38" s="59">
        <v>378</v>
      </c>
      <c r="F38" s="57">
        <v>74747.06</v>
      </c>
      <c r="G38" s="57">
        <v>30638.07</v>
      </c>
      <c r="H38" s="57">
        <v>44108.99</v>
      </c>
      <c r="I38" s="58">
        <f t="shared" si="0"/>
        <v>0.59011003242134208</v>
      </c>
    </row>
    <row r="39" spans="2:9" x14ac:dyDescent="0.25">
      <c r="B39" s="64">
        <v>15</v>
      </c>
      <c r="C39" s="65" t="s">
        <v>245</v>
      </c>
      <c r="D39" s="65" t="s">
        <v>444</v>
      </c>
      <c r="E39" s="59">
        <v>388</v>
      </c>
      <c r="F39" s="57">
        <v>74123.56</v>
      </c>
      <c r="G39" s="57">
        <v>33128.589999999997</v>
      </c>
      <c r="H39" s="57">
        <v>40994.97</v>
      </c>
      <c r="I39" s="58">
        <f t="shared" si="0"/>
        <v>0.55306261598876261</v>
      </c>
    </row>
  </sheetData>
  <mergeCells count="13">
    <mergeCell ref="D19:I19"/>
    <mergeCell ref="D20:I20"/>
    <mergeCell ref="A23:I23"/>
    <mergeCell ref="D14:I14"/>
    <mergeCell ref="D15:I15"/>
    <mergeCell ref="D16:I16"/>
    <mergeCell ref="D17:I17"/>
    <mergeCell ref="D18:I18"/>
    <mergeCell ref="A1:I1"/>
    <mergeCell ref="A2:I2"/>
    <mergeCell ref="A4:I4"/>
    <mergeCell ref="A12:I12"/>
    <mergeCell ref="D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3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4" customWidth="1"/>
    <col min="2" max="2" width="36" customWidth="1"/>
    <col min="3" max="5" width="18" customWidth="1"/>
    <col min="6" max="6" width="36" customWidth="1"/>
  </cols>
  <sheetData>
    <row r="1" spans="1:6" ht="27.75" customHeight="1" x14ac:dyDescent="0.25">
      <c r="A1" s="8" t="s">
        <v>472</v>
      </c>
      <c r="B1" s="8"/>
      <c r="C1" s="8"/>
      <c r="D1" s="8"/>
      <c r="E1" s="8"/>
      <c r="F1" s="8"/>
    </row>
    <row r="2" spans="1:6" x14ac:dyDescent="0.25">
      <c r="A2" s="7" t="s">
        <v>473</v>
      </c>
      <c r="B2" s="7"/>
      <c r="C2" s="7"/>
      <c r="D2" s="7"/>
      <c r="E2" s="7"/>
      <c r="F2" s="7"/>
    </row>
    <row r="4" spans="1:6" ht="19.5" customHeight="1" x14ac:dyDescent="0.25">
      <c r="A4" s="6" t="s">
        <v>474</v>
      </c>
      <c r="B4" s="6"/>
      <c r="C4" s="6"/>
      <c r="D4" s="6"/>
      <c r="E4" s="6"/>
      <c r="F4" s="6"/>
    </row>
    <row r="5" spans="1:6" x14ac:dyDescent="0.25">
      <c r="B5" s="33" t="s">
        <v>390</v>
      </c>
      <c r="C5" s="33" t="s">
        <v>475</v>
      </c>
      <c r="D5" s="33" t="s">
        <v>476</v>
      </c>
      <c r="E5" s="33" t="s">
        <v>477</v>
      </c>
      <c r="F5" s="33" t="s">
        <v>478</v>
      </c>
    </row>
    <row r="6" spans="1:6" x14ac:dyDescent="0.25">
      <c r="B6" s="32" t="s">
        <v>331</v>
      </c>
      <c r="C6" s="49">
        <f>'06_DRE_Consolidada'!$Z$6</f>
        <v>4540779.6099999994</v>
      </c>
      <c r="D6" s="42">
        <f>SUM('06_DRE_Consolidada'!B6:M6)</f>
        <v>2142429.67</v>
      </c>
      <c r="E6" s="42">
        <f>SUM('06_DRE_Consolidada'!N6:Y6)</f>
        <v>2398349.94</v>
      </c>
      <c r="F6" s="27" t="s">
        <v>479</v>
      </c>
    </row>
    <row r="7" spans="1:6" x14ac:dyDescent="0.25">
      <c r="B7" s="32" t="s">
        <v>334</v>
      </c>
      <c r="C7" s="49">
        <f>'06_DRE_Consolidada'!$Z$9</f>
        <v>3975053.71</v>
      </c>
      <c r="D7" s="42">
        <f>SUM('06_DRE_Consolidada'!B9:M9)</f>
        <v>1872717.89</v>
      </c>
      <c r="E7" s="42">
        <f>SUM('06_DRE_Consolidada'!N9:Y9)</f>
        <v>2102335.8199999994</v>
      </c>
      <c r="F7" s="27" t="s">
        <v>480</v>
      </c>
    </row>
    <row r="8" spans="1:6" x14ac:dyDescent="0.25">
      <c r="B8" s="32" t="s">
        <v>469</v>
      </c>
      <c r="C8" s="49">
        <f>'06_DRE_Consolidada'!$Z$10</f>
        <v>2178990.09</v>
      </c>
      <c r="D8" s="42">
        <f>SUM('06_DRE_Consolidada'!B10:M10)</f>
        <v>1023954.95</v>
      </c>
      <c r="E8" s="42">
        <f>SUM('06_DRE_Consolidada'!N10:Y10)</f>
        <v>1155035.1400000001</v>
      </c>
      <c r="F8" s="27" t="s">
        <v>481</v>
      </c>
    </row>
    <row r="9" spans="1:6" x14ac:dyDescent="0.25">
      <c r="B9" s="32" t="s">
        <v>336</v>
      </c>
      <c r="C9" s="49">
        <f>'06_DRE_Consolidada'!$Z$11</f>
        <v>1796063.6199999999</v>
      </c>
      <c r="D9" s="42">
        <f>SUM('06_DRE_Consolidada'!B11:M11)</f>
        <v>848762.94000000006</v>
      </c>
      <c r="E9" s="42">
        <f>SUM('06_DRE_Consolidada'!N11:Y11)</f>
        <v>947300.67999999993</v>
      </c>
      <c r="F9" s="27" t="s">
        <v>482</v>
      </c>
    </row>
    <row r="10" spans="1:6" x14ac:dyDescent="0.25">
      <c r="B10" s="32" t="s">
        <v>115</v>
      </c>
      <c r="C10" s="49">
        <f>'06_DRE_Consolidada'!$Z$21</f>
        <v>-502504.1</v>
      </c>
      <c r="D10" s="42">
        <f>SUM('06_DRE_Consolidada'!B21:M21)</f>
        <v>-303516.24999999988</v>
      </c>
      <c r="E10" s="42">
        <f>SUM('06_DRE_Consolidada'!N21:Y21)</f>
        <v>-198987.85000000006</v>
      </c>
      <c r="F10" s="27" t="s">
        <v>483</v>
      </c>
    </row>
    <row r="11" spans="1:6" x14ac:dyDescent="0.25">
      <c r="B11" s="32" t="s">
        <v>119</v>
      </c>
      <c r="C11" s="49">
        <f>'06_DRE_Consolidada'!$Z$26</f>
        <v>-590932.57000000007</v>
      </c>
      <c r="D11" s="42">
        <f>SUM('06_DRE_Consolidada'!B26:M26)</f>
        <v>-349738.04999999993</v>
      </c>
      <c r="E11" s="42">
        <f>SUM('06_DRE_Consolidada'!N26:Y26)</f>
        <v>-241194.52000000005</v>
      </c>
      <c r="F11" s="27" t="s">
        <v>484</v>
      </c>
    </row>
    <row r="12" spans="1:6" x14ac:dyDescent="0.25">
      <c r="B12" s="66" t="s">
        <v>485</v>
      </c>
      <c r="C12" s="67">
        <f>IFERROR(C9/C7,0)</f>
        <v>0.45183379924695405</v>
      </c>
      <c r="D12" s="67">
        <f>IFERROR(D9/D7,0)</f>
        <v>0.4532251998724699</v>
      </c>
      <c r="E12" s="67">
        <f>IFERROR(E9/E7,0)</f>
        <v>0.45059436793499535</v>
      </c>
      <c r="F12" s="27" t="s">
        <v>486</v>
      </c>
    </row>
    <row r="13" spans="1:6" x14ac:dyDescent="0.25">
      <c r="B13" s="66" t="s">
        <v>487</v>
      </c>
      <c r="C13" s="67">
        <f>IFERROR(C10/C7,0)</f>
        <v>-0.1264144176809123</v>
      </c>
      <c r="D13" s="67">
        <f>IFERROR(D10/D7,0)</f>
        <v>-0.16207259599575882</v>
      </c>
      <c r="E13" s="67">
        <f>IFERROR(E10/E7,0)</f>
        <v>-9.465083936970646E-2</v>
      </c>
      <c r="F13" s="27" t="s">
        <v>488</v>
      </c>
    </row>
    <row r="14" spans="1:6" x14ac:dyDescent="0.25">
      <c r="B14" s="66" t="s">
        <v>489</v>
      </c>
      <c r="C14" s="67">
        <f>IFERROR(C11/C7,0)</f>
        <v>-0.14866027307087634</v>
      </c>
      <c r="D14" s="67">
        <f>IFERROR(D11/D7,0)</f>
        <v>-0.18675426334502521</v>
      </c>
      <c r="E14" s="67">
        <f>IFERROR(E11/E7,0)</f>
        <v>-0.11472692312306229</v>
      </c>
      <c r="F14" s="27" t="s">
        <v>490</v>
      </c>
    </row>
    <row r="17" spans="1:6" ht="19.5" customHeight="1" x14ac:dyDescent="0.25">
      <c r="A17" s="6" t="s">
        <v>491</v>
      </c>
      <c r="B17" s="6"/>
      <c r="C17" s="6"/>
      <c r="D17" s="6"/>
      <c r="E17" s="6"/>
      <c r="F17" s="6"/>
    </row>
    <row r="18" spans="1:6" x14ac:dyDescent="0.25">
      <c r="B18" s="33" t="s">
        <v>390</v>
      </c>
      <c r="C18" s="33" t="s">
        <v>408</v>
      </c>
      <c r="D18" s="33" t="s">
        <v>492</v>
      </c>
      <c r="E18" s="33" t="s">
        <v>493</v>
      </c>
      <c r="F18" s="33" t="s">
        <v>478</v>
      </c>
    </row>
    <row r="19" spans="1:6" x14ac:dyDescent="0.25">
      <c r="B19" s="30" t="s">
        <v>494</v>
      </c>
      <c r="C19" s="68">
        <f>'10_Capital_de_Giro'!C7</f>
        <v>17.8</v>
      </c>
      <c r="D19" s="64" t="s">
        <v>495</v>
      </c>
      <c r="E19" s="69" t="str">
        <f>IF(C19&lt;=20,"OK",IF(C19&lt;=30,"Monitorar","Atenção"))</f>
        <v>OK</v>
      </c>
      <c r="F19" s="27" t="s">
        <v>496</v>
      </c>
    </row>
    <row r="20" spans="1:6" x14ac:dyDescent="0.25">
      <c r="B20" s="30" t="s">
        <v>497</v>
      </c>
      <c r="C20" s="68">
        <f>'10_Capital_de_Giro'!C8</f>
        <v>374.26404979767898</v>
      </c>
      <c r="D20" s="64" t="s">
        <v>495</v>
      </c>
      <c r="E20" s="69" t="str">
        <f>IF(C20&lt;=120,"OK",IF(C20&lt;=200,"Alto","Crítico"))</f>
        <v>Crítico</v>
      </c>
      <c r="F20" s="27" t="s">
        <v>498</v>
      </c>
    </row>
    <row r="21" spans="1:6" x14ac:dyDescent="0.25">
      <c r="B21" s="30" t="s">
        <v>499</v>
      </c>
      <c r="C21" s="68">
        <f>'10_Capital_de_Giro'!C9</f>
        <v>7.8</v>
      </c>
      <c r="D21" s="64" t="s">
        <v>495</v>
      </c>
      <c r="E21" s="69" t="str">
        <f>IF(C21&gt;=15,"OK",IF(C21&gt;=7,"Monitorar","Curto"))</f>
        <v>Monitorar</v>
      </c>
      <c r="F21" s="27" t="s">
        <v>500</v>
      </c>
    </row>
    <row r="22" spans="1:6" x14ac:dyDescent="0.25">
      <c r="B22" s="30" t="s">
        <v>501</v>
      </c>
      <c r="C22" s="68">
        <f>'10_Capital_de_Giro'!C11</f>
        <v>384.26404979767898</v>
      </c>
      <c r="D22" s="64" t="s">
        <v>495</v>
      </c>
      <c r="E22" s="69" t="str">
        <f>IF(C22&lt;=60,"OK",IF(C22&lt;=120,"Monitorar","Atenção"))</f>
        <v>Atenção</v>
      </c>
      <c r="F22" s="27" t="s">
        <v>502</v>
      </c>
    </row>
    <row r="23" spans="1:6" x14ac:dyDescent="0.25">
      <c r="B23" s="30" t="s">
        <v>422</v>
      </c>
      <c r="C23" s="70">
        <f>'10_Capital_de_Giro'!C22</f>
        <v>2664737.9886575341</v>
      </c>
      <c r="D23" s="64" t="s">
        <v>503</v>
      </c>
      <c r="E23" s="64" t="s">
        <v>504</v>
      </c>
      <c r="F23" s="27" t="s">
        <v>505</v>
      </c>
    </row>
    <row r="24" spans="1:6" x14ac:dyDescent="0.25">
      <c r="B24" s="30" t="s">
        <v>424</v>
      </c>
      <c r="C24" s="68">
        <f>'10_Capital_de_Giro'!C23</f>
        <v>489.36665354390897</v>
      </c>
      <c r="D24" s="64" t="s">
        <v>495</v>
      </c>
      <c r="E24" s="69" t="str">
        <f>IF(C24&lt;=180,"OK",IF(C24&lt;=300,"Monitorar","Atenção"))</f>
        <v>Atenção</v>
      </c>
      <c r="F24" s="27" t="s">
        <v>506</v>
      </c>
    </row>
    <row r="27" spans="1:6" ht="19.5" customHeight="1" x14ac:dyDescent="0.25">
      <c r="A27" s="6" t="s">
        <v>507</v>
      </c>
      <c r="B27" s="6"/>
      <c r="C27" s="6"/>
      <c r="D27" s="6"/>
      <c r="E27" s="6"/>
      <c r="F27" s="6"/>
    </row>
    <row r="28" spans="1:6" x14ac:dyDescent="0.25">
      <c r="B28" s="33" t="s">
        <v>390</v>
      </c>
      <c r="C28" s="33" t="s">
        <v>408</v>
      </c>
      <c r="D28" s="33" t="s">
        <v>492</v>
      </c>
      <c r="E28" s="33" t="s">
        <v>508</v>
      </c>
      <c r="F28" s="33" t="s">
        <v>478</v>
      </c>
    </row>
    <row r="29" spans="1:6" x14ac:dyDescent="0.25">
      <c r="B29" s="30" t="s">
        <v>509</v>
      </c>
      <c r="C29" s="71">
        <v>3.9642795080806599E-2</v>
      </c>
      <c r="D29" s="64" t="s">
        <v>510</v>
      </c>
      <c r="E29" s="72" t="s">
        <v>511</v>
      </c>
      <c r="F29" s="27" t="s">
        <v>512</v>
      </c>
    </row>
    <row r="30" spans="1:6" x14ac:dyDescent="0.25">
      <c r="B30" s="30" t="s">
        <v>513</v>
      </c>
      <c r="C30" s="71">
        <v>0</v>
      </c>
      <c r="D30" s="64" t="s">
        <v>510</v>
      </c>
      <c r="E30" s="72" t="s">
        <v>514</v>
      </c>
      <c r="F30" s="27" t="s">
        <v>515</v>
      </c>
    </row>
    <row r="31" spans="1:6" x14ac:dyDescent="0.25">
      <c r="B31" s="30" t="s">
        <v>516</v>
      </c>
      <c r="C31" s="73">
        <f>('06_DRE_Consolidada'!$Z$10/2)/'11_Estoque_e_Giro'!F10</f>
        <v>0.41652866551079021</v>
      </c>
      <c r="D31" s="64" t="s">
        <v>517</v>
      </c>
      <c r="E31" s="72" t="s">
        <v>518</v>
      </c>
      <c r="F31" s="27" t="s">
        <v>519</v>
      </c>
    </row>
    <row r="32" spans="1:6" x14ac:dyDescent="0.25">
      <c r="B32" s="30" t="s">
        <v>520</v>
      </c>
      <c r="C32" s="70">
        <f>'06_DRE_Consolidada'!$Z$9/24</f>
        <v>165627.23791666667</v>
      </c>
      <c r="D32" s="64" t="s">
        <v>503</v>
      </c>
      <c r="E32" s="72" t="s">
        <v>504</v>
      </c>
      <c r="F32" s="27" t="s">
        <v>521</v>
      </c>
    </row>
    <row r="33" spans="2:6" x14ac:dyDescent="0.25">
      <c r="B33" s="30" t="s">
        <v>522</v>
      </c>
      <c r="C33" s="70">
        <f>'06_DRE_Consolidada'!$Z$21/24</f>
        <v>-20937.670833333334</v>
      </c>
      <c r="D33" s="64" t="s">
        <v>503</v>
      </c>
      <c r="E33" s="72" t="s">
        <v>504</v>
      </c>
      <c r="F33" s="27" t="s">
        <v>523</v>
      </c>
    </row>
  </sheetData>
  <mergeCells count="5">
    <mergeCell ref="A1:F1"/>
    <mergeCell ref="A2:F2"/>
    <mergeCell ref="A4:F4"/>
    <mergeCell ref="A17:F17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1"/>
  <sheetViews>
    <sheetView showGridLines="0" zoomScaleNormal="100" workbookViewId="0">
      <selection sqref="A1:N1"/>
    </sheetView>
  </sheetViews>
  <sheetFormatPr defaultColWidth="8.7109375" defaultRowHeight="15" x14ac:dyDescent="0.25"/>
  <cols>
    <col min="1" max="1" width="4" customWidth="1"/>
    <col min="2" max="2" width="32" customWidth="1"/>
    <col min="3" max="9" width="14" customWidth="1"/>
    <col min="10" max="10" width="28" customWidth="1"/>
  </cols>
  <sheetData>
    <row r="1" spans="1:14" ht="27.75" customHeight="1" x14ac:dyDescent="0.25">
      <c r="A1" s="8" t="s">
        <v>524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7" t="s">
        <v>525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19.5" customHeight="1" x14ac:dyDescent="0.25">
      <c r="A4" s="6" t="s">
        <v>526</v>
      </c>
      <c r="B4" s="6"/>
      <c r="C4" s="6"/>
      <c r="D4" s="6"/>
      <c r="E4" s="6"/>
      <c r="F4" s="6"/>
      <c r="G4" s="6"/>
      <c r="H4" s="6"/>
      <c r="I4" s="6"/>
      <c r="J4" s="6"/>
    </row>
    <row r="5" spans="1:14" x14ac:dyDescent="0.25">
      <c r="B5" s="33" t="s">
        <v>60</v>
      </c>
      <c r="C5" s="33" t="s">
        <v>527</v>
      </c>
      <c r="D5" s="33" t="s">
        <v>528</v>
      </c>
      <c r="E5" s="33" t="s">
        <v>529</v>
      </c>
      <c r="F5" s="33" t="s">
        <v>530</v>
      </c>
      <c r="G5" s="33" t="s">
        <v>531</v>
      </c>
      <c r="H5" s="33" t="s">
        <v>532</v>
      </c>
      <c r="I5" s="33" t="s">
        <v>533</v>
      </c>
      <c r="J5" s="33" t="s">
        <v>534</v>
      </c>
    </row>
    <row r="6" spans="1:14" x14ac:dyDescent="0.25">
      <c r="B6" s="32" t="s">
        <v>64</v>
      </c>
      <c r="C6" s="42">
        <f>$J$6*(1+'02_Premissas'!$C$7)^1*'02_Premissas'!$C$17</f>
        <v>90413.930654166688</v>
      </c>
      <c r="D6" s="42">
        <f>$J$6*(1+'02_Premissas'!$C$7)^2*'02_Premissas'!$C$18</f>
        <v>87796.685293125018</v>
      </c>
      <c r="E6" s="42">
        <f>$J$6*(1+'02_Premissas'!$C$7)^3*'02_Premissas'!$C$19</f>
        <v>99990.669361614608</v>
      </c>
      <c r="F6" s="42">
        <f>$J$6*(1+'02_Premissas'!$C$7)^4*'02_Premissas'!$C$20</f>
        <v>97365.914290872213</v>
      </c>
      <c r="G6" s="42">
        <f>$J$6*(1+'02_Premissas'!$C$7)^5*'02_Premissas'!$C$21</f>
        <v>126063.23639765559</v>
      </c>
      <c r="H6" s="42">
        <f>$J$6*(1+'02_Premissas'!$C$7)^6*'02_Premissas'!$C$22</f>
        <v>113062.96514414737</v>
      </c>
      <c r="I6" s="45">
        <f>SUM(C6:H6)</f>
        <v>614693.40114158159</v>
      </c>
      <c r="J6" s="74">
        <v>92851.276666666701</v>
      </c>
    </row>
    <row r="7" spans="1:14" x14ac:dyDescent="0.25">
      <c r="B7" s="32" t="s">
        <v>66</v>
      </c>
      <c r="C7" s="42">
        <f>$J$7*(1+'02_Premissas'!$C$8)^1*'02_Premissas'!$C$17</f>
        <v>52470.435149999998</v>
      </c>
      <c r="D7" s="42">
        <f>$J$7*(1+'02_Premissas'!$C$8)^2*'02_Premissas'!$C$18</f>
        <v>50454.465799499994</v>
      </c>
      <c r="E7" s="42">
        <f>$J$7*(1+'02_Premissas'!$C$8)^3*'02_Premissas'!$C$19</f>
        <v>56901.425318324982</v>
      </c>
      <c r="F7" s="42">
        <f>$J$7*(1+'02_Premissas'!$C$8)^4*'02_Premissas'!$C$20</f>
        <v>54867.19936319485</v>
      </c>
      <c r="G7" s="42">
        <f>$J$7*(1+'02_Premissas'!$C$8)^5*'02_Premissas'!$C$21</f>
        <v>70345.525078285602</v>
      </c>
      <c r="H7" s="42">
        <f>$J$7*(1+'02_Premissas'!$C$8)^6*'02_Premissas'!$C$22</f>
        <v>62475.619460152397</v>
      </c>
      <c r="I7" s="45">
        <f>SUM(C7:H7)</f>
        <v>347514.67016945785</v>
      </c>
      <c r="J7" s="74">
        <v>54415.8</v>
      </c>
    </row>
    <row r="8" spans="1:14" x14ac:dyDescent="0.25">
      <c r="B8" s="32" t="s">
        <v>68</v>
      </c>
      <c r="C8" s="42">
        <f>$J$8*(1+'02_Premissas'!$C$9)^1*'02_Premissas'!$C$17</f>
        <v>34630.673791666697</v>
      </c>
      <c r="D8" s="42">
        <f>$J$8*(1+'02_Premissas'!$C$9)^2*'02_Premissas'!$C$18</f>
        <v>33136.086817500029</v>
      </c>
      <c r="E8" s="42">
        <f>$J$8*(1+'02_Premissas'!$C$9)^3*'02_Premissas'!$C$19</f>
        <v>37186.052984083362</v>
      </c>
      <c r="F8" s="42">
        <f>$J$8*(1+'02_Premissas'!$C$9)^4*'02_Premissas'!$C$20</f>
        <v>35680.017838227992</v>
      </c>
      <c r="G8" s="42">
        <f>$J$8*(1+'02_Premissas'!$C$9)^5*'02_Premissas'!$C$21</f>
        <v>45520.191178876128</v>
      </c>
      <c r="H8" s="42">
        <f>$J$8*(1+'02_Premissas'!$C$9)^6*'02_Premissas'!$C$22</f>
        <v>40228.468954331787</v>
      </c>
      <c r="I8" s="45">
        <f>SUM(C8:H8)</f>
        <v>226381.491564686</v>
      </c>
      <c r="J8" s="74">
        <v>36092.416666666701</v>
      </c>
    </row>
    <row r="9" spans="1:14" x14ac:dyDescent="0.25">
      <c r="B9" s="32" t="s">
        <v>70</v>
      </c>
      <c r="C9" s="42">
        <f>$J$9*(1+'02_Premissas'!$C$10)^1*'02_Premissas'!$C$17</f>
        <v>26202.818375999999</v>
      </c>
      <c r="D9" s="42">
        <f>$J$9*(1+'02_Premissas'!$C$10)^2*'02_Premissas'!$C$18</f>
        <v>25022.312453376002</v>
      </c>
      <c r="E9" s="42">
        <f>$J$9*(1+'02_Premissas'!$C$10)^3*'02_Premissas'!$C$19</f>
        <v>28024.989947781123</v>
      </c>
      <c r="F9" s="42">
        <f>$J$9*(1+'02_Premissas'!$C$10)^4*'02_Premissas'!$C$20</f>
        <v>26836.730373995204</v>
      </c>
      <c r="G9" s="42">
        <f>$J$9*(1+'02_Premissas'!$C$10)^5*'02_Premissas'!$C$21</f>
        <v>34170.220063562731</v>
      </c>
      <c r="H9" s="42">
        <f>$J$9*(1+'02_Premissas'!$C$10)^6*'02_Premissas'!$C$22</f>
        <v>30138.134096062331</v>
      </c>
      <c r="I9" s="45">
        <f>SUM(C9:H9)</f>
        <v>170395.20531077738</v>
      </c>
      <c r="J9" s="74">
        <v>27363.01</v>
      </c>
    </row>
    <row r="10" spans="1:14" x14ac:dyDescent="0.25">
      <c r="B10" s="50" t="s">
        <v>535</v>
      </c>
      <c r="C10" s="45">
        <f t="shared" ref="C10:I10" si="0">SUM(C6:C9)</f>
        <v>203717.85797183338</v>
      </c>
      <c r="D10" s="45">
        <f t="shared" si="0"/>
        <v>196409.55036350107</v>
      </c>
      <c r="E10" s="45">
        <f t="shared" si="0"/>
        <v>222103.13761180406</v>
      </c>
      <c r="F10" s="45">
        <f t="shared" si="0"/>
        <v>214749.86186629027</v>
      </c>
      <c r="G10" s="45">
        <f t="shared" si="0"/>
        <v>276099.17271838005</v>
      </c>
      <c r="H10" s="45">
        <f t="shared" si="0"/>
        <v>245905.1876546939</v>
      </c>
      <c r="I10" s="45">
        <f t="shared" si="0"/>
        <v>1358984.7681865026</v>
      </c>
      <c r="J10" s="65"/>
    </row>
    <row r="12" spans="1:14" ht="19.5" customHeight="1" x14ac:dyDescent="0.25">
      <c r="A12" s="6" t="s">
        <v>536</v>
      </c>
      <c r="B12" s="6"/>
      <c r="C12" s="6"/>
      <c r="D12" s="6"/>
      <c r="E12" s="6"/>
      <c r="F12" s="6"/>
      <c r="G12" s="6"/>
      <c r="H12" s="6"/>
      <c r="I12" s="6"/>
      <c r="J12" s="6"/>
    </row>
    <row r="13" spans="1:14" x14ac:dyDescent="0.25">
      <c r="B13" s="33" t="s">
        <v>537</v>
      </c>
      <c r="C13" s="33" t="s">
        <v>527</v>
      </c>
      <c r="D13" s="33" t="s">
        <v>528</v>
      </c>
      <c r="E13" s="33" t="s">
        <v>529</v>
      </c>
      <c r="F13" s="33" t="s">
        <v>530</v>
      </c>
      <c r="G13" s="33" t="s">
        <v>531</v>
      </c>
      <c r="H13" s="33" t="s">
        <v>532</v>
      </c>
      <c r="I13" s="33" t="s">
        <v>533</v>
      </c>
      <c r="J13" s="33" t="s">
        <v>534</v>
      </c>
    </row>
    <row r="14" spans="1:14" x14ac:dyDescent="0.25">
      <c r="B14" s="32" t="s">
        <v>334</v>
      </c>
      <c r="C14" s="49">
        <f t="shared" ref="C14:I14" si="1">C10</f>
        <v>203717.85797183338</v>
      </c>
      <c r="D14" s="49">
        <f t="shared" si="1"/>
        <v>196409.55036350107</v>
      </c>
      <c r="E14" s="49">
        <f t="shared" si="1"/>
        <v>222103.13761180406</v>
      </c>
      <c r="F14" s="49">
        <f t="shared" si="1"/>
        <v>214749.86186629027</v>
      </c>
      <c r="G14" s="49">
        <f t="shared" si="1"/>
        <v>276099.17271838005</v>
      </c>
      <c r="H14" s="49">
        <f t="shared" si="1"/>
        <v>245905.1876546939</v>
      </c>
      <c r="I14" s="49">
        <f t="shared" si="1"/>
        <v>1358984.7681865026</v>
      </c>
    </row>
    <row r="15" spans="1:14" x14ac:dyDescent="0.25">
      <c r="B15" s="30" t="s">
        <v>538</v>
      </c>
      <c r="C15" s="42">
        <f>-C14*('06_DRE_Consolidada'!$Z$10/'06_DRE_Consolidada'!$Z$9)</f>
        <v>-111671.24422996851</v>
      </c>
      <c r="D15" s="42">
        <f>-D14*('06_DRE_Consolidada'!$Z$10/'06_DRE_Consolidada'!$Z$9)</f>
        <v>-107665.0770143744</v>
      </c>
      <c r="E15" s="42">
        <f>-E14*('06_DRE_Consolidada'!$Z$10/'06_DRE_Consolidada'!$Z$9)</f>
        <v>-121749.43311999357</v>
      </c>
      <c r="F15" s="42">
        <f>-F14*('06_DRE_Consolidada'!$Z$10/'06_DRE_Consolidada'!$Z$9)</f>
        <v>-117718.61589148575</v>
      </c>
      <c r="G15" s="42">
        <f>-G14*('06_DRE_Consolidada'!$Z$10/'06_DRE_Consolidada'!$Z$9)</f>
        <v>-151348.2345400934</v>
      </c>
      <c r="H15" s="42">
        <f>-H14*('06_DRE_Consolidada'!$Z$10/'06_DRE_Consolidada'!$Z$9)</f>
        <v>-134796.91246213837</v>
      </c>
      <c r="I15" s="42">
        <f>-I14*('06_DRE_Consolidada'!$Z$10/'06_DRE_Consolidada'!$Z$9)</f>
        <v>-744949.51725805399</v>
      </c>
      <c r="J15" s="27" t="s">
        <v>539</v>
      </c>
    </row>
    <row r="16" spans="1:14" x14ac:dyDescent="0.25">
      <c r="B16" s="75" t="s">
        <v>336</v>
      </c>
      <c r="C16" s="76">
        <f t="shared" ref="C16:I16" si="2">C14+C15</f>
        <v>92046.613741864872</v>
      </c>
      <c r="D16" s="76">
        <f t="shared" si="2"/>
        <v>88744.473349126667</v>
      </c>
      <c r="E16" s="76">
        <f t="shared" si="2"/>
        <v>100353.70449181049</v>
      </c>
      <c r="F16" s="76">
        <f t="shared" si="2"/>
        <v>97031.245974804522</v>
      </c>
      <c r="G16" s="76">
        <f t="shared" si="2"/>
        <v>124750.93817828665</v>
      </c>
      <c r="H16" s="76">
        <f t="shared" si="2"/>
        <v>111108.27519255553</v>
      </c>
      <c r="I16" s="76">
        <f t="shared" si="2"/>
        <v>614035.25092844863</v>
      </c>
    </row>
    <row r="17" spans="1:10" x14ac:dyDescent="0.25">
      <c r="B17" s="30" t="s">
        <v>540</v>
      </c>
      <c r="C17" s="42">
        <f>(SUM('06_DRE_Consolidada'!N$13:Y$13)/12)*(1+'02_Premissas'!$C$13)^1</f>
        <v>51635.763512500002</v>
      </c>
      <c r="D17" s="42">
        <f>(SUM('06_DRE_Consolidada'!N$13:Y$13)/12)*(1+'02_Premissas'!$C$13)^2</f>
        <v>51893.942330062491</v>
      </c>
      <c r="E17" s="42">
        <f>(SUM('06_DRE_Consolidada'!N$13:Y$13)/12)*(1+'02_Premissas'!$C$13)^3</f>
        <v>52153.4120417128</v>
      </c>
      <c r="F17" s="42">
        <f>(SUM('06_DRE_Consolidada'!N$13:Y$13)/12)*(1+'02_Premissas'!$C$13)^4</f>
        <v>52414.179101921349</v>
      </c>
      <c r="G17" s="42">
        <f>(SUM('06_DRE_Consolidada'!N$13:Y$13)/12)*(1+'02_Premissas'!$C$13)^5</f>
        <v>52676.249997430947</v>
      </c>
      <c r="H17" s="42">
        <f>(SUM('06_DRE_Consolidada'!N$13:Y$13)/12)*(1+'02_Premissas'!$C$13)^6</f>
        <v>52939.631247418089</v>
      </c>
      <c r="I17" s="51">
        <f t="shared" ref="I17:I23" si="3">SUM(C17:H17)</f>
        <v>313713.17823104566</v>
      </c>
      <c r="J17" s="27" t="s">
        <v>541</v>
      </c>
    </row>
    <row r="18" spans="1:10" x14ac:dyDescent="0.25">
      <c r="B18" s="30" t="s">
        <v>542</v>
      </c>
      <c r="C18" s="42">
        <f>(SUM('06_DRE_Consolidada'!N$14:Y$14)/12)*(1+'02_Premissas'!$C$13)^1</f>
        <v>9547.5041875000006</v>
      </c>
      <c r="D18" s="42">
        <f>(SUM('06_DRE_Consolidada'!N$14:Y$14)/12)*(1+'02_Premissas'!$C$13)^2</f>
        <v>9595.2417084374974</v>
      </c>
      <c r="E18" s="42">
        <f>(SUM('06_DRE_Consolidada'!N$14:Y$14)/12)*(1+'02_Premissas'!$C$13)^3</f>
        <v>9643.2179169796855</v>
      </c>
      <c r="F18" s="42">
        <f>(SUM('06_DRE_Consolidada'!N$14:Y$14)/12)*(1+'02_Premissas'!$C$13)^4</f>
        <v>9691.4340065645811</v>
      </c>
      <c r="G18" s="42">
        <f>(SUM('06_DRE_Consolidada'!N$14:Y$14)/12)*(1+'02_Premissas'!$C$13)^5</f>
        <v>9739.8911765974008</v>
      </c>
      <c r="H18" s="42">
        <f>(SUM('06_DRE_Consolidada'!N$14:Y$14)/12)*(1+'02_Premissas'!$C$13)^6</f>
        <v>9788.5906324803873</v>
      </c>
      <c r="I18" s="51">
        <f t="shared" si="3"/>
        <v>58005.879628559553</v>
      </c>
      <c r="J18" s="27" t="s">
        <v>541</v>
      </c>
    </row>
    <row r="19" spans="1:10" x14ac:dyDescent="0.25">
      <c r="B19" s="30" t="s">
        <v>543</v>
      </c>
      <c r="C19" s="42">
        <f>(SUM('06_DRE_Consolidada'!N$15:Y$15)/12)*(1+'02_Premissas'!$C$13)^1</f>
        <v>14752.926812499998</v>
      </c>
      <c r="D19" s="42">
        <f>(SUM('06_DRE_Consolidada'!N$15:Y$15)/12)*(1+'02_Premissas'!$C$13)^2</f>
        <v>14826.691446562496</v>
      </c>
      <c r="E19" s="42">
        <f>(SUM('06_DRE_Consolidada'!N$15:Y$15)/12)*(1+'02_Premissas'!$C$13)^3</f>
        <v>14900.824903795308</v>
      </c>
      <c r="F19" s="42">
        <f>(SUM('06_DRE_Consolidada'!N$15:Y$15)/12)*(1+'02_Premissas'!$C$13)^4</f>
        <v>14975.32902831428</v>
      </c>
      <c r="G19" s="42">
        <f>(SUM('06_DRE_Consolidada'!N$15:Y$15)/12)*(1+'02_Premissas'!$C$13)^5</f>
        <v>15050.205673455848</v>
      </c>
      <c r="H19" s="42">
        <f>(SUM('06_DRE_Consolidada'!N$15:Y$15)/12)*(1+'02_Premissas'!$C$13)^6</f>
        <v>15125.456701823125</v>
      </c>
      <c r="I19" s="51">
        <f t="shared" si="3"/>
        <v>89631.434566451062</v>
      </c>
      <c r="J19" s="27" t="s">
        <v>541</v>
      </c>
    </row>
    <row r="20" spans="1:10" x14ac:dyDescent="0.25">
      <c r="B20" s="30" t="s">
        <v>544</v>
      </c>
      <c r="C20" s="42">
        <f>(SUM('06_DRE_Consolidada'!N$16:Y$16)/12)*(1+'02_Premissas'!$C$13)^1</f>
        <v>9888.1539625000005</v>
      </c>
      <c r="D20" s="42">
        <f>(SUM('06_DRE_Consolidada'!N$16:Y$16)/12)*(1+'02_Premissas'!$C$13)^2</f>
        <v>9937.5947323124983</v>
      </c>
      <c r="E20" s="42">
        <f>(SUM('06_DRE_Consolidada'!N$16:Y$16)/12)*(1+'02_Premissas'!$C$13)^3</f>
        <v>9987.2827059740594</v>
      </c>
      <c r="F20" s="42">
        <f>(SUM('06_DRE_Consolidada'!N$16:Y$16)/12)*(1+'02_Premissas'!$C$13)^4</f>
        <v>10037.219119503927</v>
      </c>
      <c r="G20" s="42">
        <f>(SUM('06_DRE_Consolidada'!N$16:Y$16)/12)*(1+'02_Premissas'!$C$13)^5</f>
        <v>10087.405215101446</v>
      </c>
      <c r="H20" s="42">
        <f>(SUM('06_DRE_Consolidada'!N$16:Y$16)/12)*(1+'02_Premissas'!$C$13)^6</f>
        <v>10137.84224117695</v>
      </c>
      <c r="I20" s="51">
        <f t="shared" si="3"/>
        <v>60075.497976568884</v>
      </c>
      <c r="J20" s="27" t="s">
        <v>541</v>
      </c>
    </row>
    <row r="21" spans="1:10" x14ac:dyDescent="0.25">
      <c r="B21" s="30" t="s">
        <v>545</v>
      </c>
      <c r="C21" s="42">
        <f>(SUM('06_DRE_Consolidada'!N$17:Y$17)/12)*(1+'02_Premissas'!$C$13)^1</f>
        <v>6179.8974250000001</v>
      </c>
      <c r="D21" s="42">
        <f>(SUM('06_DRE_Consolidada'!N$17:Y$17)/12)*(1+'02_Premissas'!$C$13)^2</f>
        <v>6210.7969121249989</v>
      </c>
      <c r="E21" s="42">
        <f>(SUM('06_DRE_Consolidada'!N$17:Y$17)/12)*(1+'02_Premissas'!$C$13)^3</f>
        <v>6241.8508966856234</v>
      </c>
      <c r="F21" s="42">
        <f>(SUM('06_DRE_Consolidada'!N$17:Y$17)/12)*(1+'02_Premissas'!$C$13)^4</f>
        <v>6273.0601511690502</v>
      </c>
      <c r="G21" s="42">
        <f>(SUM('06_DRE_Consolidada'!N$17:Y$17)/12)*(1+'02_Premissas'!$C$13)^5</f>
        <v>6304.4254519248943</v>
      </c>
      <c r="H21" s="42">
        <f>(SUM('06_DRE_Consolidada'!N$17:Y$17)/12)*(1+'02_Premissas'!$C$13)^6</f>
        <v>6335.9475791845171</v>
      </c>
      <c r="I21" s="51">
        <f t="shared" si="3"/>
        <v>37545.978416089085</v>
      </c>
      <c r="J21" s="27" t="s">
        <v>541</v>
      </c>
    </row>
    <row r="22" spans="1:10" x14ac:dyDescent="0.25">
      <c r="B22" s="30" t="s">
        <v>546</v>
      </c>
      <c r="C22" s="42">
        <f>(SUM('06_DRE_Consolidada'!N$18:Y$18)/12)*(1+'02_Premissas'!$C$13)^1</f>
        <v>3155.3289874999996</v>
      </c>
      <c r="D22" s="42">
        <f>(SUM('06_DRE_Consolidada'!N$18:Y$18)/12)*(1+'02_Premissas'!$C$13)^2</f>
        <v>3171.105632437499</v>
      </c>
      <c r="E22" s="42">
        <f>(SUM('06_DRE_Consolidada'!N$18:Y$18)/12)*(1+'02_Premissas'!$C$13)^3</f>
        <v>3186.9611605996861</v>
      </c>
      <c r="F22" s="42">
        <f>(SUM('06_DRE_Consolidada'!N$18:Y$18)/12)*(1+'02_Premissas'!$C$13)^4</f>
        <v>3202.8959664026838</v>
      </c>
      <c r="G22" s="42">
        <f>(SUM('06_DRE_Consolidada'!N$18:Y$18)/12)*(1+'02_Premissas'!$C$13)^5</f>
        <v>3218.9104462346963</v>
      </c>
      <c r="H22" s="42">
        <f>(SUM('06_DRE_Consolidada'!N$18:Y$18)/12)*(1+'02_Premissas'!$C$13)^6</f>
        <v>3235.0049984658694</v>
      </c>
      <c r="I22" s="51">
        <f t="shared" si="3"/>
        <v>19170.207191640435</v>
      </c>
      <c r="J22" s="27" t="s">
        <v>541</v>
      </c>
    </row>
    <row r="23" spans="1:10" x14ac:dyDescent="0.25">
      <c r="B23" s="30" t="s">
        <v>547</v>
      </c>
      <c r="C23" s="42">
        <f>(SUM('06_DRE_Consolidada'!N$19:Y$19)/12)*(1+'02_Premissas'!$C$13)^1</f>
        <v>842.08949999999993</v>
      </c>
      <c r="D23" s="42">
        <f>(SUM('06_DRE_Consolidada'!N$19:Y$19)/12)*(1+'02_Premissas'!$C$13)^2</f>
        <v>846.2999474999998</v>
      </c>
      <c r="E23" s="42">
        <f>(SUM('06_DRE_Consolidada'!N$19:Y$19)/12)*(1+'02_Premissas'!$C$13)^3</f>
        <v>850.53144723749972</v>
      </c>
      <c r="F23" s="42">
        <f>(SUM('06_DRE_Consolidada'!N$19:Y$19)/12)*(1+'02_Premissas'!$C$13)^4</f>
        <v>854.78410447368697</v>
      </c>
      <c r="G23" s="42">
        <f>(SUM('06_DRE_Consolidada'!N$19:Y$19)/12)*(1+'02_Premissas'!$C$13)^5</f>
        <v>859.05802499605522</v>
      </c>
      <c r="H23" s="42">
        <f>(SUM('06_DRE_Consolidada'!N$19:Y$19)/12)*(1+'02_Premissas'!$C$13)^6</f>
        <v>863.35331512103528</v>
      </c>
      <c r="I23" s="51">
        <f t="shared" si="3"/>
        <v>5116.1163393282768</v>
      </c>
      <c r="J23" s="27" t="s">
        <v>541</v>
      </c>
    </row>
    <row r="24" spans="1:10" x14ac:dyDescent="0.25">
      <c r="B24" s="75" t="s">
        <v>548</v>
      </c>
      <c r="C24" s="76">
        <f t="shared" ref="C24:I24" si="4">-(C17+C18+C19+C20+C21+C22+C23)</f>
        <v>-96001.664387500015</v>
      </c>
      <c r="D24" s="76">
        <f t="shared" si="4"/>
        <v>-96481.67270943748</v>
      </c>
      <c r="E24" s="76">
        <f t="shared" si="4"/>
        <v>-96964.081072984671</v>
      </c>
      <c r="F24" s="76">
        <f t="shared" si="4"/>
        <v>-97448.901478349537</v>
      </c>
      <c r="G24" s="76">
        <f t="shared" si="4"/>
        <v>-97936.145985741299</v>
      </c>
      <c r="H24" s="76">
        <f t="shared" si="4"/>
        <v>-98425.826715669959</v>
      </c>
      <c r="I24" s="76">
        <f t="shared" si="4"/>
        <v>-583258.29234968289</v>
      </c>
    </row>
    <row r="25" spans="1:10" x14ac:dyDescent="0.25">
      <c r="B25" s="48" t="s">
        <v>549</v>
      </c>
      <c r="C25" s="77">
        <f t="shared" ref="C25:I25" si="5">C16+C24</f>
        <v>-3955.0506456351432</v>
      </c>
      <c r="D25" s="77">
        <f t="shared" si="5"/>
        <v>-7737.1993603108131</v>
      </c>
      <c r="E25" s="77">
        <f t="shared" si="5"/>
        <v>3389.623418825824</v>
      </c>
      <c r="F25" s="77">
        <f t="shared" si="5"/>
        <v>-417.65550354501465</v>
      </c>
      <c r="G25" s="77">
        <f t="shared" si="5"/>
        <v>26814.792192545356</v>
      </c>
      <c r="H25" s="77">
        <f t="shared" si="5"/>
        <v>12682.448476885576</v>
      </c>
      <c r="I25" s="77">
        <f t="shared" si="5"/>
        <v>30776.958578765742</v>
      </c>
    </row>
    <row r="26" spans="1:10" x14ac:dyDescent="0.25">
      <c r="B26" s="78" t="s">
        <v>487</v>
      </c>
      <c r="C26" s="79">
        <f t="shared" ref="C26:I26" si="6">IFERROR(C25/C14,0)</f>
        <v>-1.941435417106133E-2</v>
      </c>
      <c r="D26" s="79">
        <f t="shared" si="6"/>
        <v>-3.939319318226301E-2</v>
      </c>
      <c r="E26" s="79">
        <f t="shared" si="6"/>
        <v>1.5261483720010611E-2</v>
      </c>
      <c r="F26" s="79">
        <f t="shared" si="6"/>
        <v>-1.9448464362927485E-3</v>
      </c>
      <c r="G26" s="79">
        <f t="shared" si="6"/>
        <v>9.712014682454817E-2</v>
      </c>
      <c r="H26" s="79">
        <f t="shared" si="6"/>
        <v>5.1574546262499278E-2</v>
      </c>
      <c r="I26" s="79">
        <f t="shared" si="6"/>
        <v>2.264702246798252E-2</v>
      </c>
    </row>
    <row r="28" spans="1:10" ht="19.5" customHeight="1" x14ac:dyDescent="0.25">
      <c r="A28" s="6" t="s">
        <v>550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B29" s="33" t="s">
        <v>390</v>
      </c>
      <c r="C29" s="33" t="s">
        <v>551</v>
      </c>
      <c r="D29" s="33" t="s">
        <v>552</v>
      </c>
      <c r="E29" s="33" t="s">
        <v>553</v>
      </c>
      <c r="F29" s="33" t="s">
        <v>554</v>
      </c>
      <c r="G29" s="33" t="s">
        <v>478</v>
      </c>
    </row>
    <row r="30" spans="1:10" x14ac:dyDescent="0.25">
      <c r="B30" s="32" t="s">
        <v>334</v>
      </c>
      <c r="C30" s="49">
        <f>SUM('06_DRE_Consolidada'!T9:Y9)</f>
        <v>1072088.7599999998</v>
      </c>
      <c r="D30" s="49">
        <f>I14</f>
        <v>1358984.7681865026</v>
      </c>
      <c r="E30" s="51">
        <f>D30-C30</f>
        <v>286896.00818650285</v>
      </c>
      <c r="F30" s="58">
        <f>IFERROR((D30-C30)/ABS(C30),0)</f>
        <v>0.26760471603722708</v>
      </c>
      <c r="G30" s="27" t="s">
        <v>555</v>
      </c>
    </row>
    <row r="31" spans="1:10" x14ac:dyDescent="0.25">
      <c r="B31" s="32" t="s">
        <v>115</v>
      </c>
      <c r="C31" s="49">
        <f>SUM('06_DRE_Consolidada'!T21:Y21)</f>
        <v>-77424.590000000084</v>
      </c>
      <c r="D31" s="49">
        <f>I25</f>
        <v>30776.958578765742</v>
      </c>
      <c r="E31" s="51">
        <f>D31-C31</f>
        <v>108201.54857876583</v>
      </c>
      <c r="F31" s="58">
        <f>IFERROR((D31-C31)/ABS(C31),0)</f>
        <v>1.397508835097037</v>
      </c>
      <c r="G31" s="27" t="s">
        <v>555</v>
      </c>
    </row>
  </sheetData>
  <mergeCells count="5">
    <mergeCell ref="A1:N1"/>
    <mergeCell ref="A2:N2"/>
    <mergeCell ref="A4:J4"/>
    <mergeCell ref="A12:J12"/>
    <mergeCell ref="A28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1" width="4" customWidth="1"/>
    <col min="2" max="2" width="36" customWidth="1"/>
    <col min="3" max="6" width="16" customWidth="1"/>
    <col min="7" max="7" width="40" customWidth="1"/>
  </cols>
  <sheetData>
    <row r="1" spans="1:8" ht="27.75" customHeight="1" x14ac:dyDescent="0.25">
      <c r="A1" s="8" t="s">
        <v>556</v>
      </c>
      <c r="B1" s="8"/>
      <c r="C1" s="8"/>
      <c r="D1" s="8"/>
      <c r="E1" s="8"/>
      <c r="F1" s="8"/>
      <c r="G1" s="8"/>
    </row>
    <row r="2" spans="1:8" x14ac:dyDescent="0.25">
      <c r="A2" s="7" t="s">
        <v>557</v>
      </c>
      <c r="B2" s="7"/>
      <c r="C2" s="7"/>
      <c r="D2" s="7"/>
      <c r="E2" s="7"/>
      <c r="F2" s="7"/>
      <c r="G2" s="7"/>
    </row>
    <row r="4" spans="1:8" ht="19.5" customHeight="1" x14ac:dyDescent="0.25">
      <c r="A4" s="6" t="s">
        <v>558</v>
      </c>
      <c r="B4" s="6"/>
      <c r="C4" s="6"/>
      <c r="D4" s="6"/>
      <c r="E4" s="6"/>
      <c r="F4" s="6"/>
      <c r="G4" s="6"/>
    </row>
    <row r="5" spans="1:8" x14ac:dyDescent="0.25">
      <c r="B5" s="33" t="s">
        <v>91</v>
      </c>
      <c r="C5" s="33" t="s">
        <v>92</v>
      </c>
      <c r="D5" s="33" t="s">
        <v>93</v>
      </c>
      <c r="E5" s="33" t="s">
        <v>553</v>
      </c>
      <c r="F5" s="33" t="s">
        <v>554</v>
      </c>
      <c r="G5" s="33"/>
      <c r="H5" s="33" t="s">
        <v>63</v>
      </c>
    </row>
    <row r="6" spans="1:8" x14ac:dyDescent="0.25">
      <c r="B6" s="30" t="s">
        <v>94</v>
      </c>
      <c r="C6" s="80">
        <f>'02_Premissas'!C26</f>
        <v>12</v>
      </c>
      <c r="D6" s="80">
        <f>'02_Premissas'!D26</f>
        <v>5</v>
      </c>
      <c r="E6" s="69">
        <f>D6-C6</f>
        <v>-7</v>
      </c>
      <c r="F6" s="58">
        <f>IFERROR((D6-C6)/C6,0)</f>
        <v>-0.58333333333333337</v>
      </c>
      <c r="G6" s="27" t="s">
        <v>559</v>
      </c>
    </row>
    <row r="7" spans="1:8" x14ac:dyDescent="0.25">
      <c r="B7" s="30" t="s">
        <v>560</v>
      </c>
      <c r="C7" s="80">
        <f>'02_Premissas'!C27</f>
        <v>200</v>
      </c>
      <c r="D7" s="80">
        <f>'02_Premissas'!D27</f>
        <v>80</v>
      </c>
      <c r="E7" s="69">
        <f>D7-C7</f>
        <v>-120</v>
      </c>
      <c r="F7" s="58">
        <f>IFERROR((D7-C7)/C7,0)</f>
        <v>-0.6</v>
      </c>
      <c r="G7" s="27" t="s">
        <v>561</v>
      </c>
    </row>
    <row r="8" spans="1:8" x14ac:dyDescent="0.25">
      <c r="B8" s="30" t="s">
        <v>100</v>
      </c>
      <c r="C8" s="80">
        <f>'02_Premissas'!C29</f>
        <v>12</v>
      </c>
      <c r="D8" s="80">
        <f>'02_Premissas'!D29</f>
        <v>2</v>
      </c>
      <c r="E8" s="69">
        <f>D8-C8</f>
        <v>-10</v>
      </c>
      <c r="F8" s="58">
        <f>IFERROR((D8-C8)/C8,0)</f>
        <v>-0.83333333333333337</v>
      </c>
      <c r="G8" s="27" t="s">
        <v>562</v>
      </c>
    </row>
    <row r="9" spans="1:8" x14ac:dyDescent="0.25">
      <c r="B9" s="30" t="s">
        <v>104</v>
      </c>
      <c r="C9" s="80">
        <f>'02_Premissas'!C31</f>
        <v>7</v>
      </c>
      <c r="D9" s="80">
        <f>'02_Premissas'!D31</f>
        <v>1</v>
      </c>
      <c r="E9" s="69">
        <f>D9-C9</f>
        <v>-6</v>
      </c>
      <c r="F9" s="58">
        <f>IFERROR((D9-C9)/C9,0)</f>
        <v>-0.8571428571428571</v>
      </c>
      <c r="G9" s="27" t="s">
        <v>562</v>
      </c>
    </row>
    <row r="10" spans="1:8" x14ac:dyDescent="0.25">
      <c r="B10" s="30" t="s">
        <v>563</v>
      </c>
      <c r="C10" s="80">
        <f>'02_Premissas'!C32</f>
        <v>16</v>
      </c>
      <c r="D10" s="80">
        <f>'02_Premissas'!D32</f>
        <v>4</v>
      </c>
      <c r="E10" s="69">
        <f>D10-C10</f>
        <v>-12</v>
      </c>
      <c r="F10" s="58">
        <f>IFERROR((D10-C10)/C10,0)</f>
        <v>-0.75</v>
      </c>
      <c r="G10" s="27" t="s">
        <v>561</v>
      </c>
    </row>
    <row r="13" spans="1:8" ht="19.5" customHeight="1" x14ac:dyDescent="0.25">
      <c r="A13" s="6" t="s">
        <v>564</v>
      </c>
      <c r="B13" s="6"/>
      <c r="C13" s="6"/>
      <c r="D13" s="6"/>
      <c r="E13" s="6"/>
      <c r="F13" s="6"/>
      <c r="G13" s="6"/>
    </row>
    <row r="14" spans="1:8" x14ac:dyDescent="0.25">
      <c r="B14" s="33" t="s">
        <v>565</v>
      </c>
      <c r="C14" s="33" t="s">
        <v>566</v>
      </c>
      <c r="D14" s="33" t="s">
        <v>567</v>
      </c>
      <c r="E14" s="33" t="s">
        <v>568</v>
      </c>
      <c r="F14" s="33" t="s">
        <v>569</v>
      </c>
      <c r="G14" s="33"/>
      <c r="H14" s="33" t="s">
        <v>409</v>
      </c>
    </row>
    <row r="15" spans="1:8" x14ac:dyDescent="0.25">
      <c r="B15" s="30" t="s">
        <v>570</v>
      </c>
      <c r="C15" s="42">
        <f>'02_Premissas'!$C$27*'02_Premissas'!$C$28</f>
        <v>17000</v>
      </c>
      <c r="D15" s="42">
        <f>'02_Premissas'!$D$27*'02_Premissas'!$C$28</f>
        <v>6800</v>
      </c>
      <c r="E15" s="51">
        <f>C15-D15</f>
        <v>10200</v>
      </c>
      <c r="F15" s="58">
        <f>IFERROR((C15-D15)/C15,0)</f>
        <v>0.6</v>
      </c>
      <c r="G15" s="27" t="s">
        <v>571</v>
      </c>
    </row>
    <row r="16" spans="1:8" x14ac:dyDescent="0.25">
      <c r="B16" s="30" t="s">
        <v>572</v>
      </c>
      <c r="C16" s="42">
        <f>'02_Premissas'!$C$29*'02_Premissas'!$C$30*'02_Premissas'!$C$28</f>
        <v>4080</v>
      </c>
      <c r="D16" s="42">
        <f>'02_Premissas'!$D$29*'02_Premissas'!$D$30*'02_Premissas'!$C$28</f>
        <v>680</v>
      </c>
      <c r="E16" s="51">
        <f>C16-D16</f>
        <v>3400</v>
      </c>
      <c r="F16" s="58">
        <f>IFERROR((C16-D16)/C16,0)</f>
        <v>0.83333333333333337</v>
      </c>
      <c r="G16" s="27" t="s">
        <v>573</v>
      </c>
    </row>
    <row r="17" spans="1:8" x14ac:dyDescent="0.25">
      <c r="B17" s="30" t="s">
        <v>574</v>
      </c>
      <c r="C17" s="42">
        <f>'02_Premissas'!$C$31*2*'02_Premissas'!$C$28</f>
        <v>1190</v>
      </c>
      <c r="D17" s="42">
        <f>'02_Premissas'!$D$31*2*'02_Premissas'!$C$28</f>
        <v>170</v>
      </c>
      <c r="E17" s="51">
        <f>C17-D17</f>
        <v>1020</v>
      </c>
      <c r="F17" s="58">
        <f>IFERROR((C17-D17)/C17,0)</f>
        <v>0.8571428571428571</v>
      </c>
      <c r="G17" s="27" t="s">
        <v>575</v>
      </c>
    </row>
    <row r="18" spans="1:8" x14ac:dyDescent="0.25">
      <c r="B18" s="30" t="s">
        <v>576</v>
      </c>
      <c r="C18" s="42">
        <f>'02_Premissas'!$C$32*'02_Premissas'!$C$28</f>
        <v>1360</v>
      </c>
      <c r="D18" s="42">
        <f>'02_Premissas'!$D$32*'02_Premissas'!$C$28</f>
        <v>340</v>
      </c>
      <c r="E18" s="51">
        <f>C18-D18</f>
        <v>1020</v>
      </c>
      <c r="F18" s="58">
        <f>IFERROR((C18-D18)/C18,0)</f>
        <v>0.75</v>
      </c>
      <c r="G18" s="27" t="s">
        <v>577</v>
      </c>
    </row>
    <row r="19" spans="1:8" x14ac:dyDescent="0.25">
      <c r="B19" s="50" t="s">
        <v>578</v>
      </c>
      <c r="C19" s="45">
        <f>SUM(C15:C18)</f>
        <v>23630</v>
      </c>
      <c r="D19" s="45">
        <f>SUM(D15:D18)</f>
        <v>7990</v>
      </c>
      <c r="E19" s="45">
        <f>SUM(E15:E18)</f>
        <v>15640</v>
      </c>
      <c r="F19" s="60">
        <f>IFERROR((C19-D19)/C19,0)</f>
        <v>0.66187050359712229</v>
      </c>
    </row>
    <row r="21" spans="1:8" ht="19.5" customHeight="1" x14ac:dyDescent="0.25">
      <c r="A21" s="6" t="s">
        <v>579</v>
      </c>
      <c r="B21" s="6"/>
      <c r="C21" s="6"/>
      <c r="D21" s="6"/>
      <c r="E21" s="6"/>
      <c r="F21" s="6"/>
      <c r="G21" s="6"/>
    </row>
    <row r="22" spans="1:8" x14ac:dyDescent="0.25">
      <c r="B22" s="33" t="s">
        <v>390</v>
      </c>
      <c r="C22" s="33" t="s">
        <v>408</v>
      </c>
      <c r="D22" s="33"/>
      <c r="E22" s="33"/>
      <c r="F22" s="33"/>
      <c r="G22" s="33"/>
      <c r="H22" s="33" t="s">
        <v>409</v>
      </c>
    </row>
    <row r="23" spans="1:8" x14ac:dyDescent="0.25">
      <c r="B23" s="30" t="s">
        <v>580</v>
      </c>
      <c r="C23" s="51">
        <f>E19</f>
        <v>15640</v>
      </c>
      <c r="D23" s="86"/>
      <c r="E23" s="86"/>
      <c r="F23" s="86"/>
      <c r="G23" s="27" t="s">
        <v>581</v>
      </c>
    </row>
    <row r="24" spans="1:8" x14ac:dyDescent="0.25">
      <c r="B24" s="30" t="s">
        <v>582</v>
      </c>
      <c r="C24" s="51">
        <f>E19*12</f>
        <v>187680</v>
      </c>
      <c r="D24" s="86"/>
      <c r="E24" s="86"/>
      <c r="F24" s="86"/>
      <c r="G24" s="27" t="s">
        <v>583</v>
      </c>
    </row>
    <row r="25" spans="1:8" x14ac:dyDescent="0.25">
      <c r="B25" s="30" t="s">
        <v>584</v>
      </c>
      <c r="C25" s="81">
        <f>('02_Premissas'!$C$27-'02_Premissas'!$D$27)+('02_Premissas'!$C$29*'02_Premissas'!$C$30-'02_Premissas'!$D$29*'02_Premissas'!$D$30)+('02_Premissas'!$C$31-'02_Premissas'!$D$31)*2+('02_Premissas'!$C$32-'02_Premissas'!$D$32)</f>
        <v>184</v>
      </c>
      <c r="D25" s="86"/>
      <c r="E25" s="86"/>
      <c r="F25" s="86"/>
      <c r="G25" s="27" t="s">
        <v>585</v>
      </c>
    </row>
    <row r="26" spans="1:8" x14ac:dyDescent="0.25">
      <c r="B26" s="30" t="s">
        <v>586</v>
      </c>
      <c r="C26" s="63">
        <f>'02_Premissas'!C26-'02_Premissas'!D26</f>
        <v>7</v>
      </c>
      <c r="D26" s="86"/>
      <c r="E26" s="86"/>
      <c r="F26" s="86"/>
      <c r="G26" s="27" t="s">
        <v>587</v>
      </c>
    </row>
    <row r="27" spans="1:8" x14ac:dyDescent="0.25">
      <c r="B27" s="30" t="s">
        <v>588</v>
      </c>
      <c r="C27" s="55">
        <v>120000</v>
      </c>
      <c r="D27" s="86"/>
      <c r="E27" s="86"/>
      <c r="F27" s="86"/>
      <c r="G27" s="27" t="s">
        <v>589</v>
      </c>
    </row>
    <row r="28" spans="1:8" x14ac:dyDescent="0.25">
      <c r="B28" s="30" t="s">
        <v>590</v>
      </c>
      <c r="C28" s="82">
        <f>C27/C23</f>
        <v>7.6726342710997439</v>
      </c>
      <c r="D28" s="86"/>
      <c r="E28" s="86"/>
      <c r="F28" s="86"/>
      <c r="G28" s="27" t="s">
        <v>591</v>
      </c>
    </row>
    <row r="29" spans="1:8" ht="15.75" x14ac:dyDescent="0.25">
      <c r="B29" s="30" t="s">
        <v>592</v>
      </c>
      <c r="C29" s="83">
        <f>IFERROR((C24-C27)/C27,0)</f>
        <v>0.56399999999999995</v>
      </c>
      <c r="D29" s="86"/>
      <c r="E29" s="86"/>
      <c r="F29" s="86"/>
      <c r="G29" s="27" t="s">
        <v>593</v>
      </c>
    </row>
  </sheetData>
  <mergeCells count="12">
    <mergeCell ref="D28:F28"/>
    <mergeCell ref="D29:F29"/>
    <mergeCell ref="D23:F23"/>
    <mergeCell ref="D24:F24"/>
    <mergeCell ref="D25:F25"/>
    <mergeCell ref="D26:F26"/>
    <mergeCell ref="D27:F27"/>
    <mergeCell ref="A1:G1"/>
    <mergeCell ref="A2:G2"/>
    <mergeCell ref="A4:G4"/>
    <mergeCell ref="A13:G13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3"/>
  <sheetViews>
    <sheetView showGridLines="0" tabSelected="1" topLeftCell="A16" zoomScaleNormal="100" workbookViewId="0">
      <selection sqref="A1:O1"/>
    </sheetView>
  </sheetViews>
  <sheetFormatPr defaultColWidth="8.7109375" defaultRowHeight="15" x14ac:dyDescent="0.25"/>
  <cols>
    <col min="1" max="1" width="4" customWidth="1"/>
    <col min="2" max="2" width="13" customWidth="1"/>
    <col min="3" max="3" width="17.85546875" bestFit="1" customWidth="1"/>
    <col min="4" max="4" width="13" customWidth="1"/>
    <col min="5" max="6" width="18.42578125" bestFit="1" customWidth="1"/>
    <col min="7" max="15" width="13" customWidth="1"/>
  </cols>
  <sheetData>
    <row r="1" spans="1:16" ht="27.75" customHeight="1" x14ac:dyDescent="0.25">
      <c r="A1" s="8" t="s">
        <v>594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6" x14ac:dyDescent="0.25">
      <c r="A2" s="7" t="s">
        <v>595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6" ht="19.5" customHeight="1" x14ac:dyDescent="0.25">
      <c r="A4" s="6" t="s">
        <v>596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6" ht="19.5" customHeight="1" x14ac:dyDescent="0.25">
      <c r="B5" s="87" t="s">
        <v>410</v>
      </c>
      <c r="C5" s="87"/>
      <c r="D5" s="87"/>
      <c r="F5" s="87" t="s">
        <v>597</v>
      </c>
      <c r="G5" s="87"/>
      <c r="H5" s="87"/>
      <c r="J5" s="87" t="s">
        <v>115</v>
      </c>
      <c r="K5" s="87"/>
      <c r="L5" s="87"/>
      <c r="N5" s="88" t="s">
        <v>119</v>
      </c>
      <c r="O5" s="88"/>
      <c r="P5" s="88"/>
    </row>
    <row r="6" spans="1:16" ht="27.75" customHeight="1" x14ac:dyDescent="0.25">
      <c r="B6" s="89">
        <f>'06_DRE_Consolidada'!$Z$9</f>
        <v>3975053.71</v>
      </c>
      <c r="C6" s="89"/>
      <c r="D6" s="89"/>
      <c r="F6" s="90">
        <f>'06_DRE_Consolidada'!$Z$11</f>
        <v>1796063.6199999999</v>
      </c>
      <c r="G6" s="90"/>
      <c r="H6" s="90"/>
      <c r="J6" s="89">
        <f>'06_DRE_Consolidada'!$Z$21</f>
        <v>-502504.1</v>
      </c>
      <c r="K6" s="89"/>
      <c r="L6" s="89"/>
      <c r="N6" s="89">
        <f>'06_DRE_Consolidada'!$Z$26</f>
        <v>-590932.57000000007</v>
      </c>
      <c r="O6" s="89"/>
      <c r="P6" s="89"/>
    </row>
    <row r="8" spans="1:16" ht="19.5" customHeight="1" x14ac:dyDescent="0.25">
      <c r="B8" s="91" t="s">
        <v>598</v>
      </c>
      <c r="C8" s="91"/>
      <c r="D8" s="91"/>
      <c r="F8" s="91" t="s">
        <v>487</v>
      </c>
      <c r="G8" s="91"/>
      <c r="H8" s="91"/>
      <c r="J8" s="88" t="s">
        <v>599</v>
      </c>
      <c r="K8" s="88"/>
      <c r="L8" s="88"/>
      <c r="N8" s="91" t="s">
        <v>501</v>
      </c>
      <c r="O8" s="91"/>
      <c r="P8" s="91"/>
    </row>
    <row r="9" spans="1:16" ht="27.75" customHeight="1" x14ac:dyDescent="0.25">
      <c r="B9" s="92">
        <f>IFERROR('06_DRE_Consolidada'!$Z$11/'06_DRE_Consolidada'!$Z$9,0)</f>
        <v>0.45183379924695405</v>
      </c>
      <c r="C9" s="92"/>
      <c r="D9" s="92"/>
      <c r="F9" s="92">
        <f>IFERROR('06_DRE_Consolidada'!$Z$21/'06_DRE_Consolidada'!$Z$9,0)</f>
        <v>-0.1264144176809123</v>
      </c>
      <c r="G9" s="92"/>
      <c r="H9" s="92"/>
      <c r="J9" s="92">
        <f>IFERROR('06_DRE_Consolidada'!$Z$26/'06_DRE_Consolidada'!$Z$9,0)</f>
        <v>-0.14866027307087634</v>
      </c>
      <c r="K9" s="92"/>
      <c r="L9" s="92"/>
      <c r="N9" s="93">
        <f>'10_Capital_de_Giro'!C11</f>
        <v>384.26404979767898</v>
      </c>
      <c r="O9" s="93"/>
      <c r="P9" s="93"/>
    </row>
    <row r="12" spans="1:16" ht="19.5" customHeight="1" x14ac:dyDescent="0.25">
      <c r="A12" s="6" t="s">
        <v>600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6" x14ac:dyDescent="0.25">
      <c r="B13" s="33" t="s">
        <v>60</v>
      </c>
      <c r="C13" s="33" t="s">
        <v>601</v>
      </c>
      <c r="D13" s="33" t="s">
        <v>602</v>
      </c>
      <c r="E13" s="33" t="s">
        <v>603</v>
      </c>
      <c r="F13" s="33" t="s">
        <v>604</v>
      </c>
      <c r="G13" s="33" t="s">
        <v>605</v>
      </c>
    </row>
    <row r="14" spans="1:16" x14ac:dyDescent="0.25">
      <c r="B14" s="32" t="s">
        <v>64</v>
      </c>
      <c r="C14" s="49">
        <f>SUMIFS('03_Base_Vendas'!I:I,'03_Base_Vendas'!B:B,"ecommerce")</f>
        <v>1807879.46</v>
      </c>
      <c r="D14" s="58">
        <f>IFERROR(C14/C$18,0)</f>
        <v>0.45238831853979533</v>
      </c>
      <c r="E14" s="42">
        <f>SUMIFS('03_Base_Vendas'!I:I,'03_Base_Vendas'!B:B,"ecommerce",'03_Base_Vendas'!A:A,"&gt;=2023-01",'03_Base_Vendas'!A:A,"&lt;=2023-12")</f>
        <v>867453.85</v>
      </c>
      <c r="F14" s="42">
        <f>SUMIFS('03_Base_Vendas'!I:I,'03_Base_Vendas'!B:B,"ecommerce",'03_Base_Vendas'!A:A,"&gt;=2024-01",'03_Base_Vendas'!A:A,"&lt;=2024-12")</f>
        <v>940425.61000000057</v>
      </c>
      <c r="G14" s="58">
        <f>IFERROR((F14-E14)/E14,0)</f>
        <v>8.4121777775267928E-2</v>
      </c>
    </row>
    <row r="15" spans="1:16" x14ac:dyDescent="0.25">
      <c r="B15" s="32" t="s">
        <v>66</v>
      </c>
      <c r="C15" s="49">
        <f>SUMIFS('03_Base_Vendas'!I:I,'03_Base_Vendas'!B:B,"marketplace")</f>
        <v>998627.01</v>
      </c>
      <c r="D15" s="58">
        <f>IFERROR(C15/C$18,0)</f>
        <v>0.24988789567990524</v>
      </c>
      <c r="E15" s="42">
        <f>SUMIFS('03_Base_Vendas'!I:I,'03_Base_Vendas'!B:B,"marketplace",'03_Base_Vendas'!A:A,"&gt;=2023-01",'03_Base_Vendas'!A:A,"&lt;=2023-12")</f>
        <v>448130.07000000007</v>
      </c>
      <c r="F15" s="42">
        <f>SUMIFS('03_Base_Vendas'!I:I,'03_Base_Vendas'!B:B,"marketplace",'03_Base_Vendas'!A:A,"&gt;=2024-01",'03_Base_Vendas'!A:A,"&lt;=2024-12")</f>
        <v>550496.94000000018</v>
      </c>
      <c r="G15" s="58">
        <f>IFERROR((F15-E15)/E15,0)</f>
        <v>0.22843115615963933</v>
      </c>
    </row>
    <row r="16" spans="1:16" x14ac:dyDescent="0.25">
      <c r="B16" s="32" t="s">
        <v>68</v>
      </c>
      <c r="C16" s="49">
        <f>SUMIFS('03_Base_Vendas'!I:I,'03_Base_Vendas'!B:B,"franquia")</f>
        <v>673620.54000000015</v>
      </c>
      <c r="D16" s="58">
        <f>IFERROR(C16/C$18,0)</f>
        <v>0.1685610518659629</v>
      </c>
      <c r="E16" s="42">
        <f>SUMIFS('03_Base_Vendas'!I:I,'03_Base_Vendas'!B:B,"franquia",'03_Base_Vendas'!A:A,"&gt;=2023-01",'03_Base_Vendas'!A:A,"&lt;=2023-12")</f>
        <v>320501.08999999997</v>
      </c>
      <c r="F16" s="42">
        <f>SUMIFS('03_Base_Vendas'!I:I,'03_Base_Vendas'!B:B,"franquia",'03_Base_Vendas'!A:A,"&gt;=2024-01",'03_Base_Vendas'!A:A,"&lt;=2024-12")</f>
        <v>353119.44999999995</v>
      </c>
      <c r="G16" s="58">
        <f>IFERROR((F16-E16)/E16,0)</f>
        <v>0.10177300801067475</v>
      </c>
    </row>
    <row r="17" spans="1:15" x14ac:dyDescent="0.25">
      <c r="B17" s="32" t="s">
        <v>70</v>
      </c>
      <c r="C17" s="49">
        <f>SUMIFS('03_Base_Vendas'!I:I,'03_Base_Vendas'!B:B,"loja_propria")</f>
        <v>516173.0400000001</v>
      </c>
      <c r="D17" s="58">
        <f>IFERROR(C17/C$18,0)</f>
        <v>0.12916273391433661</v>
      </c>
      <c r="E17" s="42">
        <f>SUMIFS('03_Base_Vendas'!I:I,'03_Base_Vendas'!B:B,"loja_propria",'03_Base_Vendas'!A:A,"&gt;=2023-01",'03_Base_Vendas'!A:A,"&lt;=2023-12")</f>
        <v>236632.87999999998</v>
      </c>
      <c r="F17" s="42">
        <f>SUMIFS('03_Base_Vendas'!I:I,'03_Base_Vendas'!B:B,"loja_propria",'03_Base_Vendas'!A:A,"&gt;=2024-01",'03_Base_Vendas'!A:A,"&lt;=2024-12")</f>
        <v>279540.15999999997</v>
      </c>
      <c r="G17" s="58">
        <f>IFERROR((F17-E17)/E17,0)</f>
        <v>0.18132425214957448</v>
      </c>
    </row>
    <row r="18" spans="1:15" x14ac:dyDescent="0.25">
      <c r="B18" s="50" t="s">
        <v>440</v>
      </c>
      <c r="C18" s="45">
        <f>SUM(C14:C17)</f>
        <v>3996300.05</v>
      </c>
      <c r="D18" s="60">
        <f>SUM(D14:D17)</f>
        <v>1</v>
      </c>
      <c r="E18" s="45">
        <f>SUM(E14:E17)</f>
        <v>1872717.8899999997</v>
      </c>
      <c r="F18" s="45">
        <f>SUM(F14:F17)</f>
        <v>2123582.1600000006</v>
      </c>
      <c r="G18" s="60">
        <f>IFERROR((F18-E18)/E18,0)</f>
        <v>0.13395732018131198</v>
      </c>
    </row>
    <row r="20" spans="1:15" ht="19.5" customHeight="1" x14ac:dyDescent="0.25">
      <c r="A20" s="6" t="s">
        <v>606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B21" s="33" t="s">
        <v>436</v>
      </c>
      <c r="C21" s="33" t="s">
        <v>601</v>
      </c>
      <c r="D21" s="33" t="s">
        <v>602</v>
      </c>
      <c r="E21" s="33" t="s">
        <v>607</v>
      </c>
      <c r="F21" s="33" t="s">
        <v>471</v>
      </c>
    </row>
    <row r="22" spans="1:15" x14ac:dyDescent="0.25">
      <c r="B22" s="32" t="s">
        <v>444</v>
      </c>
      <c r="C22" s="49">
        <f>SUMIFS('03_Base_Vendas'!I:I,'03_Base_Vendas'!C:C,"skincare")</f>
        <v>1321378.6200000001</v>
      </c>
      <c r="D22" s="58">
        <f>IFERROR(C22/C$26,0)</f>
        <v>0.33065050258175682</v>
      </c>
      <c r="E22" s="42">
        <f>SUMIFS('03_Base_Vendas'!K:K,'03_Base_Vendas'!C:C,"skincare")</f>
        <v>718940.97</v>
      </c>
      <c r="F22" s="58">
        <f>IFERROR(E22/C22,0)</f>
        <v>0.54408400372029619</v>
      </c>
    </row>
    <row r="23" spans="1:15" x14ac:dyDescent="0.25">
      <c r="B23" s="32" t="s">
        <v>445</v>
      </c>
      <c r="C23" s="49">
        <f>SUMIFS('03_Base_Vendas'!I:I,'03_Base_Vendas'!C:C,"maquiagem")</f>
        <v>609850.16</v>
      </c>
      <c r="D23" s="58">
        <f>IFERROR(C23/C$26,0)</f>
        <v>0.15260369651172714</v>
      </c>
      <c r="E23" s="42">
        <f>SUMIFS('03_Base_Vendas'!K:K,'03_Base_Vendas'!C:C,"maquiagem")</f>
        <v>274109.29999999993</v>
      </c>
      <c r="F23" s="58">
        <f>IFERROR(E23/C23,0)</f>
        <v>0.44946991569207739</v>
      </c>
    </row>
    <row r="24" spans="1:15" x14ac:dyDescent="0.25">
      <c r="B24" s="32" t="s">
        <v>446</v>
      </c>
      <c r="C24" s="49">
        <f>SUMIFS('03_Base_Vendas'!I:I,'03_Base_Vendas'!C:C,"perfumes")</f>
        <v>1540426.46</v>
      </c>
      <c r="D24" s="58">
        <f>IFERROR(C24/C$26,0)</f>
        <v>0.38546316360804789</v>
      </c>
      <c r="E24" s="42">
        <f>SUMIFS('03_Base_Vendas'!K:K,'03_Base_Vendas'!C:C,"perfumes")</f>
        <v>598643.77</v>
      </c>
      <c r="F24" s="58">
        <f>IFERROR(E24/C24,0)</f>
        <v>0.38862210273900388</v>
      </c>
    </row>
    <row r="25" spans="1:15" x14ac:dyDescent="0.25">
      <c r="B25" s="32" t="s">
        <v>447</v>
      </c>
      <c r="C25" s="49">
        <f>SUMIFS('03_Base_Vendas'!I:I,'03_Base_Vendas'!C:C,"haircare")</f>
        <v>524644.81000000017</v>
      </c>
      <c r="D25" s="58">
        <f>IFERROR(C25/C$26,0)</f>
        <v>0.13128263729846815</v>
      </c>
      <c r="E25" s="42">
        <f>SUMIFS('03_Base_Vendas'!K:K,'03_Base_Vendas'!C:C,"haircare")</f>
        <v>213164.06999999998</v>
      </c>
      <c r="F25" s="58">
        <f>IFERROR(E25/C25,0)</f>
        <v>0.40630168437194664</v>
      </c>
    </row>
    <row r="26" spans="1:15" x14ac:dyDescent="0.25">
      <c r="B26" s="50" t="s">
        <v>440</v>
      </c>
      <c r="C26" s="45">
        <f>SUM(C22:C25)</f>
        <v>3996300.0500000003</v>
      </c>
      <c r="D26" s="60">
        <f>SUM(D22:D25)</f>
        <v>1</v>
      </c>
      <c r="E26" s="45">
        <f>SUM(E22:E25)</f>
        <v>1804858.11</v>
      </c>
      <c r="F26" s="60">
        <f>IFERROR(E26/C26,0)</f>
        <v>0.45163228171518299</v>
      </c>
    </row>
    <row r="28" spans="1:15" ht="19.5" customHeight="1" x14ac:dyDescent="0.25">
      <c r="A28" s="6" t="s">
        <v>608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B29" s="33" t="s">
        <v>465</v>
      </c>
      <c r="C29" s="33" t="s">
        <v>466</v>
      </c>
      <c r="D29" s="33" t="s">
        <v>436</v>
      </c>
      <c r="E29" s="33" t="s">
        <v>468</v>
      </c>
      <c r="F29" s="33" t="s">
        <v>470</v>
      </c>
      <c r="G29" s="33" t="s">
        <v>471</v>
      </c>
    </row>
    <row r="30" spans="1:15" x14ac:dyDescent="0.25">
      <c r="B30" s="64">
        <v>1</v>
      </c>
      <c r="C30" s="65" t="s">
        <v>231</v>
      </c>
      <c r="D30" s="65" t="s">
        <v>446</v>
      </c>
      <c r="E30" s="57">
        <v>154940.07</v>
      </c>
      <c r="F30" s="57">
        <v>63685.64</v>
      </c>
      <c r="G30" s="58">
        <f>IFERROR(F30/E30,0)</f>
        <v>0.41103402108957349</v>
      </c>
    </row>
    <row r="31" spans="1:15" x14ac:dyDescent="0.25">
      <c r="B31" s="64">
        <v>2</v>
      </c>
      <c r="C31" s="65" t="s">
        <v>232</v>
      </c>
      <c r="D31" s="65" t="s">
        <v>446</v>
      </c>
      <c r="E31" s="57">
        <v>135434.29</v>
      </c>
      <c r="F31" s="57">
        <v>59044.72</v>
      </c>
      <c r="G31" s="58">
        <f>IFERROR(F31/E31,0)</f>
        <v>0.43596581043102156</v>
      </c>
    </row>
    <row r="32" spans="1:15" x14ac:dyDescent="0.25">
      <c r="B32" s="64">
        <v>3</v>
      </c>
      <c r="C32" s="65" t="s">
        <v>233</v>
      </c>
      <c r="D32" s="65" t="s">
        <v>444</v>
      </c>
      <c r="E32" s="57">
        <v>103887.33</v>
      </c>
      <c r="F32" s="57">
        <v>58784.34</v>
      </c>
      <c r="G32" s="58">
        <f>IFERROR(F32/E32,0)</f>
        <v>0.5658470575767035</v>
      </c>
    </row>
    <row r="33" spans="1:15" x14ac:dyDescent="0.25">
      <c r="B33" s="64">
        <v>4</v>
      </c>
      <c r="C33" s="65" t="s">
        <v>234</v>
      </c>
      <c r="D33" s="65" t="s">
        <v>446</v>
      </c>
      <c r="E33" s="57">
        <v>140680.99</v>
      </c>
      <c r="F33" s="57">
        <v>58687.64</v>
      </c>
      <c r="G33" s="58">
        <f>IFERROR(F33/E33,0)</f>
        <v>0.41716823289344213</v>
      </c>
    </row>
    <row r="34" spans="1:15" x14ac:dyDescent="0.25">
      <c r="B34" s="64">
        <v>5</v>
      </c>
      <c r="C34" s="65" t="s">
        <v>235</v>
      </c>
      <c r="D34" s="65" t="s">
        <v>444</v>
      </c>
      <c r="E34" s="57">
        <v>112952.44</v>
      </c>
      <c r="F34" s="57">
        <v>57723.79</v>
      </c>
      <c r="G34" s="58">
        <f>IFERROR(F34/E34,0)</f>
        <v>0.51104509119059316</v>
      </c>
    </row>
    <row r="37" spans="1:15" ht="19.5" customHeight="1" x14ac:dyDescent="0.25">
      <c r="A37" s="6" t="s">
        <v>609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ht="21.75" customHeight="1" x14ac:dyDescent="0.25">
      <c r="B38" s="94" t="s">
        <v>610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</row>
    <row r="39" spans="1:15" ht="21.75" customHeight="1" x14ac:dyDescent="0.25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ht="21.75" customHeight="1" x14ac:dyDescent="0.25"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1:15" ht="21.75" customHeight="1" x14ac:dyDescent="0.25"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spans="1:15" ht="21.75" customHeight="1" x14ac:dyDescent="0.25"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</row>
    <row r="43" spans="1:15" ht="21.75" customHeight="1" x14ac:dyDescent="0.25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</row>
  </sheetData>
  <mergeCells count="24">
    <mergeCell ref="A20:O20"/>
    <mergeCell ref="A28:O28"/>
    <mergeCell ref="A37:O37"/>
    <mergeCell ref="B38:O43"/>
    <mergeCell ref="B9:D9"/>
    <mergeCell ref="F9:H9"/>
    <mergeCell ref="J9:L9"/>
    <mergeCell ref="N9:P9"/>
    <mergeCell ref="A12:O12"/>
    <mergeCell ref="B6:D6"/>
    <mergeCell ref="F6:H6"/>
    <mergeCell ref="J6:L6"/>
    <mergeCell ref="N6:P6"/>
    <mergeCell ref="B8:D8"/>
    <mergeCell ref="F8:H8"/>
    <mergeCell ref="J8:L8"/>
    <mergeCell ref="N8:P8"/>
    <mergeCell ref="A1:O1"/>
    <mergeCell ref="A2:O2"/>
    <mergeCell ref="A4:O4"/>
    <mergeCell ref="B5:D5"/>
    <mergeCell ref="F5:H5"/>
    <mergeCell ref="J5:L5"/>
    <mergeCell ref="N5:P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01_Capa</vt:lpstr>
      <vt:lpstr>02_Premissas</vt:lpstr>
      <vt:lpstr>03_Base_Vendas</vt:lpstr>
      <vt:lpstr>04_Base_Despesas</vt:lpstr>
      <vt:lpstr>05_Base_Apoio</vt:lpstr>
      <vt:lpstr>06_DRE_Consolidada</vt:lpstr>
      <vt:lpstr>07_DRE_por_Canal</vt:lpstr>
      <vt:lpstr>08_DRE_por_Categoria</vt:lpstr>
      <vt:lpstr>09_Fluxo_de_Caixa</vt:lpstr>
      <vt:lpstr>10_Capital_de_Giro</vt:lpstr>
      <vt:lpstr>11_Estoque_e_Giro</vt:lpstr>
      <vt:lpstr>12_KPIs</vt:lpstr>
      <vt:lpstr>13_Forecast_6M</vt:lpstr>
      <vt:lpstr>14_Antes_vs_Depois</vt:lpstr>
      <vt:lpstr>15_Dashboard_Exec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Vinicius Augusto</cp:lastModifiedBy>
  <cp:revision>0</cp:revision>
  <dcterms:created xsi:type="dcterms:W3CDTF">2026-05-27T20:47:29Z</dcterms:created>
  <dcterms:modified xsi:type="dcterms:W3CDTF">2026-05-27T21:42:11Z</dcterms:modified>
  <dc:language>en-US</dc:language>
</cp:coreProperties>
</file>